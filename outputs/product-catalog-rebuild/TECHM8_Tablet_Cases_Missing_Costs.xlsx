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da5558b46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Costs" sheetId="1" r:id="R05f0b33d023b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04B7A"/>
      <x:name val="Carlito"/>
    </x:font>
    <x:font>
      <x:b/>
      <x:sz val="11"/>
      <x:color rgb="FFFFFFFF"/>
      <x:name val="Carlito"/>
    </x:font>
    <x:font>
      <x:b/>
      <x:sz val="11"/>
      <x:color rgb="FF5C47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EAF2FF"/>
      </x:patternFill>
    </x:fill>
    <x:fill>
      <x:patternFill patternType="solid">
        <x:fgColor rgb="FFFFF8D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4" borderId="0" xfId="0" applyNumberFormat="1" applyFont="1" applyFill="1" applyBorder="1" applyAlignment="1">
      <x:alignment vertical="top"/>
    </x:xf>
    <x:xf numFmtId="200" fontId="4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9C2F22"/>
      </x:font>
      <x:fill>
        <x:patternFill patternType="solid">
          <x:bgColor rgb="FFFDE7E3"/>
        </x:patternFill>
      </x:fill>
    </x:dxf>
    <x:dxf>
      <x:font>
        <x:b/>
        <x:color rgb="FF075E54"/>
      </x:font>
      <x:fill>
        <x:patternFill patternType="solid">
          <x:bgColor rgb="FFDFF4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38aa27b3642ee" /><Relationship Type="http://schemas.openxmlformats.org/officeDocument/2006/relationships/theme" Target="/xl/theme/theme1.xml" Id="R30d0e043ac0f4f43" /><Relationship Type="http://schemas.openxmlformats.org/officeDocument/2006/relationships/sharedStrings" Target="/xl/sharedStrings.xml" Id="R12703bdae55d4efb" /><Relationship Type="http://schemas.openxmlformats.org/officeDocument/2006/relationships/worksheet" Target="/xl/worksheets/sheet1.xml" Id="R05f0b33d023b4d8b" /></Relationships>
</file>

<file path=xl/tables/table1.xml><?xml version="1.0" encoding="utf-8"?>
<x:table xmlns:x="http://schemas.openxmlformats.org/spreadsheetml/2006/main" id="1" name="TabletCaseMissingCosts" displayName="TabletCaseMissingCosts" ref="A3:K62" headerRowCount="1" totalsRowCount="0" totalsRowShown="0">
  <x:tableColumns count="11">
    <x:tableColumn id="1" name="Source Item ID"/>
    <x:tableColumn id="2" name="New SKU"/>
    <x:tableColumn id="3" name="Product Name"/>
    <x:tableColumn id="4" name="Product Family"/>
    <x:tableColumn id="5" name="Colour"/>
    <x:tableColumn id="6" name="Compatible Models"/>
    <x:tableColumn id="7" name="Source Category"/>
    <x:tableColumn id="8" name="Retail Price"/>
    <x:tableColumn id="9" name="Current Cost"/>
    <x:tableColumn id="10" name="Cost To Enter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e80134fe564b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20" hidden="0" customWidth="1"/>
    <x:col min="5" max="5" width="20" hidden="0" customWidth="1"/>
    <x:col min="6" max="6" width="5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4" customHeight="1">
      <x:c r="A1" s="3" t="str">
        <x:v>TECHM8 Tablet Cases - Missing Costs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6" t="str">
        <x:v>Enter the confirmed unit cost in column J. Every store and the online store remain at zero stock; zero stock can still be ordered and checked out.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8" t="str">
        <x:v>Source Item ID</x:v>
      </x:c>
      <x:c r="B3" s="8" t="str">
        <x:v>New SKU</x:v>
      </x:c>
      <x:c r="C3" s="8" t="str">
        <x:v>Product Name</x:v>
      </x:c>
      <x:c r="D3" s="8" t="str">
        <x:v>Product Family</x:v>
      </x:c>
      <x:c r="E3" s="8" t="str">
        <x:v>Colour</x:v>
      </x:c>
      <x:c r="F3" s="8" t="str">
        <x:v>Compatible Models</x:v>
      </x:c>
      <x:c r="G3" s="8" t="str">
        <x:v>Source Category</x:v>
      </x:c>
      <x:c r="H3" s="8" t="str">
        <x:v>Retail Price</x:v>
      </x:c>
      <x:c r="I3" s="8" t="str">
        <x:v>Current Cost</x:v>
      </x:c>
      <x:c r="J3" s="8" t="str">
        <x:v>Cost To Enter</x:v>
      </x:c>
      <x:c r="K3" s="8" t="str">
        <x:v>Status</x:v>
      </x:c>
    </x:row>
    <x:row r="4">
      <x:c r="A4" s="9" t="str">
        <x:v>9617</x:v>
      </x:c>
      <x:c r="B4" s="9" t="str">
        <x:v>TM8-TAB-9617</x:v>
      </x:c>
      <x:c r="C4" s="10" t="str">
        <x:v>Z-Fold Case for iPad mini 4/5 - Mint</x:v>
      </x:c>
      <x:c r="D4" s="10" t="str">
        <x:v>Z-Fold Case</x:v>
      </x:c>
      <x:c r="E4" s="10" t="str">
        <x:v>Mint</x:v>
      </x:c>
      <x:c r="F4" s="10" t="str">
        <x:v>iPad mini 4; iPad mini 5</x:v>
      </x:c>
      <x:c r="G4" s="10" t="str">
        <x:v>iPad mini 4/5</x:v>
      </x:c>
      <x:c r="H4" s="11" t="n">
        <x:v>39.95</x:v>
      </x:c>
      <x:c r="I4" s="11" t="n">
        <x:v>0</x:v>
      </x:c>
      <x:c r="J4" s="13"/>
      <x:c r="K4" s="9" t="str">
        <x:f>IF(J4&gt;0,"Ready","Cost required")</x:f>
        <x:v>Cost required</x:v>
      </x:c>
    </x:row>
    <x:row r="5">
      <x:c r="A5" s="9" t="str">
        <x:v>9615</x:v>
      </x:c>
      <x:c r="B5" s="9" t="str">
        <x:v>TM8-TAB-9615</x:v>
      </x:c>
      <x:c r="C5" s="10" t="str">
        <x:v>Flip Case for iPad Air 4/5 and iPad Pro 11 (2018-2022) - Mint</x:v>
      </x:c>
      <x:c r="D5" s="10" t="str">
        <x:v>Flip Case</x:v>
      </x:c>
      <x:c r="E5" s="10" t="str">
        <x:v>Mint</x:v>
      </x:c>
      <x:c r="F5" s="10" t="str">
        <x:v>iPad Air 4; iPad Air 5; iPad Pro 11-inch (2018); iPad Pro 11-inch (2020); iPad Pro 11-inch (2021); iPad Pro 11-inch (2022)</x:v>
      </x:c>
      <x:c r="G5" s="10" t="str">
        <x:v>iPad Air 4/5, Pro 11</x:v>
      </x:c>
      <x:c r="H5" s="11" t="n">
        <x:v>39</x:v>
      </x:c>
      <x:c r="I5" s="11" t="n">
        <x:v>0</x:v>
      </x:c>
      <x:c r="J5" s="13"/>
      <x:c r="K5" s="9" t="str">
        <x:f>IF(J5&gt;0,"Ready","Cost required")</x:f>
        <x:v>Cost required</x:v>
      </x:c>
    </x:row>
    <x:row r="6">
      <x:c r="A6" s="9" t="str">
        <x:v>9614</x:v>
      </x:c>
      <x:c r="B6" s="9" t="str">
        <x:v>TM8-TAB-9614</x:v>
      </x:c>
      <x:c r="C6" s="10" t="str">
        <x:v>Z-Flip Case for iPad 9.7-inch (Gen 5/6 and Air 1/2) - Gold</x:v>
      </x:c>
      <x:c r="D6" s="10" t="str">
        <x:v>Z-Flip Case</x:v>
      </x:c>
      <x:c r="E6" s="10" t="str">
        <x:v>Gold</x:v>
      </x:c>
      <x:c r="F6" s="10" t="str">
        <x:v>iPad 5th Gen 9.7; iPad 6th Gen 9.7; iPad Air 1 9.7; iPad Air 2 9.7</x:v>
      </x:c>
      <x:c r="G6" s="10" t="str">
        <x:v>iPad 9.7 Inch</x:v>
      </x:c>
      <x:c r="H6" s="11" t="n">
        <x:v>39</x:v>
      </x:c>
      <x:c r="I6" s="11" t="n">
        <x:v>0</x:v>
      </x:c>
      <x:c r="J6" s="13"/>
      <x:c r="K6" s="9" t="str">
        <x:f>IF(J6&gt;0,"Ready","Cost required")</x:f>
        <x:v>Cost required</x:v>
      </x:c>
    </x:row>
    <x:row r="7">
      <x:c r="A7" s="9" t="str">
        <x:v>9608</x:v>
      </x:c>
      <x:c r="B7" s="9" t="str">
        <x:v>TM8-TAB-9608</x:v>
      </x:c>
      <x:c r="C7" s="10" t="str">
        <x:v>Flip Case for iPad Pro 12.9-inch (2018-2022) - Pink</x:v>
      </x:c>
      <x:c r="D7" s="10" t="str">
        <x:v>Flip Case</x:v>
      </x:c>
      <x:c r="E7" s="10" t="str">
        <x:v>Pink</x:v>
      </x:c>
      <x:c r="F7" s="10" t="str">
        <x:v>iPad Pro 12.9-inch (2018); iPad Pro 12.9-inch (2020); iPad Pro 12.9-inch (2021); iPad Pro 12.9-inch (2022)</x:v>
      </x:c>
      <x:c r="G7" s="10" t="str">
        <x:v>iPad 12.9 inch</x:v>
      </x:c>
      <x:c r="H7" s="11" t="n">
        <x:v>35</x:v>
      </x:c>
      <x:c r="I7" s="11" t="n">
        <x:v>0</x:v>
      </x:c>
      <x:c r="J7" s="13"/>
      <x:c r="K7" s="9" t="str">
        <x:f>IF(J7&gt;0,"Ready","Cost required")</x:f>
        <x:v>Cost required</x:v>
      </x:c>
    </x:row>
    <x:row r="8">
      <x:c r="A8" s="9" t="str">
        <x:v>9607</x:v>
      </x:c>
      <x:c r="B8" s="9" t="str">
        <x:v>TM8-TAB-9607</x:v>
      </x:c>
      <x:c r="C8" s="10" t="str">
        <x:v>Flip Case for iPad Pro 12.9-inch (2018-2022) - Mint</x:v>
      </x:c>
      <x:c r="D8" s="10" t="str">
        <x:v>Flip Case</x:v>
      </x:c>
      <x:c r="E8" s="10" t="str">
        <x:v>Mint</x:v>
      </x:c>
      <x:c r="F8" s="10" t="str">
        <x:v>iPad Pro 12.9-inch (2018); iPad Pro 12.9-inch (2020); iPad Pro 12.9-inch (2021); iPad Pro 12.9-inch (2022)</x:v>
      </x:c>
      <x:c r="G8" s="10" t="str">
        <x:v>iPad 12.9 inch</x:v>
      </x:c>
      <x:c r="H8" s="11" t="n">
        <x:v>35</x:v>
      </x:c>
      <x:c r="I8" s="11" t="n">
        <x:v>0</x:v>
      </x:c>
      <x:c r="J8" s="13"/>
      <x:c r="K8" s="9" t="str">
        <x:f>IF(J8&gt;0,"Ready","Cost required")</x:f>
        <x:v>Cost required</x:v>
      </x:c>
    </x:row>
    <x:row r="9">
      <x:c r="A9" s="9" t="str">
        <x:v>9605</x:v>
      </x:c>
      <x:c r="B9" s="9" t="str">
        <x:v>TM8-TAB-9605</x:v>
      </x:c>
      <x:c r="C9" s="10" t="str">
        <x:v>Z-Flip Case for iPad Air 4/5 and iPad Pro 11 (2018-2022) - Pink</x:v>
      </x:c>
      <x:c r="D9" s="10" t="str">
        <x:v>Z-Flip Case</x:v>
      </x:c>
      <x:c r="E9" s="10" t="str">
        <x:v>Pink</x:v>
      </x:c>
      <x:c r="F9" s="10" t="str">
        <x:v>iPad Air 4; iPad Air 5; iPad Pro 11-inch (2018); iPad Pro 11-inch (2020); iPad Pro 11-inch (2021); iPad Pro 11-inch (2022)</x:v>
      </x:c>
      <x:c r="G9" s="10" t="str">
        <x:v>iPad 10.9 inch/Pro 11</x:v>
      </x:c>
      <x:c r="H9" s="11" t="n">
        <x:v>39</x:v>
      </x:c>
      <x:c r="I9" s="11" t="n">
        <x:v>0</x:v>
      </x:c>
      <x:c r="J9" s="13"/>
      <x:c r="K9" s="9" t="str">
        <x:f>IF(J9&gt;0,"Ready","Cost required")</x:f>
        <x:v>Cost required</x:v>
      </x:c>
    </x:row>
    <x:row r="10">
      <x:c r="A10" s="9" t="str">
        <x:v>9604</x:v>
      </x:c>
      <x:c r="B10" s="9" t="str">
        <x:v>TM8-TAB-9604</x:v>
      </x:c>
      <x:c r="C10" s="10" t="str">
        <x:v>Z-Flip Case for iPad Air 4/5 and iPad Pro 11 (2018-2022) - Black</x:v>
      </x:c>
      <x:c r="D10" s="10" t="str">
        <x:v>Z-Flip Case</x:v>
      </x:c>
      <x:c r="E10" s="10" t="str">
        <x:v>Black</x:v>
      </x:c>
      <x:c r="F10" s="10" t="str">
        <x:v>iPad Air 4; iPad Air 5; iPad Pro 11-inch (2018); iPad Pro 11-inch (2020); iPad Pro 11-inch (2021); iPad Pro 11-inch (2022)</x:v>
      </x:c>
      <x:c r="G10" s="10" t="str">
        <x:v>iPad 10.9 inch/Pro 11</x:v>
      </x:c>
      <x:c r="H10" s="11" t="n">
        <x:v>39</x:v>
      </x:c>
      <x:c r="I10" s="11" t="n">
        <x:v>0</x:v>
      </x:c>
      <x:c r="J10" s="13"/>
      <x:c r="K10" s="9" t="str">
        <x:f>IF(J10&gt;0,"Ready","Cost required")</x:f>
        <x:v>Cost required</x:v>
      </x:c>
    </x:row>
    <x:row r="11">
      <x:c r="A11" s="9" t="str">
        <x:v>9603</x:v>
      </x:c>
      <x:c r="B11" s="9" t="str">
        <x:v>TM8-TAB-9603</x:v>
      </x:c>
      <x:c r="C11" s="10" t="str">
        <x:v>Survivor Case for iPad Air 4/5 and iPad Pro 11 (2018-2022) - Assorted</x:v>
      </x:c>
      <x:c r="D11" s="10" t="str">
        <x:v>Survivor Case</x:v>
      </x:c>
      <x:c r="E11" s="10" t="str">
        <x:v>Assorted</x:v>
      </x:c>
      <x:c r="F11" s="10" t="str">
        <x:v>iPad Air 4; iPad Air 5; iPad Pro 11-inch (2018); iPad Pro 11-inch (2020); iPad Pro 11-inch (2021); iPad Pro 11-inch (2022)</x:v>
      </x:c>
      <x:c r="G11" s="10" t="str">
        <x:v>iPad 10.9 inch/Pro 11</x:v>
      </x:c>
      <x:c r="H11" s="11" t="n">
        <x:v>49</x:v>
      </x:c>
      <x:c r="I11" s="11" t="n">
        <x:v>0</x:v>
      </x:c>
      <x:c r="J11" s="13"/>
      <x:c r="K11" s="9" t="str">
        <x:f>IF(J11&gt;0,"Ready","Cost required")</x:f>
        <x:v>Cost required</x:v>
      </x:c>
    </x:row>
    <x:row r="12">
      <x:c r="A12" s="9" t="str">
        <x:v>9602</x:v>
      </x:c>
      <x:c r="B12" s="9" t="str">
        <x:v>TM8-TAB-9602</x:v>
      </x:c>
      <x:c r="C12" s="10" t="str">
        <x:v>Z-Fold Case for iPad 10.2-inch (Gen 7/8/9) - Brown</x:v>
      </x:c>
      <x:c r="D12" s="10" t="str">
        <x:v>Z-Fold Case</x:v>
      </x:c>
      <x:c r="E12" s="10" t="str">
        <x:v>Brown</x:v>
      </x:c>
      <x:c r="F12" s="10" t="str">
        <x:v>iPad 7th Gen 10.2; iPad 8th Gen 10.2; iPad 9th Gen 10.2</x:v>
      </x:c>
      <x:c r="G12" s="10" t="str">
        <x:v>iPad 10.2 Inch</x:v>
      </x:c>
      <x:c r="H12" s="11" t="n">
        <x:v>39.95</x:v>
      </x:c>
      <x:c r="I12" s="11" t="n">
        <x:v>0</x:v>
      </x:c>
      <x:c r="J12" s="13"/>
      <x:c r="K12" s="9" t="str">
        <x:f>IF(J12&gt;0,"Ready","Cost required")</x:f>
        <x:v>Cost required</x:v>
      </x:c>
    </x:row>
    <x:row r="13">
      <x:c r="A13" s="9" t="str">
        <x:v>9601</x:v>
      </x:c>
      <x:c r="B13" s="9" t="str">
        <x:v>TM8-TAB-9601</x:v>
      </x:c>
      <x:c r="C13" s="10" t="str">
        <x:v>Flip Case for iPad 10.2-inch (Gen 7/8/9) - Red</x:v>
      </x:c>
      <x:c r="D13" s="10" t="str">
        <x:v>Flip Case</x:v>
      </x:c>
      <x:c r="E13" s="10" t="str">
        <x:v>Red</x:v>
      </x:c>
      <x:c r="F13" s="10" t="str">
        <x:v>iPad 7th Gen 10.2; iPad 8th Gen 10.2; iPad 9th Gen 10.2</x:v>
      </x:c>
      <x:c r="G13" s="10" t="str">
        <x:v>iPad 10.2 Inch</x:v>
      </x:c>
      <x:c r="H13" s="11" t="n">
        <x:v>39</x:v>
      </x:c>
      <x:c r="I13" s="11" t="n">
        <x:v>0</x:v>
      </x:c>
      <x:c r="J13" s="13"/>
      <x:c r="K13" s="9" t="str">
        <x:f>IF(J13&gt;0,"Ready","Cost required")</x:f>
        <x:v>Cost required</x:v>
      </x:c>
    </x:row>
    <x:row r="14">
      <x:c r="A14" s="9" t="str">
        <x:v>9600</x:v>
      </x:c>
      <x:c r="B14" s="9" t="str">
        <x:v>TM8-TAB-9600</x:v>
      </x:c>
      <x:c r="C14" s="10" t="str">
        <x:v>Z-Fold Case for iPad 10.2-inch (Gen 7/8/9) - Red</x:v>
      </x:c>
      <x:c r="D14" s="10" t="str">
        <x:v>Z-Fold Case</x:v>
      </x:c>
      <x:c r="E14" s="10" t="str">
        <x:v>Red</x:v>
      </x:c>
      <x:c r="F14" s="10" t="str">
        <x:v>iPad 7th Gen 10.2; iPad 8th Gen 10.2; iPad 9th Gen 10.2</x:v>
      </x:c>
      <x:c r="G14" s="10" t="str">
        <x:v>iPad 10.2 Inch</x:v>
      </x:c>
      <x:c r="H14" s="11" t="n">
        <x:v>39.95</x:v>
      </x:c>
      <x:c r="I14" s="11" t="n">
        <x:v>0</x:v>
      </x:c>
      <x:c r="J14" s="13"/>
      <x:c r="K14" s="9" t="str">
        <x:f>IF(J14&gt;0,"Ready","Cost required")</x:f>
        <x:v>Cost required</x:v>
      </x:c>
    </x:row>
    <x:row r="15">
      <x:c r="A15" s="9" t="str">
        <x:v>8881</x:v>
      </x:c>
      <x:c r="B15" s="9" t="str">
        <x:v>TM8-TAB-8881</x:v>
      </x:c>
      <x:c r="C15" s="10" t="str">
        <x:v>Survivor Case for iPad mini 4/5 - Assorted</x:v>
      </x:c>
      <x:c r="D15" s="10" t="str">
        <x:v>Survivor Case</x:v>
      </x:c>
      <x:c r="E15" s="10" t="str">
        <x:v>Assorted</x:v>
      </x:c>
      <x:c r="F15" s="10" t="str">
        <x:v>iPad mini 4; iPad mini 5</x:v>
      </x:c>
      <x:c r="G15" s="10" t="str">
        <x:v>iPad mini 4/5</x:v>
      </x:c>
      <x:c r="H15" s="11" t="n">
        <x:v>49</x:v>
      </x:c>
      <x:c r="I15" s="11" t="n">
        <x:v>0</x:v>
      </x:c>
      <x:c r="J15" s="13"/>
      <x:c r="K15" s="9" t="str">
        <x:f>IF(J15&gt;0,"Ready","Cost required")</x:f>
        <x:v>Cost required</x:v>
      </x:c>
    </x:row>
    <x:row r="16">
      <x:c r="A16" s="9" t="str">
        <x:v>8880</x:v>
      </x:c>
      <x:c r="B16" s="9" t="str">
        <x:v>TM8-TAB-8880</x:v>
      </x:c>
      <x:c r="C16" s="10" t="str">
        <x:v>Tablet Case for Samsung Galaxy Tab A7 - Assorted</x:v>
      </x:c>
      <x:c r="D16" s="10" t="str">
        <x:v>Tablet Case</x:v>
      </x:c>
      <x:c r="E16" s="10" t="str">
        <x:v>Assorted</x:v>
      </x:c>
      <x:c r="F16" s="10" t="str">
        <x:v>Samsung Galaxy Tab A7</x:v>
      </x:c>
      <x:c r="G16" s="10" t="str">
        <x:v>Samsung Tablet</x:v>
      </x:c>
      <x:c r="H16" s="11" t="n">
        <x:v>39</x:v>
      </x:c>
      <x:c r="I16" s="11" t="n">
        <x:v>0</x:v>
      </x:c>
      <x:c r="J16" s="13"/>
      <x:c r="K16" s="9" t="str">
        <x:f>IF(J16&gt;0,"Ready","Cost required")</x:f>
        <x:v>Cost required</x:v>
      </x:c>
    </x:row>
    <x:row r="17">
      <x:c r="A17" s="9" t="str">
        <x:v>8879</x:v>
      </x:c>
      <x:c r="B17" s="9" t="str">
        <x:v>TM8-TAB-8879</x:v>
      </x:c>
      <x:c r="C17" s="10" t="str">
        <x:v>Survivor Case for iPad mini 6 - Assorted</x:v>
      </x:c>
      <x:c r="D17" s="10" t="str">
        <x:v>Survivor Case</x:v>
      </x:c>
      <x:c r="E17" s="10" t="str">
        <x:v>Assorted</x:v>
      </x:c>
      <x:c r="F17" s="10" t="str">
        <x:v>iPad mini 6</x:v>
      </x:c>
      <x:c r="G17" s="10" t="str">
        <x:v>iPad mini 6</x:v>
      </x:c>
      <x:c r="H17" s="11" t="n">
        <x:v>49</x:v>
      </x:c>
      <x:c r="I17" s="11" t="n">
        <x:v>0</x:v>
      </x:c>
      <x:c r="J17" s="13"/>
      <x:c r="K17" s="9" t="str">
        <x:f>IF(J17&gt;0,"Ready","Cost required")</x:f>
        <x:v>Cost required</x:v>
      </x:c>
    </x:row>
    <x:row r="18">
      <x:c r="A18" s="9" t="str">
        <x:v>8878</x:v>
      </x:c>
      <x:c r="B18" s="9" t="str">
        <x:v>TM8-TAB-8878</x:v>
      </x:c>
      <x:c r="C18" s="10" t="str">
        <x:v>Survivor Case for iPad 10.2-inch (Gen 7/8/9) - Assorted</x:v>
      </x:c>
      <x:c r="D18" s="10" t="str">
        <x:v>Survivor Case</x:v>
      </x:c>
      <x:c r="E18" s="10" t="str">
        <x:v>Assorted</x:v>
      </x:c>
      <x:c r="F18" s="10" t="str">
        <x:v>iPad 7th Gen 10.2; iPad 8th Gen 10.2; iPad 9th Gen 10.2</x:v>
      </x:c>
      <x:c r="G18" s="10" t="str">
        <x:v>iPad 10.2 Inch</x:v>
      </x:c>
      <x:c r="H18" s="11" t="n">
        <x:v>49</x:v>
      </x:c>
      <x:c r="I18" s="11" t="n">
        <x:v>0</x:v>
      </x:c>
      <x:c r="J18" s="13"/>
      <x:c r="K18" s="9" t="str">
        <x:f>IF(J18&gt;0,"Ready","Cost required")</x:f>
        <x:v>Cost required</x:v>
      </x:c>
    </x:row>
    <x:row r="19">
      <x:c r="A19" s="9" t="str">
        <x:v>8877</x:v>
      </x:c>
      <x:c r="B19" s="9" t="str">
        <x:v>TM8-TAB-8877</x:v>
      </x:c>
      <x:c r="C19" s="10" t="str">
        <x:v>Survivor Case for iPad 9.7-inch (Gen 5/6 and Air 1/2) - Assorted</x:v>
      </x:c>
      <x:c r="D19" s="10" t="str">
        <x:v>Survivor Case</x:v>
      </x:c>
      <x:c r="E19" s="10" t="str">
        <x:v>Assorted</x:v>
      </x:c>
      <x:c r="F19" s="10" t="str">
        <x:v>iPad 5th Gen 9.7; iPad 6th Gen 9.7; iPad Air 1 9.7; iPad Air 2 9.7</x:v>
      </x:c>
      <x:c r="G19" s="10" t="str">
        <x:v>iPad 9.7 Inch</x:v>
      </x:c>
      <x:c r="H19" s="11" t="n">
        <x:v>49</x:v>
      </x:c>
      <x:c r="I19" s="11" t="n">
        <x:v>0</x:v>
      </x:c>
      <x:c r="J19" s="13"/>
      <x:c r="K19" s="9" t="str">
        <x:f>IF(J19&gt;0,"Ready","Cost required")</x:f>
        <x:v>Cost required</x:v>
      </x:c>
    </x:row>
    <x:row r="20">
      <x:c r="A20" s="9" t="str">
        <x:v>8876</x:v>
      </x:c>
      <x:c r="B20" s="9" t="str">
        <x:v>TM8-TAB-8876</x:v>
      </x:c>
      <x:c r="C20" s="10" t="str">
        <x:v>Flip Case for iPad 10.2-inch (Gen 7/8/9) - Mint</x:v>
      </x:c>
      <x:c r="D20" s="10" t="str">
        <x:v>Flip Case</x:v>
      </x:c>
      <x:c r="E20" s="10" t="str">
        <x:v>Mint</x:v>
      </x:c>
      <x:c r="F20" s="10" t="str">
        <x:v>iPad 7th Gen 10.2; iPad 8th Gen 10.2; iPad 9th Gen 10.2</x:v>
      </x:c>
      <x:c r="G20" s="10" t="str">
        <x:v>iPad 10.2 Inch</x:v>
      </x:c>
      <x:c r="H20" s="11" t="n">
        <x:v>39</x:v>
      </x:c>
      <x:c r="I20" s="11" t="n">
        <x:v>0</x:v>
      </x:c>
      <x:c r="J20" s="13"/>
      <x:c r="K20" s="9" t="str">
        <x:f>IF(J20&gt;0,"Ready","Cost required")</x:f>
        <x:v>Cost required</x:v>
      </x:c>
    </x:row>
    <x:row r="21">
      <x:c r="A21" s="9" t="str">
        <x:v>8875</x:v>
      </x:c>
      <x:c r="B21" s="9" t="str">
        <x:v>TM8-TAB-8875</x:v>
      </x:c>
      <x:c r="C21" s="10" t="str">
        <x:v>Flip Case for iPad 10.2-inch (Gen 7/8/9) - Black</x:v>
      </x:c>
      <x:c r="D21" s="10" t="str">
        <x:v>Flip Case</x:v>
      </x:c>
      <x:c r="E21" s="10" t="str">
        <x:v>Black</x:v>
      </x:c>
      <x:c r="F21" s="10" t="str">
        <x:v>iPad 7th Gen 10.2; iPad 8th Gen 10.2; iPad 9th Gen 10.2</x:v>
      </x:c>
      <x:c r="G21" s="10" t="str">
        <x:v>iPad 10.2 Inch</x:v>
      </x:c>
      <x:c r="H21" s="11" t="n">
        <x:v>39</x:v>
      </x:c>
      <x:c r="I21" s="11" t="n">
        <x:v>0</x:v>
      </x:c>
      <x:c r="J21" s="13"/>
      <x:c r="K21" s="9" t="str">
        <x:f>IF(J21&gt;0,"Ready","Cost required")</x:f>
        <x:v>Cost required</x:v>
      </x:c>
    </x:row>
    <x:row r="22">
      <x:c r="A22" s="9" t="str">
        <x:v>8874</x:v>
      </x:c>
      <x:c r="B22" s="9" t="str">
        <x:v>TM8-TAB-8874</x:v>
      </x:c>
      <x:c r="C22" s="10" t="str">
        <x:v>Flip Case for iPad 10th Gen 10.9-inch - Black</x:v>
      </x:c>
      <x:c r="D22" s="10" t="str">
        <x:v>Flip Case</x:v>
      </x:c>
      <x:c r="E22" s="10" t="str">
        <x:v>Black</x:v>
      </x:c>
      <x:c r="F22" s="10" t="str">
        <x:v>iPad 10th Gen 10.9</x:v>
      </x:c>
      <x:c r="G22" s="10" t="str">
        <x:v>iPad 10th Gen 10.9 Inch</x:v>
      </x:c>
      <x:c r="H22" s="11" t="n">
        <x:v>39</x:v>
      </x:c>
      <x:c r="I22" s="11" t="n">
        <x:v>0</x:v>
      </x:c>
      <x:c r="J22" s="13"/>
      <x:c r="K22" s="9" t="str">
        <x:f>IF(J22&gt;0,"Ready","Cost required")</x:f>
        <x:v>Cost required</x:v>
      </x:c>
    </x:row>
    <x:row r="23">
      <x:c r="A23" s="9" t="str">
        <x:v>8873</x:v>
      </x:c>
      <x:c r="B23" s="9" t="str">
        <x:v>TM8-TAB-8873</x:v>
      </x:c>
      <x:c r="C23" s="10" t="str">
        <x:v>Flip Case for iPad 10th Gen 10.9-inch - Rose Gold</x:v>
      </x:c>
      <x:c r="D23" s="10" t="str">
        <x:v>Flip Case</x:v>
      </x:c>
      <x:c r="E23" s="10" t="str">
        <x:v>Rose Gold</x:v>
      </x:c>
      <x:c r="F23" s="10" t="str">
        <x:v>iPad 10th Gen 10.9</x:v>
      </x:c>
      <x:c r="G23" s="10" t="str">
        <x:v>iPad 10th Gen 10.9 Inch</x:v>
      </x:c>
      <x:c r="H23" s="11" t="n">
        <x:v>39</x:v>
      </x:c>
      <x:c r="I23" s="11" t="n">
        <x:v>0</x:v>
      </x:c>
      <x:c r="J23" s="13"/>
      <x:c r="K23" s="9" t="str">
        <x:f>IF(J23&gt;0,"Ready","Cost required")</x:f>
        <x:v>Cost required</x:v>
      </x:c>
    </x:row>
    <x:row r="24">
      <x:c r="A24" s="9" t="str">
        <x:v>8121</x:v>
      </x:c>
      <x:c r="B24" s="9" t="str">
        <x:v>TM8-TAB-8121</x:v>
      </x:c>
      <x:c r="C24" s="10" t="str">
        <x:v>Z-Fold Case for iPad 9.7-inch (Gen 5/6 and Air 1/2) - Yellow</x:v>
      </x:c>
      <x:c r="D24" s="10" t="str">
        <x:v>Z-Fold Case</x:v>
      </x:c>
      <x:c r="E24" s="10" t="str">
        <x:v>Yellow</x:v>
      </x:c>
      <x:c r="F24" s="10" t="str">
        <x:v>iPad 5th Gen 9.7; iPad 6th Gen 9.7; iPad Air 1 9.7; iPad Air 2 9.7</x:v>
      </x:c>
      <x:c r="G24" s="10" t="str">
        <x:v>iPad 9.7 Inch</x:v>
      </x:c>
      <x:c r="H24" s="11" t="n">
        <x:v>39.95</x:v>
      </x:c>
      <x:c r="I24" s="11" t="n">
        <x:v>0</x:v>
      </x:c>
      <x:c r="J24" s="13"/>
      <x:c r="K24" s="9" t="str">
        <x:f>IF(J24&gt;0,"Ready","Cost required")</x:f>
        <x:v>Cost required</x:v>
      </x:c>
    </x:row>
    <x:row r="25">
      <x:c r="A25" s="9" t="str">
        <x:v>7844</x:v>
      </x:c>
      <x:c r="B25" s="9" t="str">
        <x:v>TM8-TAB-7844</x:v>
      </x:c>
      <x:c r="C25" s="10" t="str">
        <x:v>Twist Leather Case for iPad 10th Gen 10.9-inch - Gold</x:v>
      </x:c>
      <x:c r="D25" s="10" t="str">
        <x:v>Twist Leather Case</x:v>
      </x:c>
      <x:c r="E25" s="10" t="str">
        <x:v>Gold</x:v>
      </x:c>
      <x:c r="F25" s="10" t="str">
        <x:v>iPad 10th Gen 10.9</x:v>
      </x:c>
      <x:c r="G25" s="10" t="str">
        <x:v>iPad 10th Gen 10.9 Inch</x:v>
      </x:c>
      <x:c r="H25" s="11" t="n">
        <x:v>39.95</x:v>
      </x:c>
      <x:c r="I25" s="11" t="n">
        <x:v>0</x:v>
      </x:c>
      <x:c r="J25" s="13"/>
      <x:c r="K25" s="9" t="str">
        <x:f>IF(J25&gt;0,"Ready","Cost required")</x:f>
        <x:v>Cost required</x:v>
      </x:c>
    </x:row>
    <x:row r="26">
      <x:c r="A26" s="9" t="str">
        <x:v>7723</x:v>
      </x:c>
      <x:c r="B26" s="9" t="str">
        <x:v>TM8-TAB-7723</x:v>
      </x:c>
      <x:c r="C26" s="10" t="str">
        <x:v>Z-Fold Case for iPad 10th Gen 10.9-inch - Sky Blue</x:v>
      </x:c>
      <x:c r="D26" s="10" t="str">
        <x:v>Z-Fold Case</x:v>
      </x:c>
      <x:c r="E26" s="10" t="str">
        <x:v>Sky Blue</x:v>
      </x:c>
      <x:c r="F26" s="10" t="str">
        <x:v>iPad 10th Gen 10.9</x:v>
      </x:c>
      <x:c r="G26" s="10" t="str">
        <x:v>iPad 10th Gen 10.9 Inch</x:v>
      </x:c>
      <x:c r="H26" s="11" t="n">
        <x:v>39.95</x:v>
      </x:c>
      <x:c r="I26" s="11" t="n">
        <x:v>0</x:v>
      </x:c>
      <x:c r="J26" s="13"/>
      <x:c r="K26" s="9" t="str">
        <x:f>IF(J26&gt;0,"Ready","Cost required")</x:f>
        <x:v>Cost required</x:v>
      </x:c>
    </x:row>
    <x:row r="27">
      <x:c r="A27" s="9" t="str">
        <x:v>7722</x:v>
      </x:c>
      <x:c r="B27" s="9" t="str">
        <x:v>TM8-TAB-7722</x:v>
      </x:c>
      <x:c r="C27" s="10" t="str">
        <x:v>Z-Fold Case for iPad 10th Gen 10.9-inch - Pink</x:v>
      </x:c>
      <x:c r="D27" s="10" t="str">
        <x:v>Z-Fold Case</x:v>
      </x:c>
      <x:c r="E27" s="10" t="str">
        <x:v>Pink</x:v>
      </x:c>
      <x:c r="F27" s="10" t="str">
        <x:v>iPad 10th Gen 10.9</x:v>
      </x:c>
      <x:c r="G27" s="10" t="str">
        <x:v>iPad 10th Gen 10.9 Inch</x:v>
      </x:c>
      <x:c r="H27" s="11" t="n">
        <x:v>39.95</x:v>
      </x:c>
      <x:c r="I27" s="11" t="n">
        <x:v>0</x:v>
      </x:c>
      <x:c r="J27" s="13"/>
      <x:c r="K27" s="9" t="str">
        <x:f>IF(J27&gt;0,"Ready","Cost required")</x:f>
        <x:v>Cost required</x:v>
      </x:c>
    </x:row>
    <x:row r="28">
      <x:c r="A28" s="9" t="str">
        <x:v>7721</x:v>
      </x:c>
      <x:c r="B28" s="9" t="str">
        <x:v>TM8-TAB-7721</x:v>
      </x:c>
      <x:c r="C28" s="10" t="str">
        <x:v>Z-Fold Case for iPad 10th Gen 10.9-inch - Grey</x:v>
      </x:c>
      <x:c r="D28" s="10" t="str">
        <x:v>Z-Fold Case</x:v>
      </x:c>
      <x:c r="E28" s="10" t="str">
        <x:v>Grey</x:v>
      </x:c>
      <x:c r="F28" s="10" t="str">
        <x:v>iPad 10th Gen 10.9</x:v>
      </x:c>
      <x:c r="G28" s="10" t="str">
        <x:v>iPad 10th Gen 10.9 Inch</x:v>
      </x:c>
      <x:c r="H28" s="11" t="n">
        <x:v>39.95</x:v>
      </x:c>
      <x:c r="I28" s="11" t="n">
        <x:v>0</x:v>
      </x:c>
      <x:c r="J28" s="13"/>
      <x:c r="K28" s="9" t="str">
        <x:f>IF(J28&gt;0,"Ready","Cost required")</x:f>
        <x:v>Cost required</x:v>
      </x:c>
    </x:row>
    <x:row r="29">
      <x:c r="A29" s="9" t="str">
        <x:v>7720</x:v>
      </x:c>
      <x:c r="B29" s="9" t="str">
        <x:v>TM8-TAB-7720</x:v>
      </x:c>
      <x:c r="C29" s="10" t="str">
        <x:v>Z-Fold Case for iPad 10th Gen 10.9-inch - Light Green</x:v>
      </x:c>
      <x:c r="D29" s="10" t="str">
        <x:v>Z-Fold Case</x:v>
      </x:c>
      <x:c r="E29" s="10" t="str">
        <x:v>Light Green</x:v>
      </x:c>
      <x:c r="F29" s="10" t="str">
        <x:v>iPad 10th Gen 10.9</x:v>
      </x:c>
      <x:c r="G29" s="10" t="str">
        <x:v>iPad 10th Gen 10.9 Inch</x:v>
      </x:c>
      <x:c r="H29" s="11" t="n">
        <x:v>39.95</x:v>
      </x:c>
      <x:c r="I29" s="11" t="n">
        <x:v>0</x:v>
      </x:c>
      <x:c r="J29" s="13"/>
      <x:c r="K29" s="9" t="str">
        <x:f>IF(J29&gt;0,"Ready","Cost required")</x:f>
        <x:v>Cost required</x:v>
      </x:c>
    </x:row>
    <x:row r="30">
      <x:c r="A30" s="9" t="str">
        <x:v>7719</x:v>
      </x:c>
      <x:c r="B30" s="9" t="str">
        <x:v>TM8-TAB-7719</x:v>
      </x:c>
      <x:c r="C30" s="10" t="str">
        <x:v>Z-Fold Case for iPad 10th Gen 10.9-inch - Black</x:v>
      </x:c>
      <x:c r="D30" s="10" t="str">
        <x:v>Z-Fold Case</x:v>
      </x:c>
      <x:c r="E30" s="10" t="str">
        <x:v>Black</x:v>
      </x:c>
      <x:c r="F30" s="10" t="str">
        <x:v>iPad 10th Gen 10.9</x:v>
      </x:c>
      <x:c r="G30" s="10" t="str">
        <x:v>iPad 10th Gen 10.9 Inch</x:v>
      </x:c>
      <x:c r="H30" s="11" t="n">
        <x:v>39.95</x:v>
      </x:c>
      <x:c r="I30" s="11" t="n">
        <x:v>0</x:v>
      </x:c>
      <x:c r="J30" s="13"/>
      <x:c r="K30" s="9" t="str">
        <x:f>IF(J30&gt;0,"Ready","Cost required")</x:f>
        <x:v>Cost required</x:v>
      </x:c>
    </x:row>
    <x:row r="31">
      <x:c r="A31" s="9" t="str">
        <x:v>7718</x:v>
      </x:c>
      <x:c r="B31" s="9" t="str">
        <x:v>TM8-TAB-7718</x:v>
      </x:c>
      <x:c r="C31" s="10" t="str">
        <x:v>Z-Fold Case for iPad 10th Gen 10.9-inch - Purple</x:v>
      </x:c>
      <x:c r="D31" s="10" t="str">
        <x:v>Z-Fold Case</x:v>
      </x:c>
      <x:c r="E31" s="10" t="str">
        <x:v>Purple</x:v>
      </x:c>
      <x:c r="F31" s="10" t="str">
        <x:v>iPad 10th Gen 10.9</x:v>
      </x:c>
      <x:c r="G31" s="10" t="str">
        <x:v>iPad 10th Gen 10.9 Inch</x:v>
      </x:c>
      <x:c r="H31" s="11" t="n">
        <x:v>39.95</x:v>
      </x:c>
      <x:c r="I31" s="11" t="n">
        <x:v>0</x:v>
      </x:c>
      <x:c r="J31" s="13"/>
      <x:c r="K31" s="9" t="str">
        <x:f>IF(J31&gt;0,"Ready","Cost required")</x:f>
        <x:v>Cost required</x:v>
      </x:c>
    </x:row>
    <x:row r="32">
      <x:c r="A32" s="9" t="str">
        <x:v>7516</x:v>
      </x:c>
      <x:c r="B32" s="9" t="str">
        <x:v>TM8-TAB-7516</x:v>
      </x:c>
      <x:c r="C32" s="10" t="str">
        <x:v>Twist Leather Case for iPad 10th Gen 10.9-inch - Pink</x:v>
      </x:c>
      <x:c r="D32" s="10" t="str">
        <x:v>Twist Leather Case</x:v>
      </x:c>
      <x:c r="E32" s="10" t="str">
        <x:v>Pink</x:v>
      </x:c>
      <x:c r="F32" s="10" t="str">
        <x:v>iPad 10th Gen 10.9</x:v>
      </x:c>
      <x:c r="G32" s="10" t="str">
        <x:v>iPad 10th Gen 10.9 Inch</x:v>
      </x:c>
      <x:c r="H32" s="11" t="n">
        <x:v>39.95</x:v>
      </x:c>
      <x:c r="I32" s="11" t="n">
        <x:v>0</x:v>
      </x:c>
      <x:c r="J32" s="13"/>
      <x:c r="K32" s="9" t="str">
        <x:f>IF(J32&gt;0,"Ready","Cost required")</x:f>
        <x:v>Cost required</x:v>
      </x:c>
    </x:row>
    <x:row r="33">
      <x:c r="A33" s="9" t="str">
        <x:v>7515</x:v>
      </x:c>
      <x:c r="B33" s="9" t="str">
        <x:v>TM8-TAB-7515</x:v>
      </x:c>
      <x:c r="C33" s="10" t="str">
        <x:v>Twist Leather Case for iPad 10th Gen 10.9-inch - Rose Gold</x:v>
      </x:c>
      <x:c r="D33" s="10" t="str">
        <x:v>Twist Leather Case</x:v>
      </x:c>
      <x:c r="E33" s="10" t="str">
        <x:v>Rose Gold</x:v>
      </x:c>
      <x:c r="F33" s="10" t="str">
        <x:v>iPad 10th Gen 10.9</x:v>
      </x:c>
      <x:c r="G33" s="10" t="str">
        <x:v>iPad 10th Gen 10.9 Inch</x:v>
      </x:c>
      <x:c r="H33" s="11" t="n">
        <x:v>39.95</x:v>
      </x:c>
      <x:c r="I33" s="11" t="n">
        <x:v>0</x:v>
      </x:c>
      <x:c r="J33" s="13"/>
      <x:c r="K33" s="9" t="str">
        <x:f>IF(J33&gt;0,"Ready","Cost required")</x:f>
        <x:v>Cost required</x:v>
      </x:c>
    </x:row>
    <x:row r="34">
      <x:c r="A34" s="9" t="str">
        <x:v>7513</x:v>
      </x:c>
      <x:c r="B34" s="9" t="str">
        <x:v>TM8-TAB-7513</x:v>
      </x:c>
      <x:c r="C34" s="10" t="str">
        <x:v>Twist Leather Case for iPad 10th Gen 10.9-inch - Green</x:v>
      </x:c>
      <x:c r="D34" s="10" t="str">
        <x:v>Twist Leather Case</x:v>
      </x:c>
      <x:c r="E34" s="10" t="str">
        <x:v>Green</x:v>
      </x:c>
      <x:c r="F34" s="10" t="str">
        <x:v>iPad 10th Gen 10.9</x:v>
      </x:c>
      <x:c r="G34" s="10" t="str">
        <x:v>iPad 10th Gen 10.9 Inch</x:v>
      </x:c>
      <x:c r="H34" s="11" t="n">
        <x:v>39.95</x:v>
      </x:c>
      <x:c r="I34" s="11" t="n">
        <x:v>0</x:v>
      </x:c>
      <x:c r="J34" s="13"/>
      <x:c r="K34" s="9" t="str">
        <x:f>IF(J34&gt;0,"Ready","Cost required")</x:f>
        <x:v>Cost required</x:v>
      </x:c>
    </x:row>
    <x:row r="35">
      <x:c r="A35" s="9" t="str">
        <x:v>7512</x:v>
      </x:c>
      <x:c r="B35" s="9" t="str">
        <x:v>TM8-TAB-7512</x:v>
      </x:c>
      <x:c r="C35" s="10" t="str">
        <x:v>Twist Leather Case for iPad 10th Gen 10.9-inch - Red</x:v>
      </x:c>
      <x:c r="D35" s="10" t="str">
        <x:v>Twist Leather Case</x:v>
      </x:c>
      <x:c r="E35" s="10" t="str">
        <x:v>Red</x:v>
      </x:c>
      <x:c r="F35" s="10" t="str">
        <x:v>iPad 10th Gen 10.9</x:v>
      </x:c>
      <x:c r="G35" s="10" t="str">
        <x:v>iPad 10th Gen 10.9 Inch</x:v>
      </x:c>
      <x:c r="H35" s="11" t="n">
        <x:v>39.95</x:v>
      </x:c>
      <x:c r="I35" s="11" t="n">
        <x:v>0</x:v>
      </x:c>
      <x:c r="J35" s="13"/>
      <x:c r="K35" s="9" t="str">
        <x:f>IF(J35&gt;0,"Ready","Cost required")</x:f>
        <x:v>Cost required</x:v>
      </x:c>
    </x:row>
    <x:row r="36">
      <x:c r="A36" s="9" t="str">
        <x:v>7196</x:v>
      </x:c>
      <x:c r="B36" s="9" t="str">
        <x:v>TM8-TAB-7196</x:v>
      </x:c>
      <x:c r="C36" s="10" t="str">
        <x:v>Unclassified Case for iPad 10.2-inch (Gen 7/8/9)</x:v>
      </x:c>
      <x:c r="D36" s="10" t="str">
        <x:v>Unclassified Case</x:v>
      </x:c>
      <x:c r="E36" s="10" t="str">
        <x:v>Unspecified</x:v>
      </x:c>
      <x:c r="F36" s="10" t="str">
        <x:v>iPad 7th Gen 10.2; iPad 8th Gen 10.2; iPad 9th Gen 10.2</x:v>
      </x:c>
      <x:c r="G36" s="10" t="str">
        <x:v>iPad 10.2 Inch</x:v>
      </x:c>
      <x:c r="H36" s="11" t="n">
        <x:v>39</x:v>
      </x:c>
      <x:c r="I36" s="11" t="n">
        <x:v>0</x:v>
      </x:c>
      <x:c r="J36" s="13"/>
      <x:c r="K36" s="9" t="str">
        <x:f>IF(J36&gt;0,"Ready","Cost required")</x:f>
        <x:v>Cost required</x:v>
      </x:c>
    </x:row>
    <x:row r="37">
      <x:c r="A37" s="9" t="str">
        <x:v>6747</x:v>
      </x:c>
      <x:c r="B37" s="9" t="str">
        <x:v>TM8-TAB-6747</x:v>
      </x:c>
      <x:c r="C37" s="10" t="str">
        <x:v>Twist Leather Case for iPad Pro 12.9-inch (2018-2022) - Rose Gold</x:v>
      </x:c>
      <x:c r="D37" s="10" t="str">
        <x:v>Twist Leather Case</x:v>
      </x:c>
      <x:c r="E37" s="10" t="str">
        <x:v>Rose Gold</x:v>
      </x:c>
      <x:c r="F37" s="10" t="str">
        <x:v>iPad Pro 12.9-inch (2018); iPad Pro 12.9-inch (2020); iPad Pro 12.9-inch (2021); iPad Pro 12.9-inch (2022)</x:v>
      </x:c>
      <x:c r="G37" s="10" t="str">
        <x:v>iPad 12.9 inch</x:v>
      </x:c>
      <x:c r="H37" s="11" t="n">
        <x:v>39.95</x:v>
      </x:c>
      <x:c r="I37" s="11" t="n">
        <x:v>0</x:v>
      </x:c>
      <x:c r="J37" s="13"/>
      <x:c r="K37" s="9" t="str">
        <x:f>IF(J37&gt;0,"Ready","Cost required")</x:f>
        <x:v>Cost required</x:v>
      </x:c>
    </x:row>
    <x:row r="38">
      <x:c r="A38" s="9" t="str">
        <x:v>6745</x:v>
      </x:c>
      <x:c r="B38" s="9" t="str">
        <x:v>TM8-TAB-6745</x:v>
      </x:c>
      <x:c r="C38" s="10" t="str">
        <x:v>Twist Leather Case for iPad Pro 12.9-inch (2018-2022) - Purple</x:v>
      </x:c>
      <x:c r="D38" s="10" t="str">
        <x:v>Twist Leather Case</x:v>
      </x:c>
      <x:c r="E38" s="10" t="str">
        <x:v>Purple</x:v>
      </x:c>
      <x:c r="F38" s="10" t="str">
        <x:v>iPad Pro 12.9-inch (2018); iPad Pro 12.9-inch (2020); iPad Pro 12.9-inch (2021); iPad Pro 12.9-inch (2022)</x:v>
      </x:c>
      <x:c r="G38" s="10" t="str">
        <x:v>iPad 12.9 inch</x:v>
      </x:c>
      <x:c r="H38" s="11" t="n">
        <x:v>39.95</x:v>
      </x:c>
      <x:c r="I38" s="11" t="n">
        <x:v>0</x:v>
      </x:c>
      <x:c r="J38" s="13"/>
      <x:c r="K38" s="9" t="str">
        <x:f>IF(J38&gt;0,"Ready","Cost required")</x:f>
        <x:v>Cost required</x:v>
      </x:c>
    </x:row>
    <x:row r="39">
      <x:c r="A39" s="9" t="str">
        <x:v>6743</x:v>
      </x:c>
      <x:c r="B39" s="9" t="str">
        <x:v>TM8-TAB-6743</x:v>
      </x:c>
      <x:c r="C39" s="10" t="str">
        <x:v>Twist Leather Case for iPad Pro 12.9-inch (2018-2022) - Black</x:v>
      </x:c>
      <x:c r="D39" s="10" t="str">
        <x:v>Twist Leather Case</x:v>
      </x:c>
      <x:c r="E39" s="10" t="str">
        <x:v>Black</x:v>
      </x:c>
      <x:c r="F39" s="10" t="str">
        <x:v>iPad Pro 12.9-inch (2018); iPad Pro 12.9-inch (2020); iPad Pro 12.9-inch (2021); iPad Pro 12.9-inch (2022)</x:v>
      </x:c>
      <x:c r="G39" s="10" t="str">
        <x:v>iPad 12.9 inch</x:v>
      </x:c>
      <x:c r="H39" s="11" t="n">
        <x:v>39.95</x:v>
      </x:c>
      <x:c r="I39" s="11" t="n">
        <x:v>0</x:v>
      </x:c>
      <x:c r="J39" s="13"/>
      <x:c r="K39" s="9" t="str">
        <x:f>IF(J39&gt;0,"Ready","Cost required")</x:f>
        <x:v>Cost required</x:v>
      </x:c>
    </x:row>
    <x:row r="40">
      <x:c r="A40" s="9" t="str">
        <x:v>6737</x:v>
      </x:c>
      <x:c r="B40" s="9" t="str">
        <x:v>TM8-TAB-6737</x:v>
      </x:c>
      <x:c r="C40" s="10" t="str">
        <x:v>Twist Leather Case for iPad mini 6 - Red</x:v>
      </x:c>
      <x:c r="D40" s="10" t="str">
        <x:v>Twist Leather Case</x:v>
      </x:c>
      <x:c r="E40" s="10" t="str">
        <x:v>Red</x:v>
      </x:c>
      <x:c r="F40" s="10" t="str">
        <x:v>iPad mini 6</x:v>
      </x:c>
      <x:c r="G40" s="10" t="str">
        <x:v>iPad mini 6</x:v>
      </x:c>
      <x:c r="H40" s="11" t="n">
        <x:v>39.95</x:v>
      </x:c>
      <x:c r="I40" s="11" t="n">
        <x:v>0</x:v>
      </x:c>
      <x:c r="J40" s="13"/>
      <x:c r="K40" s="9" t="str">
        <x:f>IF(J40&gt;0,"Ready","Cost required")</x:f>
        <x:v>Cost required</x:v>
      </x:c>
    </x:row>
    <x:row r="41">
      <x:c r="A41" s="9" t="str">
        <x:v>6734</x:v>
      </x:c>
      <x:c r="B41" s="9" t="str">
        <x:v>TM8-TAB-6734</x:v>
      </x:c>
      <x:c r="C41" s="10" t="str">
        <x:v>Twist Leather Case for iPad 9.7-inch (Gen 5/6 and Air 1/2) - Rose Gold</x:v>
      </x:c>
      <x:c r="D41" s="10" t="str">
        <x:v>Twist Leather Case</x:v>
      </x:c>
      <x:c r="E41" s="10" t="str">
        <x:v>Rose Gold</x:v>
      </x:c>
      <x:c r="F41" s="10" t="str">
        <x:v>iPad 5th Gen 9.7; iPad 6th Gen 9.7; iPad Air 1 9.7; iPad Air 2 9.7</x:v>
      </x:c>
      <x:c r="G41" s="10" t="str">
        <x:v>iPad 9.7 Inch</x:v>
      </x:c>
      <x:c r="H41" s="11" t="n">
        <x:v>39.95</x:v>
      </x:c>
      <x:c r="I41" s="11" t="n">
        <x:v>0</x:v>
      </x:c>
      <x:c r="J41" s="13"/>
      <x:c r="K41" s="9" t="str">
        <x:f>IF(J41&gt;0,"Ready","Cost required")</x:f>
        <x:v>Cost required</x:v>
      </x:c>
    </x:row>
    <x:row r="42">
      <x:c r="A42" s="9" t="str">
        <x:v>6733</x:v>
      </x:c>
      <x:c r="B42" s="9" t="str">
        <x:v>TM8-TAB-6733</x:v>
      </x:c>
      <x:c r="C42" s="10" t="str">
        <x:v>Twist Leather Case for iPad 9.7-inch (Gen 5/6 and Air 1/2) - Red</x:v>
      </x:c>
      <x:c r="D42" s="10" t="str">
        <x:v>Twist Leather Case</x:v>
      </x:c>
      <x:c r="E42" s="10" t="str">
        <x:v>Red</x:v>
      </x:c>
      <x:c r="F42" s="10" t="str">
        <x:v>iPad 5th Gen 9.7; iPad 6th Gen 9.7; iPad Air 1 9.7; iPad Air 2 9.7</x:v>
      </x:c>
      <x:c r="G42" s="10" t="str">
        <x:v>iPad 9.7 Inch</x:v>
      </x:c>
      <x:c r="H42" s="11" t="n">
        <x:v>39.95</x:v>
      </x:c>
      <x:c r="I42" s="11" t="n">
        <x:v>0</x:v>
      </x:c>
      <x:c r="J42" s="13"/>
      <x:c r="K42" s="9" t="str">
        <x:f>IF(J42&gt;0,"Ready","Cost required")</x:f>
        <x:v>Cost required</x:v>
      </x:c>
    </x:row>
    <x:row r="43">
      <x:c r="A43" s="9" t="str">
        <x:v>6731</x:v>
      </x:c>
      <x:c r="B43" s="9" t="str">
        <x:v>TM8-TAB-6731</x:v>
      </x:c>
      <x:c r="C43" s="10" t="str">
        <x:v>Twist Leather Case for iPad 9.7-inch (Gen 5/6 and Air 1/2) - Brown</x:v>
      </x:c>
      <x:c r="D43" s="10" t="str">
        <x:v>Twist Leather Case</x:v>
      </x:c>
      <x:c r="E43" s="10" t="str">
        <x:v>Brown</x:v>
      </x:c>
      <x:c r="F43" s="10" t="str">
        <x:v>iPad 5th Gen 9.7; iPad 6th Gen 9.7; iPad Air 1 9.7; iPad Air 2 9.7</x:v>
      </x:c>
      <x:c r="G43" s="10" t="str">
        <x:v>iPad 9.7 Inch</x:v>
      </x:c>
      <x:c r="H43" s="11" t="n">
        <x:v>39.95</x:v>
      </x:c>
      <x:c r="I43" s="11" t="n">
        <x:v>0</x:v>
      </x:c>
      <x:c r="J43" s="13"/>
      <x:c r="K43" s="9" t="str">
        <x:f>IF(J43&gt;0,"Ready","Cost required")</x:f>
        <x:v>Cost required</x:v>
      </x:c>
    </x:row>
    <x:row r="44">
      <x:c r="A44" s="9" t="str">
        <x:v>6727</x:v>
      </x:c>
      <x:c r="B44" s="9" t="str">
        <x:v>TM8-TAB-6727</x:v>
      </x:c>
      <x:c r="C44" s="10" t="str">
        <x:v>Twist Leather Case for iPad 10.2-inch (Gen 7/8/9) - Red</x:v>
      </x:c>
      <x:c r="D44" s="10" t="str">
        <x:v>Twist Leather Case</x:v>
      </x:c>
      <x:c r="E44" s="10" t="str">
        <x:v>Red</x:v>
      </x:c>
      <x:c r="F44" s="10" t="str">
        <x:v>iPad 7th Gen 10.2; iPad 8th Gen 10.2; iPad 9th Gen 10.2</x:v>
      </x:c>
      <x:c r="G44" s="10" t="str">
        <x:v>iPad 10.2 Inch</x:v>
      </x:c>
      <x:c r="H44" s="11" t="n">
        <x:v>39.95</x:v>
      </x:c>
      <x:c r="I44" s="11" t="n">
        <x:v>0</x:v>
      </x:c>
      <x:c r="J44" s="13"/>
      <x:c r="K44" s="9" t="str">
        <x:f>IF(J44&gt;0,"Ready","Cost required")</x:f>
        <x:v>Cost required</x:v>
      </x:c>
    </x:row>
    <x:row r="45">
      <x:c r="A45" s="9" t="str">
        <x:v>6663</x:v>
      </x:c>
      <x:c r="B45" s="9" t="str">
        <x:v>TM8-TAB-6663</x:v>
      </x:c>
      <x:c r="C45" s="10" t="str">
        <x:v>Unclassified Case for iPad 9.7-inch (Gen 5/6 and Air 1/2)</x:v>
      </x:c>
      <x:c r="D45" s="10" t="str">
        <x:v>Unclassified Case</x:v>
      </x:c>
      <x:c r="E45" s="10" t="str">
        <x:v>Unspecified</x:v>
      </x:c>
      <x:c r="F45" s="10" t="str">
        <x:v>iPad 5th Gen 9.7; iPad 6th Gen 9.7; iPad Air 1 9.7; iPad Air 2 9.7</x:v>
      </x:c>
      <x:c r="G45" s="10" t="str">
        <x:v>iPad 9.7 Inch</x:v>
      </x:c>
      <x:c r="H45" s="11" t="n">
        <x:v>45</x:v>
      </x:c>
      <x:c r="I45" s="11" t="n">
        <x:v>0</x:v>
      </x:c>
      <x:c r="J45" s="13"/>
      <x:c r="K45" s="9" t="str">
        <x:f>IF(J45&gt;0,"Ready","Cost required")</x:f>
        <x:v>Cost required</x:v>
      </x:c>
    </x:row>
    <x:row r="46">
      <x:c r="A46" s="9" t="str">
        <x:v>6656</x:v>
      </x:c>
      <x:c r="B46" s="9" t="str">
        <x:v>TM8-TAB-6656</x:v>
      </x:c>
      <x:c r="C46" s="10" t="str">
        <x:v>Twist Leather Case for iPad 10.2-inch (Gen 7/8/9) - Gold</x:v>
      </x:c>
      <x:c r="D46" s="10" t="str">
        <x:v>Twist Leather Case</x:v>
      </x:c>
      <x:c r="E46" s="10" t="str">
        <x:v>Gold</x:v>
      </x:c>
      <x:c r="F46" s="10" t="str">
        <x:v>iPad 7th Gen 10.2; iPad 8th Gen 10.2; iPad 9th Gen 10.2</x:v>
      </x:c>
      <x:c r="G46" s="10" t="str">
        <x:v>iPad 10.2 Inch</x:v>
      </x:c>
      <x:c r="H46" s="11" t="n">
        <x:v>39.95</x:v>
      </x:c>
      <x:c r="I46" s="11" t="n">
        <x:v>0</x:v>
      </x:c>
      <x:c r="J46" s="13"/>
      <x:c r="K46" s="9" t="str">
        <x:f>IF(J46&gt;0,"Ready","Cost required")</x:f>
        <x:v>Cost required</x:v>
      </x:c>
    </x:row>
    <x:row r="47">
      <x:c r="A47" s="9" t="str">
        <x:v>6652</x:v>
      </x:c>
      <x:c r="B47" s="9" t="str">
        <x:v>TM8-TAB-6652</x:v>
      </x:c>
      <x:c r="C47" s="10" t="str">
        <x:v>Twist Leather Case for iPad 10.2-inch (Gen 7/8/9) - Purple</x:v>
      </x:c>
      <x:c r="D47" s="10" t="str">
        <x:v>Twist Leather Case</x:v>
      </x:c>
      <x:c r="E47" s="10" t="str">
        <x:v>Purple</x:v>
      </x:c>
      <x:c r="F47" s="10" t="str">
        <x:v>iPad 7th Gen 10.2; iPad 8th Gen 10.2; iPad 9th Gen 10.2</x:v>
      </x:c>
      <x:c r="G47" s="10" t="str">
        <x:v>iPad 10.2 Inch</x:v>
      </x:c>
      <x:c r="H47" s="11" t="n">
        <x:v>39.95</x:v>
      </x:c>
      <x:c r="I47" s="11" t="n">
        <x:v>0</x:v>
      </x:c>
      <x:c r="J47" s="13"/>
      <x:c r="K47" s="9" t="str">
        <x:f>IF(J47&gt;0,"Ready","Cost required")</x:f>
        <x:v>Cost required</x:v>
      </x:c>
    </x:row>
    <x:row r="48">
      <x:c r="A48" s="9" t="str">
        <x:v>6650</x:v>
      </x:c>
      <x:c r="B48" s="9" t="str">
        <x:v>TM8-TAB-6650</x:v>
      </x:c>
      <x:c r="C48" s="10" t="str">
        <x:v>Twist Leather Case for iPad Air 4/5 and iPad Pro 11 (2018-2022) - Black</x:v>
      </x:c>
      <x:c r="D48" s="10" t="str">
        <x:v>Twist Leather Case</x:v>
      </x:c>
      <x:c r="E48" s="10" t="str">
        <x:v>Black</x:v>
      </x:c>
      <x:c r="F48" s="10" t="str">
        <x:v>iPad Air 4; iPad Air 5; iPad Pro 11-inch (2018); iPad Pro 11-inch (2020); iPad Pro 11-inch (2021); iPad Pro 11-inch (2022)</x:v>
      </x:c>
      <x:c r="G48" s="10" t="str">
        <x:v>iPad Air 4/5, Pro 11</x:v>
      </x:c>
      <x:c r="H48" s="11" t="n">
        <x:v>39.95</x:v>
      </x:c>
      <x:c r="I48" s="11" t="n">
        <x:v>0</x:v>
      </x:c>
      <x:c r="J48" s="13"/>
      <x:c r="K48" s="9" t="str">
        <x:f>IF(J48&gt;0,"Ready","Cost required")</x:f>
        <x:v>Cost required</x:v>
      </x:c>
    </x:row>
    <x:row r="49">
      <x:c r="A49" s="9" t="str">
        <x:v>6649</x:v>
      </x:c>
      <x:c r="B49" s="9" t="str">
        <x:v>TM8-TAB-6649</x:v>
      </x:c>
      <x:c r="C49" s="10" t="str">
        <x:v>Twist Leather Case for iPad Air 4/5 and iPad Pro 11 (2018-2022) - Pink</x:v>
      </x:c>
      <x:c r="D49" s="10" t="str">
        <x:v>Twist Leather Case</x:v>
      </x:c>
      <x:c r="E49" s="10" t="str">
        <x:v>Pink</x:v>
      </x:c>
      <x:c r="F49" s="10" t="str">
        <x:v>iPad Air 4; iPad Air 5; iPad Pro 11-inch (2018); iPad Pro 11-inch (2020); iPad Pro 11-inch (2021); iPad Pro 11-inch (2022)</x:v>
      </x:c>
      <x:c r="G49" s="10" t="str">
        <x:v>iPad Air 4/5, Pro 11</x:v>
      </x:c>
      <x:c r="H49" s="11" t="n">
        <x:v>39.95</x:v>
      </x:c>
      <x:c r="I49" s="11" t="n">
        <x:v>0</x:v>
      </x:c>
      <x:c r="J49" s="13"/>
      <x:c r="K49" s="9" t="str">
        <x:f>IF(J49&gt;0,"Ready","Cost required")</x:f>
        <x:v>Cost required</x:v>
      </x:c>
    </x:row>
    <x:row r="50">
      <x:c r="A50" s="9" t="str">
        <x:v>6647</x:v>
      </x:c>
      <x:c r="B50" s="9" t="str">
        <x:v>TM8-TAB-6647</x:v>
      </x:c>
      <x:c r="C50" s="10" t="str">
        <x:v>Twist Leather Case for iPad Air 4/5 and iPad Pro 11 (2018-2022) - Purple</x:v>
      </x:c>
      <x:c r="D50" s="10" t="str">
        <x:v>Twist Leather Case</x:v>
      </x:c>
      <x:c r="E50" s="10" t="str">
        <x:v>Purple</x:v>
      </x:c>
      <x:c r="F50" s="10" t="str">
        <x:v>iPad Air 4; iPad Air 5; iPad Pro 11-inch (2018); iPad Pro 11-inch (2020); iPad Pro 11-inch (2021); iPad Pro 11-inch (2022)</x:v>
      </x:c>
      <x:c r="G50" s="10" t="str">
        <x:v>iPad Air 4/5, Pro 11</x:v>
      </x:c>
      <x:c r="H50" s="11" t="n">
        <x:v>39.95</x:v>
      </x:c>
      <x:c r="I50" s="11" t="n">
        <x:v>0</x:v>
      </x:c>
      <x:c r="J50" s="13"/>
      <x:c r="K50" s="9" t="str">
        <x:f>IF(J50&gt;0,"Ready","Cost required")</x:f>
        <x:v>Cost required</x:v>
      </x:c>
    </x:row>
    <x:row r="51">
      <x:c r="A51" s="9" t="str">
        <x:v>6646</x:v>
      </x:c>
      <x:c r="B51" s="9" t="str">
        <x:v>TM8-TAB-6646</x:v>
      </x:c>
      <x:c r="C51" s="10" t="str">
        <x:v>Twist Leather Case for iPad Air 4/5 and iPad Pro 11 (2018-2022) - Brown</x:v>
      </x:c>
      <x:c r="D51" s="10" t="str">
        <x:v>Twist Leather Case</x:v>
      </x:c>
      <x:c r="E51" s="10" t="str">
        <x:v>Brown</x:v>
      </x:c>
      <x:c r="F51" s="10" t="str">
        <x:v>iPad Air 4; iPad Air 5; iPad Pro 11-inch (2018); iPad Pro 11-inch (2020); iPad Pro 11-inch (2021); iPad Pro 11-inch (2022)</x:v>
      </x:c>
      <x:c r="G51" s="10" t="str">
        <x:v>iPad Air 4/5, Pro 11</x:v>
      </x:c>
      <x:c r="H51" s="11" t="n">
        <x:v>39.95</x:v>
      </x:c>
      <x:c r="I51" s="11" t="n">
        <x:v>0</x:v>
      </x:c>
      <x:c r="J51" s="13"/>
      <x:c r="K51" s="9" t="str">
        <x:f>IF(J51&gt;0,"Ready","Cost required")</x:f>
        <x:v>Cost required</x:v>
      </x:c>
    </x:row>
    <x:row r="52">
      <x:c r="A52" s="9" t="str">
        <x:v>6645</x:v>
      </x:c>
      <x:c r="B52" s="9" t="str">
        <x:v>TM8-TAB-6645</x:v>
      </x:c>
      <x:c r="C52" s="10" t="str">
        <x:v>Twist Leather Case for iPad Air 4/5 and iPad Pro 11 (2018-2022) - Gold</x:v>
      </x:c>
      <x:c r="D52" s="10" t="str">
        <x:v>Twist Leather Case</x:v>
      </x:c>
      <x:c r="E52" s="10" t="str">
        <x:v>Gold</x:v>
      </x:c>
      <x:c r="F52" s="10" t="str">
        <x:v>iPad Air 4; iPad Air 5; iPad Pro 11-inch (2018); iPad Pro 11-inch (2020); iPad Pro 11-inch (2021); iPad Pro 11-inch (2022)</x:v>
      </x:c>
      <x:c r="G52" s="10" t="str">
        <x:v>iPad Air 4/5, Pro 11</x:v>
      </x:c>
      <x:c r="H52" s="11" t="n">
        <x:v>39.95</x:v>
      </x:c>
      <x:c r="I52" s="11" t="n">
        <x:v>0</x:v>
      </x:c>
      <x:c r="J52" s="13"/>
      <x:c r="K52" s="9" t="str">
        <x:f>IF(J52&gt;0,"Ready","Cost required")</x:f>
        <x:v>Cost required</x:v>
      </x:c>
    </x:row>
    <x:row r="53">
      <x:c r="A53" s="9" t="str">
        <x:v>6644</x:v>
      </x:c>
      <x:c r="B53" s="9" t="str">
        <x:v>TM8-TAB-6644</x:v>
      </x:c>
      <x:c r="C53" s="10" t="str">
        <x:v>Twist Leather Case for iPad Air 4/5 and iPad Pro 11 (2018-2022) - Green</x:v>
      </x:c>
      <x:c r="D53" s="10" t="str">
        <x:v>Twist Leather Case</x:v>
      </x:c>
      <x:c r="E53" s="10" t="str">
        <x:v>Green</x:v>
      </x:c>
      <x:c r="F53" s="10" t="str">
        <x:v>iPad Air 4; iPad Air 5; iPad Pro 11-inch (2018); iPad Pro 11-inch (2020); iPad Pro 11-inch (2021); iPad Pro 11-inch (2022)</x:v>
      </x:c>
      <x:c r="G53" s="10" t="str">
        <x:v>iPad Air 4/5, Pro 11</x:v>
      </x:c>
      <x:c r="H53" s="11" t="n">
        <x:v>39.95</x:v>
      </x:c>
      <x:c r="I53" s="11" t="n">
        <x:v>0</x:v>
      </x:c>
      <x:c r="J53" s="13"/>
      <x:c r="K53" s="9" t="str">
        <x:f>IF(J53&gt;0,"Ready","Cost required")</x:f>
        <x:v>Cost required</x:v>
      </x:c>
    </x:row>
    <x:row r="54">
      <x:c r="A54" s="9" t="str">
        <x:v>6643</x:v>
      </x:c>
      <x:c r="B54" s="9" t="str">
        <x:v>TM8-TAB-6643</x:v>
      </x:c>
      <x:c r="C54" s="10" t="str">
        <x:v>Twist Leather Case for iPad 9.7-inch (Gen 5/6 and Air 1/2) - Gold</x:v>
      </x:c>
      <x:c r="D54" s="10" t="str">
        <x:v>Twist Leather Case</x:v>
      </x:c>
      <x:c r="E54" s="10" t="str">
        <x:v>Gold</x:v>
      </x:c>
      <x:c r="F54" s="10" t="str">
        <x:v>iPad 5th Gen 9.7; iPad 6th Gen 9.7; iPad Air 1 9.7; iPad Air 2 9.7</x:v>
      </x:c>
      <x:c r="G54" s="10" t="str">
        <x:v>iPad 9.7 Inch</x:v>
      </x:c>
      <x:c r="H54" s="11" t="n">
        <x:v>39.95</x:v>
      </x:c>
      <x:c r="I54" s="11" t="n">
        <x:v>0</x:v>
      </x:c>
      <x:c r="J54" s="13"/>
      <x:c r="K54" s="9" t="str">
        <x:f>IF(J54&gt;0,"Ready","Cost required")</x:f>
        <x:v>Cost required</x:v>
      </x:c>
    </x:row>
    <x:row r="55">
      <x:c r="A55" s="9" t="str">
        <x:v>6638</x:v>
      </x:c>
      <x:c r="B55" s="9" t="str">
        <x:v>TM8-TAB-6638</x:v>
      </x:c>
      <x:c r="C55" s="10" t="str">
        <x:v>Twist Leather Case for iPad mini 6 - Gold</x:v>
      </x:c>
      <x:c r="D55" s="10" t="str">
        <x:v>Twist Leather Case</x:v>
      </x:c>
      <x:c r="E55" s="10" t="str">
        <x:v>Gold</x:v>
      </x:c>
      <x:c r="F55" s="10" t="str">
        <x:v>iPad mini 6</x:v>
      </x:c>
      <x:c r="G55" s="10" t="str">
        <x:v>iPad mini 6</x:v>
      </x:c>
      <x:c r="H55" s="11" t="n">
        <x:v>39.95</x:v>
      </x:c>
      <x:c r="I55" s="11" t="n">
        <x:v>0</x:v>
      </x:c>
      <x:c r="J55" s="13"/>
      <x:c r="K55" s="9" t="str">
        <x:f>IF(J55&gt;0,"Ready","Cost required")</x:f>
        <x:v>Cost required</x:v>
      </x:c>
    </x:row>
    <x:row r="56">
      <x:c r="A56" s="9" t="str">
        <x:v>6637</x:v>
      </x:c>
      <x:c r="B56" s="9" t="str">
        <x:v>TM8-TAB-6637</x:v>
      </x:c>
      <x:c r="C56" s="10" t="str">
        <x:v>Twist Leather Case for iPad mini 6 - Black</x:v>
      </x:c>
      <x:c r="D56" s="10" t="str">
        <x:v>Twist Leather Case</x:v>
      </x:c>
      <x:c r="E56" s="10" t="str">
        <x:v>Black</x:v>
      </x:c>
      <x:c r="F56" s="10" t="str">
        <x:v>iPad mini 6</x:v>
      </x:c>
      <x:c r="G56" s="10" t="str">
        <x:v>iPad mini 6</x:v>
      </x:c>
      <x:c r="H56" s="11" t="n">
        <x:v>39.95</x:v>
      </x:c>
      <x:c r="I56" s="11" t="n">
        <x:v>0</x:v>
      </x:c>
      <x:c r="J56" s="13"/>
      <x:c r="K56" s="9" t="str">
        <x:f>IF(J56&gt;0,"Ready","Cost required")</x:f>
        <x:v>Cost required</x:v>
      </x:c>
    </x:row>
    <x:row r="57">
      <x:c r="A57" s="9" t="str">
        <x:v>6636</x:v>
      </x:c>
      <x:c r="B57" s="9" t="str">
        <x:v>TM8-TAB-6636</x:v>
      </x:c>
      <x:c r="C57" s="10" t="str">
        <x:v>Twist Leather Case for iPad mini 6 - Purple</x:v>
      </x:c>
      <x:c r="D57" s="10" t="str">
        <x:v>Twist Leather Case</x:v>
      </x:c>
      <x:c r="E57" s="10" t="str">
        <x:v>Purple</x:v>
      </x:c>
      <x:c r="F57" s="10" t="str">
        <x:v>iPad mini 6</x:v>
      </x:c>
      <x:c r="G57" s="10" t="str">
        <x:v>iPad mini 6</x:v>
      </x:c>
      <x:c r="H57" s="11" t="n">
        <x:v>39.95</x:v>
      </x:c>
      <x:c r="I57" s="11" t="n">
        <x:v>0</x:v>
      </x:c>
      <x:c r="J57" s="13"/>
      <x:c r="K57" s="9" t="str">
        <x:f>IF(J57&gt;0,"Ready","Cost required")</x:f>
        <x:v>Cost required</x:v>
      </x:c>
    </x:row>
    <x:row r="58">
      <x:c r="A58" s="9" t="str">
        <x:v>6634</x:v>
      </x:c>
      <x:c r="B58" s="9" t="str">
        <x:v>TM8-TAB-6634</x:v>
      </x:c>
      <x:c r="C58" s="10" t="str">
        <x:v>Twist Leather Case for iPad mini 6 - Brown</x:v>
      </x:c>
      <x:c r="D58" s="10" t="str">
        <x:v>Twist Leather Case</x:v>
      </x:c>
      <x:c r="E58" s="10" t="str">
        <x:v>Brown</x:v>
      </x:c>
      <x:c r="F58" s="10" t="str">
        <x:v>iPad mini 6</x:v>
      </x:c>
      <x:c r="G58" s="10" t="str">
        <x:v>iPad mini 6</x:v>
      </x:c>
      <x:c r="H58" s="11" t="n">
        <x:v>39.95</x:v>
      </x:c>
      <x:c r="I58" s="11" t="n">
        <x:v>0</x:v>
      </x:c>
      <x:c r="J58" s="13"/>
      <x:c r="K58" s="9" t="str">
        <x:f>IF(J58&gt;0,"Ready","Cost required")</x:f>
        <x:v>Cost required</x:v>
      </x:c>
    </x:row>
    <x:row r="59">
      <x:c r="A59" s="9" t="str">
        <x:v>6633</x:v>
      </x:c>
      <x:c r="B59" s="9" t="str">
        <x:v>TM8-TAB-6633</x:v>
      </x:c>
      <x:c r="C59" s="10" t="str">
        <x:v>Twist Leather Case for iPad mini 6 - Green</x:v>
      </x:c>
      <x:c r="D59" s="10" t="str">
        <x:v>Twist Leather Case</x:v>
      </x:c>
      <x:c r="E59" s="10" t="str">
        <x:v>Green</x:v>
      </x:c>
      <x:c r="F59" s="10" t="str">
        <x:v>iPad mini 6</x:v>
      </x:c>
      <x:c r="G59" s="10" t="str">
        <x:v>iPad mini 6</x:v>
      </x:c>
      <x:c r="H59" s="11" t="n">
        <x:v>39.95</x:v>
      </x:c>
      <x:c r="I59" s="11" t="n">
        <x:v>0</x:v>
      </x:c>
      <x:c r="J59" s="13"/>
      <x:c r="K59" s="9" t="str">
        <x:f>IF(J59&gt;0,"Ready","Cost required")</x:f>
        <x:v>Cost required</x:v>
      </x:c>
    </x:row>
    <x:row r="60">
      <x:c r="A60" s="9" t="str">
        <x:v>6632</x:v>
      </x:c>
      <x:c r="B60" s="9" t="str">
        <x:v>TM8-TAB-6632</x:v>
      </x:c>
      <x:c r="C60" s="10" t="str">
        <x:v>Twist Leather Case for iPad mini 6 - Pink</x:v>
      </x:c>
      <x:c r="D60" s="10" t="str">
        <x:v>Twist Leather Case</x:v>
      </x:c>
      <x:c r="E60" s="10" t="str">
        <x:v>Pink</x:v>
      </x:c>
      <x:c r="F60" s="10" t="str">
        <x:v>iPad mini 6</x:v>
      </x:c>
      <x:c r="G60" s="10" t="str">
        <x:v>iPad mini 6</x:v>
      </x:c>
      <x:c r="H60" s="11" t="n">
        <x:v>39.95</x:v>
      </x:c>
      <x:c r="I60" s="11" t="n">
        <x:v>0</x:v>
      </x:c>
      <x:c r="J60" s="13"/>
      <x:c r="K60" s="9" t="str">
        <x:f>IF(J60&gt;0,"Ready","Cost required")</x:f>
        <x:v>Cost required</x:v>
      </x:c>
    </x:row>
    <x:row r="61">
      <x:c r="A61" s="9" t="str">
        <x:v>6562</x:v>
      </x:c>
      <x:c r="B61" s="9" t="str">
        <x:v>TM8-TAB-6562</x:v>
      </x:c>
      <x:c r="C61" s="10" t="str">
        <x:v>Z-Fold Case for iPad 10.2-inch (Gen 7/8/9) - Light Green</x:v>
      </x:c>
      <x:c r="D61" s="10" t="str">
        <x:v>Z-Fold Case</x:v>
      </x:c>
      <x:c r="E61" s="10" t="str">
        <x:v>Light Green</x:v>
      </x:c>
      <x:c r="F61" s="10" t="str">
        <x:v>iPad 7th Gen 10.2; iPad 8th Gen 10.2; iPad 9th Gen 10.2</x:v>
      </x:c>
      <x:c r="G61" s="10" t="str">
        <x:v>iPad 10.2 Inch</x:v>
      </x:c>
      <x:c r="H61" s="11" t="n">
        <x:v>39.95</x:v>
      </x:c>
      <x:c r="I61" s="11" t="n">
        <x:v>0</x:v>
      </x:c>
      <x:c r="J61" s="13"/>
      <x:c r="K61" s="9" t="str">
        <x:f>IF(J61&gt;0,"Ready","Cost required")</x:f>
        <x:v>Cost required</x:v>
      </x:c>
    </x:row>
    <x:row r="62">
      <x:c r="A62" s="9" t="str">
        <x:v>6561</x:v>
      </x:c>
      <x:c r="B62" s="9" t="str">
        <x:v>TM8-TAB-6561</x:v>
      </x:c>
      <x:c r="C62" s="10" t="str">
        <x:v>Z-Fold Case for iPad 10.2-inch (Gen 7/8/9) - Light Blue</x:v>
      </x:c>
      <x:c r="D62" s="10" t="str">
        <x:v>Z-Fold Case</x:v>
      </x:c>
      <x:c r="E62" s="10" t="str">
        <x:v>Light Blue</x:v>
      </x:c>
      <x:c r="F62" s="10" t="str">
        <x:v>iPad 7th Gen 10.2; iPad 8th Gen 10.2; iPad 9th Gen 10.2</x:v>
      </x:c>
      <x:c r="G62" s="10" t="str">
        <x:v>iPad 10.2 Inch</x:v>
      </x:c>
      <x:c r="H62" s="11" t="n">
        <x:v>39.95</x:v>
      </x:c>
      <x:c r="I62" s="11" t="n">
        <x:v>0</x:v>
      </x:c>
      <x:c r="J62" s="13"/>
      <x:c r="K62" s="9" t="str">
        <x:f>IF(J62&gt;0,"Ready","Cost required")</x:f>
        <x:v>Cost required</x:v>
      </x:c>
    </x:row>
  </x:sheetData>
  <x:mergeCells>
    <x:mergeCell ref="A1:K1"/>
    <x:mergeCell ref="A2:K2"/>
  </x:mergeCells>
  <x:conditionalFormatting sqref="K4:K62">
    <x:cfRule type="containsText" dxfId="0" priority="1" operator="containsText" text="Cost required"/>
    <x:cfRule type="containsText" dxfId="1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b0e80134fe564ba1"/>
  </x:tableParts>
</x:worksheet>
</file>