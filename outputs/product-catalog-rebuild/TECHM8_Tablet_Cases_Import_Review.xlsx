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1f08370a3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ummary" sheetId="1" r:id="R51ae1f31d9c84150"/>
    <x:sheet xmlns:r="http://schemas.openxmlformats.org/officeDocument/2006/relationships" name="Product Variants" sheetId="2" r:id="Rbc0361a636e74fa6"/>
    <x:sheet xmlns:r="http://schemas.openxmlformats.org/officeDocument/2006/relationships" name="Product Groups" sheetId="3" r:id="R207925265add4083"/>
    <x:sheet xmlns:r="http://schemas.openxmlformats.org/officeDocument/2006/relationships" name="Compatibility Review" sheetId="4" r:id="Rdd7058bc340b462d"/>
    <x:sheet xmlns:r="http://schemas.openxmlformats.org/officeDocument/2006/relationships" name="Cost Rules" sheetId="5" r:id="Rc7d4129337e049de"/>
    <x:sheet xmlns:r="http://schemas.openxmlformats.org/officeDocument/2006/relationships" name="Cost Overrides" sheetId="6" r:id="R19b0a045909b4916"/>
    <x:sheet xmlns:r="http://schemas.openxmlformats.org/officeDocument/2006/relationships" name="Data Issues" sheetId="7" r:id="R1175f329003d434d"/>
    <x:sheet xmlns:r="http://schemas.openxmlformats.org/officeDocument/2006/relationships" name="Removed Products" sheetId="8" r:id="R04acad55d93c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b/>
      <x:sz val="11"/>
      <x:color rgb="FF9C2F22"/>
      <x:name val="Carlito"/>
    </x:font>
    <x:font>
      <x:sz val="11"/>
      <x:color rgb="FF4A332A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FDE7E3"/>
      </x:patternFill>
    </x:fill>
    <x:fill>
      <x:patternFill patternType="solid">
        <x:fgColor rgb="FFFFF8F0"/>
      </x:patternFill>
    </x:fill>
    <x:fill>
      <x:patternFill patternType="solid">
        <x:fgColor rgb="FFEAF2FF"/>
      </x:patternFill>
    </x:fill>
    <x:fill>
      <x:patternFill patternType="solid">
        <x:fgColor rgb="FF9C2F2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1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48f8718742f4" /><Relationship Type="http://schemas.openxmlformats.org/officeDocument/2006/relationships/theme" Target="/xl/theme/theme1.xml" Id="R63751877529b48db" /><Relationship Type="http://schemas.openxmlformats.org/officeDocument/2006/relationships/sharedStrings" Target="/xl/sharedStrings.xml" Id="R07134be2249f44ae" /><Relationship Type="http://schemas.openxmlformats.org/officeDocument/2006/relationships/worksheet" Target="/xl/worksheets/sheet1.xml" Id="R51ae1f31d9c84150" /><Relationship Type="http://schemas.openxmlformats.org/officeDocument/2006/relationships/worksheet" Target="/xl/worksheets/sheet2.xml" Id="Rbc0361a636e74fa6" /><Relationship Type="http://schemas.openxmlformats.org/officeDocument/2006/relationships/worksheet" Target="/xl/worksheets/sheet3.xml" Id="R207925265add4083" /><Relationship Type="http://schemas.openxmlformats.org/officeDocument/2006/relationships/worksheet" Target="/xl/worksheets/sheet4.xml" Id="Rdd7058bc340b462d" /><Relationship Type="http://schemas.openxmlformats.org/officeDocument/2006/relationships/worksheet" Target="/xl/worksheets/sheet5.xml" Id="Rc7d4129337e049de" /><Relationship Type="http://schemas.openxmlformats.org/officeDocument/2006/relationships/worksheet" Target="/xl/worksheets/sheet6.xml" Id="R19b0a045909b4916" /><Relationship Type="http://schemas.openxmlformats.org/officeDocument/2006/relationships/worksheet" Target="/xl/worksheets/sheet7.xml" Id="R1175f329003d434d" /><Relationship Type="http://schemas.openxmlformats.org/officeDocument/2006/relationships/worksheet" Target="/xl/worksheets/sheet8.xml" Id="R04acad55d93c4ca6" /></Relationships>
</file>

<file path=xl/tables/table1.xml><?xml version="1.0" encoding="utf-8"?>
<x:table xmlns:x="http://schemas.openxmlformats.org/spreadsheetml/2006/main" id="2" name="ProductVariantsReview" displayName="ProductVariantsReview" ref="A1:AC284" headerRowCount="1" totalsRowCount="0" totalsRowShown="0">
  <x:tableColumns count="29">
    <x:tableColumn id="1" name="Source Item ID"/>
    <x:tableColumn id="2" name="New SKU"/>
    <x:tableColumn id="3" name="New Barcode"/>
    <x:tableColumn id="4" name="Original Name"/>
    <x:tableColumn id="5" name="Proposed Name"/>
    <x:tableColumn id="6" name="Product Family"/>
    <x:tableColumn id="7" name="Color"/>
    <x:tableColumn id="8" name="Group Code"/>
    <x:tableColumn id="9" name="Group Name"/>
    <x:tableColumn id="10" name="Source Category"/>
    <x:tableColumn id="11" name="Fit Profile Code"/>
    <x:tableColumn id="12" name="Fit Profile Name"/>
    <x:tableColumn id="13" name="Compatibility Status"/>
    <x:tableColumn id="14" name="Variant Image URL"/>
    <x:tableColumn id="15" name="Group Main Image URL"/>
    <x:tableColumn id="16" name="Store Slug"/>
    <x:tableColumn id="17" name="Source Stock"/>
    <x:tableColumn id="18" name="Proposed Stock"/>
    <x:tableColumn id="19" name="Source Cost"/>
    <x:tableColumn id="20" name="Proposed Cost"/>
    <x:tableColumn id="21" name="Cost Rule"/>
    <x:tableColumn id="22" name="Retail Price"/>
    <x:tableColumn id="23" name="Online Price"/>
    <x:tableColumn id="24" name="POS Visible"/>
    <x:tableColumn id="25" name="Online Visible"/>
    <x:tableColumn id="26" name="RepairDesk Product ID"/>
    <x:tableColumn id="27" name="Inventory Index ID"/>
    <x:tableColumn id="28" name="Data Status"/>
    <x:tableColumn id="2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roductGroupsReview" displayName="ProductGroupsReview" ref="A1:K66" headerRowCount="1" totalsRowCount="0" totalsRowShown="0">
  <x:tableColumns count="11">
    <x:tableColumn id="1" name="Group Code"/>
    <x:tableColumn id="2" name="Group Name"/>
    <x:tableColumn id="3" name="Product Family"/>
    <x:tableColumn id="4" name="Fit Profile Code"/>
    <x:tableColumn id="5" name="Fit Profile Name"/>
    <x:tableColumn id="6" name="Variant Count"/>
    <x:tableColumn id="7" name="Colors"/>
    <x:tableColumn id="8" name="Retail Price Range"/>
    <x:tableColumn id="9" name="Group Main Image URL"/>
    <x:tableColumn id="10" name="Compatibility Status"/>
    <x:tableColumn id="11" name="Online Vis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mpatibilityProfilesReview" displayName="CompatibilityProfilesReview" ref="A1:G30" headerRowCount="1" totalsRowCount="0" totalsRowShown="0">
  <x:tableColumns count="7">
    <x:tableColumn id="1" name="Fit Profile Code"/>
    <x:tableColumn id="2" name="Display Name"/>
    <x:tableColumn id="3" name="Source Category"/>
    <x:tableColumn id="4" name="Proposed Compatible Device Models"/>
    <x:tableColumn id="5" name="Direction Rule"/>
    <x:tableColumn id="6" name="Review Status"/>
    <x:tableColumn id="7" name="Owner Confirmation Nee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atalogCostRules" displayName="CatalogCostRules" ref="A1:F6" headerRowCount="1" totalsRowCount="0" totalsRowShown="0">
  <x:tableColumns count="6">
    <x:tableColumn id="1" name="Priority"/>
    <x:tableColumn id="2" name="Product Family"/>
    <x:tableColumn id="3" name="Color"/>
    <x:tableColumn id="4" name="Proposed Cost"/>
    <x:tableColumn id="5" name="Status"/>
    <x:tableColumn id="6" name="Interpretation Us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TabletCaseCostOverrides" displayName="TabletCaseCostOverrides" ref="A1:C17" headerRowCount="1" totalsRowCount="0" totalsRowShown="0">
  <x:tableColumns count="3">
    <x:tableColumn id="1" name="New SKU"/>
    <x:tableColumn id="2" name="Confirmed Cost"/>
    <x:tableColumn id="3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alogDataIssues" displayName="CatalogDataIssues" ref="A1:E18" headerRowCount="1" totalsRowCount="0" totalsRowShown="0">
  <x:tableColumns count="5">
    <x:tableColumn id="1" name="Source Item ID"/>
    <x:tableColumn id="2" name="Original Name"/>
    <x:tableColumn id="3" name="Issue Type"/>
    <x:tableColumn id="4" name="Current Value"/>
    <x:tableColumn id="5" name="Required 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movedProductsAudit" displayName="RemovedProductsAudit" ref="A1:H6" headerRowCount="1" totalsRowCount="0" totalsRowShown="0">
  <x:tableColumns count="8">
    <x:tableColumn id="1" name="Source Item ID"/>
    <x:tableColumn id="2" name="New SKU"/>
    <x:tableColumn id="3" name="Original Name"/>
    <x:tableColumn id="4" name="Proposed Name"/>
    <x:tableColumn id="5" name="Source Category"/>
    <x:tableColumn id="6" name="Reason Removed"/>
    <x:tableColumn id="7" name="Variant Image URL"/>
    <x:tableColumn id="8" name="Group Main Imag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4e72a22a714a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7b6aeda7474a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af60c5b7154b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78d8d0d2a744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d1a482d3d54d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d4c1c2fa40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497094d2cc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TECHM8 Tablet Cases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8" t="str">
        <x:v>Release Gate</x:v>
      </x:c>
      <x:c r="E3" s="8"/>
      <x:c r="F3" s="8"/>
      <x:c r="G3" s="8"/>
      <x:c r="H3" s="8"/>
    </x:row>
    <x:row r="4">
      <x:c r="A4" t="str">
        <x:v>Imported variants</x:v>
      </x:c>
      <x:c r="B4" s="6" t="n">
        <x:v>283</x:v>
      </x:c>
      <x:c r="D4" s="11" t="str">
        <x:v>All rows are drafts: POS Visible = NO and Online Visible = NO.</x:v>
      </x:c>
      <x:c r="E4" s="11"/>
      <x:c r="F4" s="11"/>
      <x:c r="G4" s="11"/>
      <x:c r="H4" s="11"/>
    </x:row>
    <x:row r="5">
      <x:c r="A5" t="str">
        <x:v>Removed duplicate or image-less products</x:v>
      </x:c>
      <x:c r="B5" s="6" t="n">
        <x:v>5</x:v>
      </x:c>
      <x:c r="D5" s="11" t="str">
        <x:v>Compatibility is directional: a newer case may list older devices without adding the newer device to the old case.</x:v>
      </x:c>
      <x:c r="E5" s="11"/>
      <x:c r="F5" s="11"/>
      <x:c r="G5" s="11"/>
      <x:c r="H5" s="11"/>
    </x:row>
    <x:row r="6">
      <x:c r="A6" t="str">
        <x:v>Proposed product groups</x:v>
      </x:c>
      <x:c r="B6" s="6" t="n">
        <x:v>65</x:v>
      </x:c>
      <x:c r="D6" s="11" t="str">
        <x:v>Every store and the online store start at zero stock. Zero stock does not block POS checkout or online ordering.</x:v>
      </x:c>
      <x:c r="E6" s="11"/>
      <x:c r="F6" s="11"/>
      <x:c r="G6" s="11"/>
      <x:c r="H6" s="11"/>
    </x:row>
    <x:row r="7">
      <x:c r="A7" t="str">
        <x:v>Fit profiles requiring review</x:v>
      </x:c>
      <x:c r="B7" s="6" t="n">
        <x:v>0</x:v>
      </x:c>
      <x:c r="D7" s="11" t="str">
        <x:v>Original SKU and UPC values are ignored. Every variant receives a new unique SKU and EAN-13 barcode.</x:v>
      </x:c>
      <x:c r="E7" s="11"/>
      <x:c r="F7" s="11"/>
      <x:c r="G7" s="11"/>
      <x:c r="H7" s="11"/>
    </x:row>
    <x:row r="8">
      <x:c r="A8" t="str">
        <x:v>RepairDesk variant images matched</x:v>
      </x:c>
      <x:c r="B8" s="6" t="n">
        <x:v>282</x:v>
      </x:c>
      <x:c r="D8" s="11" t="str">
        <x:v>Rows with missing cost, missing image, or Required compatibility cannot be activated.</x:v>
      </x:c>
      <x:c r="E8" s="11"/>
      <x:c r="F8" s="11"/>
      <x:c r="G8" s="11"/>
      <x:c r="H8" s="11"/>
    </x:row>
    <x:row r="9">
      <x:c r="A9" t="str">
        <x:v>Missing variant images</x:v>
      </x:c>
      <x:c r="B9" s="6" t="n">
        <x:v>1</x:v>
      </x:c>
      <x:c r="D9" s="11" t="str">
        <x:v>One group main image is used by POS and the website; variant images are retained only for audit.</x:v>
      </x:c>
      <x:c r="E9" s="11"/>
      <x:c r="F9" s="11"/>
      <x:c r="G9" s="11"/>
      <x:c r="H9" s="11"/>
    </x:row>
    <x:row r="10">
      <x:c r="A10" t="str">
        <x:v>Negative stock rows clipped to zero</x:v>
      </x:c>
      <x:c r="B10" s="6" t="n">
        <x:v>16</x:v>
      </x:c>
    </x:row>
    <x:row r="11">
      <x:c r="A11" t="str">
        <x:v>Hard Case rows forced to $15 cost</x:v>
      </x:c>
      <x:c r="B11" s="6" t="n">
        <x:v>89</x:v>
      </x:c>
    </x:row>
    <x:row r="12">
      <x:c r="A12" t="str">
        <x:v>Twist Leather Case rows forced to $5 cost</x:v>
      </x:c>
      <x:c r="B12" s="6" t="n">
        <x:v>100</x:v>
      </x:c>
    </x:row>
    <x:row r="13">
      <x:c r="A13" t="str">
        <x:v>Z-Fold Case rows forced to $4 cost</x:v>
      </x:c>
      <x:c r="B13" s="6" t="n">
        <x:v>74</x:v>
      </x:c>
    </x:row>
    <x:row r="14">
      <x:c r="A14" t="str">
        <x:v>Rows still missing a valid cost</x:v>
      </x:c>
      <x:c r="B14" s="6" t="n">
        <x:v>0</x:v>
      </x:c>
    </x:row>
    <x:row r="16">
      <x:c r="A16" s="14" t="str">
        <x:v>Recommended approval order: complete missing costs -&gt; confirm any remaining fit profiles -&gt; review images -&gt; activate approved product groups. All store and online stock remains zero until manually adjusted.</x:v>
      </x:c>
      <x:c r="B16" s="14"/>
      <x:c r="C16" s="14"/>
      <x:c r="D16" s="14"/>
      <x:c r="E16" s="14"/>
      <x:c r="F16" s="14"/>
      <x:c r="G16" s="14"/>
      <x:c r="H16" s="14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8" hidden="0" customWidth="1"/>
    <x:col min="7" max="7" width="18" hidden="0" customWidth="1"/>
    <x:col min="8" max="8" width="32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  <x:col min="25" max="25" width="14" hidden="0" customWidth="1"/>
    <x:col min="26" max="26" width="19" hidden="0" customWidth="1"/>
    <x:col min="27" max="27" width="19" hidden="0" customWidth="1"/>
    <x:col min="28" max="28" width="28" hidden="0" customWidth="1"/>
    <x:col min="29" max="29" width="28" hidden="0" customWidth="1"/>
  </x:cols>
  <x:sheetData>
    <x:row r="1">
      <x:c r="A1" s="18" t="str">
        <x:v>Source Item ID</x:v>
      </x:c>
      <x:c r="B1" s="18" t="str">
        <x:v>New SKU</x:v>
      </x:c>
      <x:c r="C1" s="18" t="str">
        <x:v>New Barcode</x:v>
      </x:c>
      <x:c r="D1" s="18" t="str">
        <x:v>Original Name</x:v>
      </x:c>
      <x:c r="E1" s="18" t="str">
        <x:v>Proposed Name</x:v>
      </x:c>
      <x:c r="F1" s="18" t="str">
        <x:v>Product Family</x:v>
      </x:c>
      <x:c r="G1" s="18" t="str">
        <x:v>Color</x:v>
      </x:c>
      <x:c r="H1" s="18" t="str">
        <x:v>Group Code</x:v>
      </x:c>
      <x:c r="I1" s="18" t="str">
        <x:v>Group Name</x:v>
      </x:c>
      <x:c r="J1" s="18" t="str">
        <x:v>Source Category</x:v>
      </x:c>
      <x:c r="K1" s="18" t="str">
        <x:v>Fit Profile Code</x:v>
      </x:c>
      <x:c r="L1" s="18" t="str">
        <x:v>Fit Profile Name</x:v>
      </x:c>
      <x:c r="M1" s="18" t="str">
        <x:v>Compatibility Status</x:v>
      </x:c>
      <x:c r="N1" s="18" t="str">
        <x:v>Variant Image URL</x:v>
      </x:c>
      <x:c r="O1" s="18" t="str">
        <x:v>Group Main Image URL</x:v>
      </x:c>
      <x:c r="P1" s="18" t="str">
        <x:v>Store Slug</x:v>
      </x:c>
      <x:c r="Q1" s="18" t="str">
        <x:v>Source Stock</x:v>
      </x:c>
      <x:c r="R1" s="18" t="str">
        <x:v>Proposed Stock</x:v>
      </x:c>
      <x:c r="S1" s="18" t="str">
        <x:v>Source Cost</x:v>
      </x:c>
      <x:c r="T1" s="18" t="str">
        <x:v>Proposed Cost</x:v>
      </x:c>
      <x:c r="U1" s="18" t="str">
        <x:v>Cost Rule</x:v>
      </x:c>
      <x:c r="V1" s="18" t="str">
        <x:v>Retail Price</x:v>
      </x:c>
      <x:c r="W1" s="18" t="str">
        <x:v>Online Price</x:v>
      </x:c>
      <x:c r="X1" s="18" t="str">
        <x:v>POS Visible</x:v>
      </x:c>
      <x:c r="Y1" s="18" t="str">
        <x:v>Online Visible</x:v>
      </x:c>
      <x:c r="Z1" s="18" t="str">
        <x:v>RepairDesk Product ID</x:v>
      </x:c>
      <x:c r="AA1" s="18" t="str">
        <x:v>Inventory Index ID</x:v>
      </x:c>
      <x:c r="AB1" s="18" t="str">
        <x:v>Data Status</x:v>
      </x:c>
      <x:c r="AC1" s="18" t="str">
        <x:v>Notes</x:v>
      </x:c>
    </x:row>
    <x:row r="2">
      <x:c r="A2" s="19" t="str">
        <x:v>11213</x:v>
      </x:c>
      <x:c r="B2" s="19" t="str">
        <x:v>TM8-TAB-11213</x:v>
      </x:c>
      <x:c r="C2" s="19" t="str">
        <x:v>2999000112135</x:v>
      </x:c>
      <x:c r="D2" s="22" t="str">
        <x:v>iPad Air 13 2024 Twist Leather Case Blue</x:v>
      </x:c>
      <x:c r="E2" s="22" t="str">
        <x:v>Twist Leather Case for iPad Air 13-inch (2024) - Blue</x:v>
      </x:c>
      <x:c r="F2" s="22" t="str">
        <x:v>Twist Leather Case</x:v>
      </x:c>
      <x:c r="G2" s="22" t="str">
        <x:v>Blue</x:v>
      </x:c>
      <x:c r="H2" s="22" t="str">
        <x:v>TM8-GRP-IPAD-AIR13-2024-TLC</x:v>
      </x:c>
      <x:c r="I2" s="22" t="str">
        <x:v>Twist Leather Case for iPad Air 13-inch (2024)</x:v>
      </x:c>
      <x:c r="J2" s="22" t="str">
        <x:v>iPad Air 13-inch 2024 (Air 6)</x:v>
      </x:c>
      <x:c r="K2" s="22" t="str">
        <x:v>IPAD-AIR13-2024</x:v>
      </x:c>
      <x:c r="L2" s="22" t="str">
        <x:v>iPad Air 13-inch (2024)</x:v>
      </x:c>
      <x:c r="M2" s="22" t="str">
        <x:v>Proposed</x:v>
      </x:c>
      <x:c r="N2" s="22" t="str">
        <x:v>https://dghyt15qon7us.cloudfront.net/images/productTheme/Inventory/small/0.17832400%201780364856.jpg</x:v>
      </x:c>
      <x:c r="O2" s="22" t="str">
        <x:v>https://dghyt15qon7us.cloudfront.net/images/productTheme/Inventory/small/0.17832400%201780364856.jpg</x:v>
      </x:c>
      <x:c r="P2" s="19" t="str">
        <x:v>park-ridge</x:v>
      </x:c>
      <x:c r="Q2" s="20" t="n">
        <x:v>1</x:v>
      </x:c>
      <x:c r="R2" s="20" t="n">
        <x:f>MAX(0,Q2)</x:f>
        <x:v>1</x:v>
      </x:c>
      <x:c r="S2" s="21" t="n">
        <x:v>5</x:v>
      </x:c>
      <x:c r="T2" s="21" t="n">
        <x:f>IF(OR(F2="Hard Case",F2="Bubble Hard Case"),15,IF(F2="Twist Leather Case",5,IF(F2="Z-Fold Case",4,IFERROR(VLOOKUP(B2,'Cost Overrides'!$A$2:$B$17,2,FALSE),S2))))</x:f>
        <x:v>5</x:v>
      </x:c>
      <x:c r="U2" s="21" t="str">
        <x:f>IF(OR(F2="Hard Case",F2="Bubble Hard Case"),"Confirmed: Hard Case",IF(F2="Twist Leather Case","Confirmed: Twist Leather Case",IF(F2="Z-Fold Case","Confirmed: Z-Fold Case",IF(COUNTIF('Cost Overrides'!$A$2:$A$17,B2)&gt;0,"Confirmed: Owner cost override",IF(S2&lt;=0,"Needs cost","Source cost")))))</x:f>
        <x:v>Confirmed: Twist Leather Case</x:v>
      </x:c>
      <x:c r="V2" s="21" t="n">
        <x:v>39.95</x:v>
      </x:c>
      <x:c r="W2" s="21" t="n">
        <x:f>V2</x:f>
        <x:v>39.95</x:v>
      </x:c>
      <x:c r="X2" s="19" t="str">
        <x:v>NO</x:v>
      </x:c>
      <x:c r="Y2" s="19" t="str">
        <x:v>NO</x:v>
      </x:c>
      <x:c r="Z2" s="19" t="str">
        <x:v>42462300</x:v>
      </x:c>
      <x:c r="AA2" s="19" t="str">
        <x:v>50811549</x:v>
      </x:c>
      <x:c r="AB2" s="22" t="str">
        <x:f>IF(OR(M2&lt;&gt;"Approved",U2="Needs cost",O2=""),"Needs review","Ready after approval")</x:f>
        <x:v>Needs review</x:v>
      </x:c>
      <x:c r="AC2" s="22" t="str"/>
    </x:row>
    <x:row r="3">
      <x:c r="A3" s="19" t="str">
        <x:v>11212</x:v>
      </x:c>
      <x:c r="B3" s="19" t="str">
        <x:v>TM8-TAB-11212</x:v>
      </x:c>
      <x:c r="C3" s="19" t="str">
        <x:v>2999000112128</x:v>
      </x:c>
      <x:c r="D3" s="22" t="str">
        <x:v>iPad Air 13 2024 Twist Leather Case Green</x:v>
      </x:c>
      <x:c r="E3" s="22" t="str">
        <x:v>Twist Leather Case for iPad Air 13-inch (2024) - Green</x:v>
      </x:c>
      <x:c r="F3" s="22" t="str">
        <x:v>Twist Leather Case</x:v>
      </x:c>
      <x:c r="G3" s="22" t="str">
        <x:v>Green</x:v>
      </x:c>
      <x:c r="H3" s="22" t="str">
        <x:v>TM8-GRP-IPAD-AIR13-2024-TLC</x:v>
      </x:c>
      <x:c r="I3" s="22" t="str">
        <x:v>Twist Leather Case for iPad Air 13-inch (2024)</x:v>
      </x:c>
      <x:c r="J3" s="22" t="str">
        <x:v>iPad Air 13-inch 2024 (Air 6)</x:v>
      </x:c>
      <x:c r="K3" s="22" t="str">
        <x:v>IPAD-AIR13-2024</x:v>
      </x:c>
      <x:c r="L3" s="22" t="str">
        <x:v>iPad Air 13-inch (2024)</x:v>
      </x:c>
      <x:c r="M3" s="22" t="str">
        <x:v>Proposed</x:v>
      </x:c>
      <x:c r="N3" s="22" t="str">
        <x:v>https://dghyt15qon7us.cloudfront.net/images/productTheme/Inventory/small/0.23137500%201780364813.jpg</x:v>
      </x:c>
      <x:c r="O3" s="22" t="str">
        <x:v>https://dghyt15qon7us.cloudfront.net/images/productTheme/Inventory/small/0.17832400%201780364856.jpg</x:v>
      </x:c>
      <x:c r="P3" s="19" t="str">
        <x:v>park-ridge</x:v>
      </x:c>
      <x:c r="Q3" s="20" t="n">
        <x:v>1</x:v>
      </x:c>
      <x:c r="R3" s="20" t="n">
        <x:f>MAX(0,Q3)</x:f>
        <x:v>1</x:v>
      </x:c>
      <x:c r="S3" s="21" t="n">
        <x:v>5</x:v>
      </x:c>
      <x:c r="T3" s="21" t="n">
        <x:f>IF(OR(F3="Hard Case",F3="Bubble Hard Case"),15,IF(F3="Twist Leather Case",5,IF(F3="Z-Fold Case",4,IFERROR(VLOOKUP(B3,'Cost Overrides'!$A$2:$B$17,2,FALSE),S3))))</x:f>
        <x:v>5</x:v>
      </x:c>
      <x:c r="U3" s="21" t="str">
        <x:f>IF(OR(F3="Hard Case",F3="Bubble Hard Case"),"Confirmed: Hard Case",IF(F3="Twist Leather Case","Confirmed: Twist Leather Case",IF(F3="Z-Fold Case","Confirmed: Z-Fold Case",IF(COUNTIF('Cost Overrides'!$A$2:$A$17,B3)&gt;0,"Confirmed: Owner cost override",IF(S3&lt;=0,"Needs cost","Source cost")))))</x:f>
        <x:v>Confirmed: Twist Leather Case</x:v>
      </x:c>
      <x:c r="V3" s="21" t="n">
        <x:v>39.95</x:v>
      </x:c>
      <x:c r="W3" s="21" t="n">
        <x:f>V3</x:f>
        <x:v>39.95</x:v>
      </x:c>
      <x:c r="X3" s="19" t="str">
        <x:v>NO</x:v>
      </x:c>
      <x:c r="Y3" s="19" t="str">
        <x:v>NO</x:v>
      </x:c>
      <x:c r="Z3" s="19" t="str">
        <x:v>42462299</x:v>
      </x:c>
      <x:c r="AA3" s="19" t="str">
        <x:v>50811545</x:v>
      </x:c>
      <x:c r="AB3" s="22" t="str">
        <x:f>IF(OR(M3&lt;&gt;"Approved",U3="Needs cost",O3=""),"Needs review","Ready after approval")</x:f>
        <x:v>Needs review</x:v>
      </x:c>
      <x:c r="AC3" s="22" t="str"/>
    </x:row>
    <x:row r="4">
      <x:c r="A4" s="19" t="str">
        <x:v>11036</x:v>
      </x:c>
      <x:c r="B4" s="19" t="str">
        <x:v>TM8-TAB-11036</x:v>
      </x:c>
      <x:c r="C4" s="19" t="str">
        <x:v>2999000110360</x:v>
      </x:c>
      <x:c r="D4" s="22" t="str">
        <x:v>iPad Air 6 11-inch Hard Case Green</x:v>
      </x:c>
      <x:c r="E4" s="22" t="str">
        <x:v>Hard Case for iPad Air 11-inch (2024) - Green</x:v>
      </x:c>
      <x:c r="F4" s="22" t="str">
        <x:v>Hard Case</x:v>
      </x:c>
      <x:c r="G4" s="22" t="str">
        <x:v>Green</x:v>
      </x:c>
      <x:c r="H4" s="22" t="str">
        <x:v>TM8-GRP-IPAD-AIR11-2024-HDC</x:v>
      </x:c>
      <x:c r="I4" s="22" t="str">
        <x:v>Hard Case for iPad Air 11-inch (2024)</x:v>
      </x:c>
      <x:c r="J4" s="22" t="str">
        <x:v>iPad Air 11-inch 2024(Air 6</x:v>
      </x:c>
      <x:c r="K4" s="22" t="str">
        <x:v>IPAD-AIR11-2024</x:v>
      </x:c>
      <x:c r="L4" s="22" t="str">
        <x:v>iPad Air 11-inch (2024)</x:v>
      </x:c>
      <x:c r="M4" s="22" t="str">
        <x:v>Proposed</x:v>
      </x:c>
      <x:c r="N4" s="22" t="str">
        <x:v>https://dghyt15qon7us.cloudfront.net/images/productTheme/Inventory/small/0.10985900%201771733497.jpg</x:v>
      </x:c>
      <x:c r="O4" s="22" t="str">
        <x:v>https://dghyt15qon7us.cloudfront.net/images/productTheme/Inventory/small/0.42545700%201719884073.jpg</x:v>
      </x:c>
      <x:c r="P4" s="19" t="str">
        <x:v>park-ridge</x:v>
      </x:c>
      <x:c r="Q4" s="20" t="n">
        <x:v>1</x:v>
      </x:c>
      <x:c r="R4" s="20" t="n">
        <x:f>MAX(0,Q4)</x:f>
        <x:v>1</x:v>
      </x:c>
      <x:c r="S4" s="21" t="n">
        <x:v>15</x:v>
      </x:c>
      <x:c r="T4" s="21" t="n">
        <x:f>IF(OR(F4="Hard Case",F4="Bubble Hard Case"),15,IF(F4="Twist Leather Case",5,IF(F4="Z-Fold Case",4,IFERROR(VLOOKUP(B4,'Cost Overrides'!$A$2:$B$17,2,FALSE),S4))))</x:f>
        <x:v>15</x:v>
      </x:c>
      <x:c r="U4" s="21" t="str">
        <x:f>IF(OR(F4="Hard Case",F4="Bubble Hard Case"),"Confirmed: Hard Case",IF(F4="Twist Leather Case","Confirmed: Twist Leather Case",IF(F4="Z-Fold Case","Confirmed: Z-Fold Case",IF(COUNTIF('Cost Overrides'!$A$2:$A$17,B4)&gt;0,"Confirmed: Owner cost override",IF(S4&lt;=0,"Needs cost","Source cost")))))</x:f>
        <x:v>Confirmed: Hard Case</x:v>
      </x:c>
      <x:c r="V4" s="21" t="n">
        <x:v>49.95</x:v>
      </x:c>
      <x:c r="W4" s="21" t="n">
        <x:f>V4</x:f>
        <x:v>49.95</x:v>
      </x:c>
      <x:c r="X4" s="19" t="str">
        <x:v>NO</x:v>
      </x:c>
      <x:c r="Y4" s="19" t="str">
        <x:v>NO</x:v>
      </x:c>
      <x:c r="Z4" s="19" t="str">
        <x:v>42462117</x:v>
      </x:c>
      <x:c r="AA4" s="19" t="str">
        <x:v>50810791</x:v>
      </x:c>
      <x:c r="AB4" s="22" t="str">
        <x:f>IF(OR(M4&lt;&gt;"Approved",U4="Needs cost",O4=""),"Needs review","Ready after approval")</x:f>
        <x:v>Needs review</x:v>
      </x:c>
      <x:c r="AC4" s="22" t="str"/>
    </x:row>
    <x:row r="5">
      <x:c r="A5" s="19" t="str">
        <x:v>11012</x:v>
      </x:c>
      <x:c r="B5" s="19" t="str">
        <x:v>TM8-TAB-11012</x:v>
      </x:c>
      <x:c r="C5" s="19" t="str">
        <x:v>2999000110124</x:v>
      </x:c>
      <x:c r="D5" s="22" t="str">
        <x:v>A11 Plus Black flip case</x:v>
      </x:c>
      <x:c r="E5" s="22" t="str">
        <x:v>Flip Case for Samsung Galaxy Tab A11 Plus - Black</x:v>
      </x:c>
      <x:c r="F5" s="22" t="str">
        <x:v>Flip Case</x:v>
      </x:c>
      <x:c r="G5" s="22" t="str">
        <x:v>Black</x:v>
      </x:c>
      <x:c r="H5" s="22" t="str">
        <x:v>TM8-GRP-SAMSUNG-A11-PLUS-FLC</x:v>
      </x:c>
      <x:c r="I5" s="22" t="str">
        <x:v>Flip Case for Samsung Galaxy Tab A11 Plus</x:v>
      </x:c>
      <x:c r="J5" s="22" t="str">
        <x:v>Samsung Tablet</x:v>
      </x:c>
      <x:c r="K5" s="22" t="str">
        <x:v>SAMSUNG-A11-PLUS</x:v>
      </x:c>
      <x:c r="L5" s="22" t="str">
        <x:v>Samsung Galaxy Tab A11 Plus</x:v>
      </x:c>
      <x:c r="M5" s="22" t="str">
        <x:v>Proposed</x:v>
      </x:c>
      <x:c r="N5" s="22" t="str">
        <x:v>https://dghyt15qon7us.cloudfront.net/images/productTheme/Inventory/small/0.29143100%201769827271.jpg</x:v>
      </x:c>
      <x:c r="O5" s="22" t="str">
        <x:v>https://dghyt15qon7us.cloudfront.net/images/productTheme/Inventory/small/0.29143100%201769827271.jpg</x:v>
      </x:c>
      <x:c r="P5" s="19" t="str">
        <x:v>park-ridge</x:v>
      </x:c>
      <x:c r="Q5" s="20" t="n">
        <x:v>0</x:v>
      </x:c>
      <x:c r="R5" s="20" t="n">
        <x:f>MAX(0,Q5)</x:f>
        <x:v>0</x:v>
      </x:c>
      <x:c r="S5" s="21" t="n">
        <x:v>5</x:v>
      </x:c>
      <x:c r="T5" s="21" t="n">
        <x:f>IF(OR(F5="Hard Case",F5="Bubble Hard Case"),15,IF(F5="Twist Leather Case",5,IF(F5="Z-Fold Case",4,IFERROR(VLOOKUP(B5,'Cost Overrides'!$A$2:$B$17,2,FALSE),S5))))</x:f>
        <x:v>5</x:v>
      </x:c>
      <x:c r="U5" s="21" t="str">
        <x:f>IF(OR(F5="Hard Case",F5="Bubble Hard Case"),"Confirmed: Hard Case",IF(F5="Twist Leather Case","Confirmed: Twist Leather Case",IF(F5="Z-Fold Case","Confirmed: Z-Fold Case",IF(COUNTIF('Cost Overrides'!$A$2:$A$17,B5)&gt;0,"Confirmed: Owner cost override",IF(S5&lt;=0,"Needs cost","Source cost")))))</x:f>
        <x:v>Source cost</x:v>
      </x:c>
      <x:c r="V5" s="21" t="n">
        <x:v>39</x:v>
      </x:c>
      <x:c r="W5" s="21" t="n">
        <x:f>V5</x:f>
        <x:v>39</x:v>
      </x:c>
      <x:c r="X5" s="19" t="str">
        <x:v>NO</x:v>
      </x:c>
      <x:c r="Y5" s="19" t="str">
        <x:v>NO</x:v>
      </x:c>
      <x:c r="Z5" s="19" t="str">
        <x:v>42462093</x:v>
      </x:c>
      <x:c r="AA5" s="19" t="str">
        <x:v>50810697</x:v>
      </x:c>
      <x:c r="AB5" s="22" t="str">
        <x:f>IF(OR(M5&lt;&gt;"Approved",U5="Needs cost",O5=""),"Needs review","Ready after approval")</x:f>
        <x:v>Needs review</x:v>
      </x:c>
      <x:c r="AC5" s="22" t="str"/>
    </x:row>
    <x:row r="6">
      <x:c r="A6" s="19" t="str">
        <x:v>10991</x:v>
      </x:c>
      <x:c r="B6" s="19" t="str">
        <x:v>TM8-TAB-10991</x:v>
      </x:c>
      <x:c r="C6" s="19" t="str">
        <x:v>2999000109913</x:v>
      </x:c>
      <x:c r="D6" s="22" t="str">
        <x:v>iPad Z-Fold Case Air 6 13inch 2024 Dark Green</x:v>
      </x:c>
      <x:c r="E6" s="22" t="str">
        <x:v>Z-Fold Case for iPad Air 13-inch (2024) - Dark Green</x:v>
      </x:c>
      <x:c r="F6" s="22" t="str">
        <x:v>Z-Fold Case</x:v>
      </x:c>
      <x:c r="G6" s="22" t="str">
        <x:v>Dark Green</x:v>
      </x:c>
      <x:c r="H6" s="22" t="str">
        <x:v>TM8-GRP-IPAD-AIR13-2024-ZFD</x:v>
      </x:c>
      <x:c r="I6" s="22" t="str">
        <x:v>Z-Fold Case for iPad Air 13-inch (2024)</x:v>
      </x:c>
      <x:c r="J6" s="22" t="str">
        <x:v>iPad Air 13-inch 2024 (Air 6)</x:v>
      </x:c>
      <x:c r="K6" s="22" t="str">
        <x:v>IPAD-AIR13-2024</x:v>
      </x:c>
      <x:c r="L6" s="22" t="str">
        <x:v>iPad Air 13-inch (2024)</x:v>
      </x:c>
      <x:c r="M6" s="22" t="str">
        <x:v>Proposed</x:v>
      </x:c>
      <x:c r="N6" s="22" t="str">
        <x:v>https://dghyt15qon7us.cloudfront.net/images/productTheme/Inventory/small/0.85754800%201768714302.jpg</x:v>
      </x:c>
      <x:c r="O6" s="22" t="str">
        <x:v>https://dghyt15qon7us.cloudfront.net/images/productTheme/Inventory/small/0.38283700%201727841039.jpg</x:v>
      </x:c>
      <x:c r="P6" s="19" t="str">
        <x:v>park-ridge</x:v>
      </x:c>
      <x:c r="Q6" s="20" t="n">
        <x:v>3</x:v>
      </x:c>
      <x:c r="R6" s="20" t="n">
        <x:f>MAX(0,Q6)</x:f>
        <x:v>3</x:v>
      </x:c>
      <x:c r="S6" s="21" t="n">
        <x:v>3</x:v>
      </x:c>
      <x:c r="T6" s="21" t="n">
        <x:f>IF(OR(F6="Hard Case",F6="Bubble Hard Case"),15,IF(F6="Twist Leather Case",5,IF(F6="Z-Fold Case",4,IFERROR(VLOOKUP(B6,'Cost Overrides'!$A$2:$B$17,2,FALSE),S6))))</x:f>
        <x:v>4</x:v>
      </x:c>
      <x:c r="U6" s="21" t="str">
        <x:f>IF(OR(F6="Hard Case",F6="Bubble Hard Case"),"Confirmed: Hard Case",IF(F6="Twist Leather Case","Confirmed: Twist Leather Case",IF(F6="Z-Fold Case","Confirmed: Z-Fold Case",IF(COUNTIF('Cost Overrides'!$A$2:$A$17,B6)&gt;0,"Confirmed: Owner cost override",IF(S6&lt;=0,"Needs cost","Source cost")))))</x:f>
        <x:v>Confirmed: Z-Fold Case</x:v>
      </x:c>
      <x:c r="V6" s="21" t="n">
        <x:v>39.95</x:v>
      </x:c>
      <x:c r="W6" s="21" t="n">
        <x:f>V6</x:f>
        <x:v>39.95</x:v>
      </x:c>
      <x:c r="X6" s="19" t="str">
        <x:v>NO</x:v>
      </x:c>
      <x:c r="Y6" s="19" t="str">
        <x:v>NO</x:v>
      </x:c>
      <x:c r="Z6" s="19" t="str">
        <x:v>42462070</x:v>
      </x:c>
      <x:c r="AA6" s="19" t="str">
        <x:v>50810603</x:v>
      </x:c>
      <x:c r="AB6" s="22" t="str">
        <x:f>IF(OR(M6&lt;&gt;"Approved",U6="Needs cost",O6=""),"Needs review","Ready after approval")</x:f>
        <x:v>Needs review</x:v>
      </x:c>
      <x:c r="AC6" s="22" t="str"/>
    </x:row>
    <x:row r="7">
      <x:c r="A7" s="19" t="str">
        <x:v>10990</x:v>
      </x:c>
      <x:c r="B7" s="19" t="str">
        <x:v>TM8-TAB-10990</x:v>
      </x:c>
      <x:c r="C7" s="19" t="str">
        <x:v>2999000109906</x:v>
      </x:c>
      <x:c r="D7" s="22" t="str">
        <x:v>iPad Z-Fold Case 10th Gen Dark Green</x:v>
      </x:c>
      <x:c r="E7" s="22" t="str">
        <x:v>Z-Fold Case for iPad 10th Gen 10.9-inch - Dark Green</x:v>
      </x:c>
      <x:c r="F7" s="22" t="str">
        <x:v>Z-Fold Case</x:v>
      </x:c>
      <x:c r="G7" s="22" t="str">
        <x:v>Dark Green</x:v>
      </x:c>
      <x:c r="H7" s="22" t="str">
        <x:v>TM8-GRP-IPAD-10-GEN10-ZFD</x:v>
      </x:c>
      <x:c r="I7" s="22" t="str">
        <x:v>Z-Fold Case for iPad 10th Gen 10.9-inch</x:v>
      </x:c>
      <x:c r="J7" s="22" t="str">
        <x:v>iPad 10th Gen 10.9 Inch</x:v>
      </x:c>
      <x:c r="K7" s="22" t="str">
        <x:v>IPAD-10-GEN10</x:v>
      </x:c>
      <x:c r="L7" s="22" t="str">
        <x:v>iPad 10th Gen 10.9-inch</x:v>
      </x:c>
      <x:c r="M7" s="22" t="str">
        <x:v>Proposed</x:v>
      </x:c>
      <x:c r="N7" s="22" t="str">
        <x:v>https://dghyt15qon7us.cloudfront.net/images/productTheme/Inventory/small/0.21336200%201768703786.jpg</x:v>
      </x:c>
      <x:c r="O7" s="22" t="str">
        <x:v>https://dghyt15qon7us.cloudfront.net/images/productTheme/Inventory/small/1674185618.jpg</x:v>
      </x:c>
      <x:c r="P7" s="19" t="str">
        <x:v>park-ridge</x:v>
      </x:c>
      <x:c r="Q7" s="20" t="n">
        <x:v>0</x:v>
      </x:c>
      <x:c r="R7" s="20" t="n">
        <x:f>MAX(0,Q7)</x:f>
        <x:v>0</x:v>
      </x:c>
      <x:c r="S7" s="21" t="n">
        <x:v>3</x:v>
      </x:c>
      <x:c r="T7" s="21" t="n">
        <x:f>IF(OR(F7="Hard Case",F7="Bubble Hard Case"),15,IF(F7="Twist Leather Case",5,IF(F7="Z-Fold Case",4,IFERROR(VLOOKUP(B7,'Cost Overrides'!$A$2:$B$17,2,FALSE),S7))))</x:f>
        <x:v>4</x:v>
      </x:c>
      <x:c r="U7" s="21" t="str">
        <x:f>IF(OR(F7="Hard Case",F7="Bubble Hard Case"),"Confirmed: Hard Case",IF(F7="Twist Leather Case","Confirmed: Twist Leather Case",IF(F7="Z-Fold Case","Confirmed: Z-Fold Case",IF(COUNTIF('Cost Overrides'!$A$2:$A$17,B7)&gt;0,"Confirmed: Owner cost override",IF(S7&lt;=0,"Needs cost","Source cost")))))</x:f>
        <x:v>Confirmed: Z-Fold Case</x:v>
      </x:c>
      <x:c r="V7" s="21" t="n">
        <x:v>39.95</x:v>
      </x:c>
      <x:c r="W7" s="21" t="n">
        <x:f>V7</x:f>
        <x:v>39.95</x:v>
      </x:c>
      <x:c r="X7" s="19" t="str">
        <x:v>NO</x:v>
      </x:c>
      <x:c r="Y7" s="19" t="str">
        <x:v>NO</x:v>
      </x:c>
      <x:c r="Z7" s="19" t="str">
        <x:v>42462069</x:v>
      </x:c>
      <x:c r="AA7" s="19" t="str">
        <x:v>50810599</x:v>
      </x:c>
      <x:c r="AB7" s="22" t="str">
        <x:f>IF(OR(M7&lt;&gt;"Approved",U7="Needs cost",O7=""),"Needs review","Ready after approval")</x:f>
        <x:v>Needs review</x:v>
      </x:c>
      <x:c r="AC7" s="22" t="str"/>
    </x:row>
    <x:row r="8">
      <x:c r="A8" s="19" t="str">
        <x:v>10098</x:v>
      </x:c>
      <x:c r="B8" s="19" t="str">
        <x:v>TM8-TAB-10098</x:v>
      </x:c>
      <x:c r="C8" s="19" t="str">
        <x:v>2999000100989</x:v>
      </x:c>
      <x:c r="D8" s="22" t="str">
        <x:v>Galaxy Tab S10</x:v>
      </x:c>
      <x:c r="E8" s="22" t="str">
        <x:v>Unclassified Case for Samsung Galaxy Tab S10</x:v>
      </x:c>
      <x:c r="F8" s="22" t="str">
        <x:v>Unclassified Case</x:v>
      </x:c>
      <x:c r="G8" s="22" t="str">
        <x:v>Unspecified</x:v>
      </x:c>
      <x:c r="H8" s="22" t="str">
        <x:v>TM8-GRP-SAMSUNG-S10-UNC</x:v>
      </x:c>
      <x:c r="I8" s="22" t="str">
        <x:v>Unclassified Case for Samsung Galaxy Tab S10</x:v>
      </x:c>
      <x:c r="J8" s="22" t="str">
        <x:v>Samsung Tablet</x:v>
      </x:c>
      <x:c r="K8" s="22" t="str">
        <x:v>SAMSUNG-S10</x:v>
      </x:c>
      <x:c r="L8" s="22" t="str">
        <x:v>Samsung Galaxy Tab S10</x:v>
      </x:c>
      <x:c r="M8" s="22" t="str">
        <x:v>Proposed</x:v>
      </x:c>
      <x:c r="N8" s="22" t="str">
        <x:v>https://dghyt15qon7us.cloudfront.net/images/productTheme/Inventory/small/0.86321400%201738470432.jpg</x:v>
      </x:c>
      <x:c r="O8" s="22" t="str">
        <x:v>https://dghyt15qon7us.cloudfront.net/images/productTheme/Inventory/small/0.86321400%201738470432.jpg</x:v>
      </x:c>
      <x:c r="P8" s="19" t="str">
        <x:v>park-ridge</x:v>
      </x:c>
      <x:c r="Q8" s="20" t="n">
        <x:v>1</x:v>
      </x:c>
      <x:c r="R8" s="20" t="n">
        <x:f>MAX(0,Q8)</x:f>
        <x:v>1</x:v>
      </x:c>
      <x:c r="S8" s="21" t="n">
        <x:v>4</x:v>
      </x:c>
      <x:c r="T8" s="21" t="n">
        <x:f>IF(OR(F8="Hard Case",F8="Bubble Hard Case"),15,IF(F8="Twist Leather Case",5,IF(F8="Z-Fold Case",4,IFERROR(VLOOKUP(B8,'Cost Overrides'!$A$2:$B$17,2,FALSE),S8))))</x:f>
        <x:v>4</x:v>
      </x:c>
      <x:c r="U8" s="21" t="str">
        <x:f>IF(OR(F8="Hard Case",F8="Bubble Hard Case"),"Confirmed: Hard Case",IF(F8="Twist Leather Case","Confirmed: Twist Leather Case",IF(F8="Z-Fold Case","Confirmed: Z-Fold Case",IF(COUNTIF('Cost Overrides'!$A$2:$A$17,B8)&gt;0,"Confirmed: Owner cost override",IF(S8&lt;=0,"Needs cost","Source cost")))))</x:f>
        <x:v>Source cost</x:v>
      </x:c>
      <x:c r="V8" s="21" t="n">
        <x:v>39</x:v>
      </x:c>
      <x:c r="W8" s="21" t="n">
        <x:f>V8</x:f>
        <x:v>39</x:v>
      </x:c>
      <x:c r="X8" s="19" t="str">
        <x:v>NO</x:v>
      </x:c>
      <x:c r="Y8" s="19" t="str">
        <x:v>NO</x:v>
      </x:c>
      <x:c r="Z8" s="19" t="str">
        <x:v>42461174</x:v>
      </x:c>
      <x:c r="AA8" s="19" t="str">
        <x:v>50798427</x:v>
      </x:c>
      <x:c r="AB8" s="22" t="str">
        <x:f>IF(OR(M8&lt;&gt;"Approved",U8="Needs cost",O8=""),"Needs review","Ready after approval")</x:f>
        <x:v>Needs review</x:v>
      </x:c>
      <x:c r="AC8" s="22" t="str"/>
    </x:row>
    <x:row r="9">
      <x:c r="A9" s="19" t="str">
        <x:v>10097</x:v>
      </x:c>
      <x:c r="B9" s="19" t="str">
        <x:v>TM8-TAB-10097</x:v>
      </x:c>
      <x:c r="C9" s="19" t="str">
        <x:v>2999000100972</x:v>
      </x:c>
      <x:c r="D9" s="22" t="str">
        <x:v>Galaxy Tab S10 Plus</x:v>
      </x:c>
      <x:c r="E9" s="22" t="str">
        <x:v>Unclassified Case for Samsung Galaxy Tab S10 Plus</x:v>
      </x:c>
      <x:c r="F9" s="22" t="str">
        <x:v>Unclassified Case</x:v>
      </x:c>
      <x:c r="G9" s="22" t="str">
        <x:v>Unspecified</x:v>
      </x:c>
      <x:c r="H9" s="22" t="str">
        <x:v>TM8-GRP-SAMSUNG-S10-PLUS-UNC</x:v>
      </x:c>
      <x:c r="I9" s="22" t="str">
        <x:v>Unclassified Case for Samsung Galaxy Tab S10 Plus</x:v>
      </x:c>
      <x:c r="J9" s="22" t="str">
        <x:v>Samsung Tablet</x:v>
      </x:c>
      <x:c r="K9" s="22" t="str">
        <x:v>SAMSUNG-S10-PLUS</x:v>
      </x:c>
      <x:c r="L9" s="22" t="str">
        <x:v>Samsung Galaxy Tab S10 Plus</x:v>
      </x:c>
      <x:c r="M9" s="22" t="str">
        <x:v>Proposed</x:v>
      </x:c>
      <x:c r="N9" s="22" t="str">
        <x:v>https://dghyt15qon7us.cloudfront.net/images/productTheme/Inventory/small/0.44264500%201738470414.jpg</x:v>
      </x:c>
      <x:c r="O9" s="22" t="str">
        <x:v>https://dghyt15qon7us.cloudfront.net/images/productTheme/Inventory/small/0.44264500%201738470414.jpg</x:v>
      </x:c>
      <x:c r="P9" s="19" t="str">
        <x:v>park-ridge</x:v>
      </x:c>
      <x:c r="Q9" s="20" t="n">
        <x:v>1</x:v>
      </x:c>
      <x:c r="R9" s="20" t="n">
        <x:f>MAX(0,Q9)</x:f>
        <x:v>1</x:v>
      </x:c>
      <x:c r="S9" s="21" t="n">
        <x:v>4</x:v>
      </x:c>
      <x:c r="T9" s="21" t="n">
        <x:f>IF(OR(F9="Hard Case",F9="Bubble Hard Case"),15,IF(F9="Twist Leather Case",5,IF(F9="Z-Fold Case",4,IFERROR(VLOOKUP(B9,'Cost Overrides'!$A$2:$B$17,2,FALSE),S9))))</x:f>
        <x:v>4</x:v>
      </x:c>
      <x:c r="U9" s="21" t="str">
        <x:f>IF(OR(F9="Hard Case",F9="Bubble Hard Case"),"Confirmed: Hard Case",IF(F9="Twist Leather Case","Confirmed: Twist Leather Case",IF(F9="Z-Fold Case","Confirmed: Z-Fold Case",IF(COUNTIF('Cost Overrides'!$A$2:$A$17,B9)&gt;0,"Confirmed: Owner cost override",IF(S9&lt;=0,"Needs cost","Source cost")))))</x:f>
        <x:v>Source cost</x:v>
      </x:c>
      <x:c r="V9" s="21" t="n">
        <x:v>39</x:v>
      </x:c>
      <x:c r="W9" s="21" t="n">
        <x:f>V9</x:f>
        <x:v>39</x:v>
      </x:c>
      <x:c r="X9" s="19" t="str">
        <x:v>NO</x:v>
      </x:c>
      <x:c r="Y9" s="19" t="str">
        <x:v>NO</x:v>
      </x:c>
      <x:c r="Z9" s="19" t="str">
        <x:v>42461173</x:v>
      </x:c>
      <x:c r="AA9" s="19" t="str">
        <x:v>50798423</x:v>
      </x:c>
      <x:c r="AB9" s="22" t="str">
        <x:f>IF(OR(M9&lt;&gt;"Approved",U9="Needs cost",O9=""),"Needs review","Ready after approval")</x:f>
        <x:v>Needs review</x:v>
      </x:c>
      <x:c r="AC9" s="22" t="str"/>
    </x:row>
    <x:row r="10">
      <x:c r="A10" s="19" t="str">
        <x:v>10096</x:v>
      </x:c>
      <x:c r="B10" s="19" t="str">
        <x:v>TM8-TAB-10096</x:v>
      </x:c>
      <x:c r="C10" s="19" t="str">
        <x:v>2999000100965</x:v>
      </x:c>
      <x:c r="D10" s="22" t="str">
        <x:v>Galaxy Tab S10 Ultra</x:v>
      </x:c>
      <x:c r="E10" s="22" t="str">
        <x:v>Unclassified Case for Samsung Galaxy Tab S10 Ultra</x:v>
      </x:c>
      <x:c r="F10" s="22" t="str">
        <x:v>Unclassified Case</x:v>
      </x:c>
      <x:c r="G10" s="22" t="str">
        <x:v>Unspecified</x:v>
      </x:c>
      <x:c r="H10" s="22" t="str">
        <x:v>TM8-GRP-SAMSUNG-S10-ULTRA-UNC</x:v>
      </x:c>
      <x:c r="I10" s="22" t="str">
        <x:v>Unclassified Case for Samsung Galaxy Tab S10 Ultra</x:v>
      </x:c>
      <x:c r="J10" s="22" t="str">
        <x:v>Samsung Tablet</x:v>
      </x:c>
      <x:c r="K10" s="22" t="str">
        <x:v>SAMSUNG-S10-ULTRA</x:v>
      </x:c>
      <x:c r="L10" s="22" t="str">
        <x:v>Samsung Galaxy Tab S10 Ultra</x:v>
      </x:c>
      <x:c r="M10" s="22" t="str">
        <x:v>Proposed</x:v>
      </x:c>
      <x:c r="N10" s="22" t="str">
        <x:v>https://dghyt15qon7us.cloudfront.net/images/productTheme/Inventory/small/0.96013900%201738470371.jpg</x:v>
      </x:c>
      <x:c r="O10" s="22" t="str">
        <x:v>https://dghyt15qon7us.cloudfront.net/images/productTheme/Inventory/small/0.96013900%201738470371.jpg</x:v>
      </x:c>
      <x:c r="P10" s="19" t="str">
        <x:v>park-ridge</x:v>
      </x:c>
      <x:c r="Q10" s="20" t="n">
        <x:v>1</x:v>
      </x:c>
      <x:c r="R10" s="20" t="n">
        <x:f>MAX(0,Q10)</x:f>
        <x:v>1</x:v>
      </x:c>
      <x:c r="S10" s="21" t="n">
        <x:v>4</x:v>
      </x:c>
      <x:c r="T10" s="21" t="n">
        <x:f>IF(OR(F10="Hard Case",F10="Bubble Hard Case"),15,IF(F10="Twist Leather Case",5,IF(F10="Z-Fold Case",4,IFERROR(VLOOKUP(B10,'Cost Overrides'!$A$2:$B$17,2,FALSE),S10))))</x:f>
        <x:v>4</x:v>
      </x:c>
      <x:c r="U10" s="21" t="str">
        <x:f>IF(OR(F10="Hard Case",F10="Bubble Hard Case"),"Confirmed: Hard Case",IF(F10="Twist Leather Case","Confirmed: Twist Leather Case",IF(F10="Z-Fold Case","Confirmed: Z-Fold Case",IF(COUNTIF('Cost Overrides'!$A$2:$A$17,B10)&gt;0,"Confirmed: Owner cost override",IF(S10&lt;=0,"Needs cost","Source cost")))))</x:f>
        <x:v>Source cost</x:v>
      </x:c>
      <x:c r="V10" s="21" t="n">
        <x:v>39</x:v>
      </x:c>
      <x:c r="W10" s="21" t="n">
        <x:f>V10</x:f>
        <x:v>39</x:v>
      </x:c>
      <x:c r="X10" s="19" t="str">
        <x:v>NO</x:v>
      </x:c>
      <x:c r="Y10" s="19" t="str">
        <x:v>NO</x:v>
      </x:c>
      <x:c r="Z10" s="19" t="str">
        <x:v>42461172</x:v>
      </x:c>
      <x:c r="AA10" s="19" t="str">
        <x:v>50798419</x:v>
      </x:c>
      <x:c r="AB10" s="22" t="str">
        <x:f>IF(OR(M10&lt;&gt;"Approved",U10="Needs cost",O10=""),"Needs review","Ready after approval")</x:f>
        <x:v>Needs review</x:v>
      </x:c>
      <x:c r="AC10" s="22" t="str"/>
    </x:row>
    <x:row r="11">
      <x:c r="A11" s="19" t="str">
        <x:v>9617</x:v>
      </x:c>
      <x:c r="B11" s="19" t="str">
        <x:v>TM8-TAB-9617</x:v>
      </x:c>
      <x:c r="C11" s="19" t="str">
        <x:v>2999000096176</x:v>
      </x:c>
      <x:c r="D11" s="22" t="str">
        <x:v>iPad Z-fold case mini 4/5 mint</x:v>
      </x:c>
      <x:c r="E11" s="22" t="str">
        <x:v>Z-Fold Case for iPad mini 4/5 - Mint</x:v>
      </x:c>
      <x:c r="F11" s="22" t="str">
        <x:v>Z-Fold Case</x:v>
      </x:c>
      <x:c r="G11" s="22" t="str">
        <x:v>Mint</x:v>
      </x:c>
      <x:c r="H11" s="22" t="str">
        <x:v>TM8-GRP-IPAD-MINI45-ZFD</x:v>
      </x:c>
      <x:c r="I11" s="22" t="str">
        <x:v>Z-Fold Case for iPad mini 4/5</x:v>
      </x:c>
      <x:c r="J11" s="22" t="str">
        <x:v>iPad mini 4/5</x:v>
      </x:c>
      <x:c r="K11" s="22" t="str">
        <x:v>IPAD-MINI45</x:v>
      </x:c>
      <x:c r="L11" s="22" t="str">
        <x:v>iPad mini 4/5</x:v>
      </x:c>
      <x:c r="M11" s="22" t="str">
        <x:v>Proposed</x:v>
      </x:c>
      <x:c r="N11" s="22" t="str">
        <x:v>https://dghyt15qon7us.cloudfront.net/images/productTheme/Inventory/small/0.83563100%201732501760.jpg</x:v>
      </x:c>
      <x:c r="O11" s="22" t="str">
        <x:v>https://dghyt15qon7us.cloudfront.net/images/productTheme/Inventory/small/1643346765.jpg</x:v>
      </x:c>
      <x:c r="P11" s="19" t="str">
        <x:v>park-ridge</x:v>
      </x:c>
      <x:c r="Q11" s="20" t="n">
        <x:v>2</x:v>
      </x:c>
      <x:c r="R11" s="20" t="n">
        <x:f>MAX(0,Q11)</x:f>
        <x:v>2</x:v>
      </x:c>
      <x:c r="S11" s="21" t="n">
        <x:v>0</x:v>
      </x:c>
      <x:c r="T11" s="21" t="n">
        <x:f>IF(OR(F11="Hard Case",F11="Bubble Hard Case"),15,IF(F11="Twist Leather Case",5,IF(F11="Z-Fold Case",4,IFERROR(VLOOKUP(B11,'Cost Overrides'!$A$2:$B$17,2,FALSE),S11))))</x:f>
        <x:v>4</x:v>
      </x:c>
      <x:c r="U11" s="21" t="str">
        <x:f>IF(OR(F11="Hard Case",F11="Bubble Hard Case"),"Confirmed: Hard Case",IF(F11="Twist Leather Case","Confirmed: Twist Leather Case",IF(F11="Z-Fold Case","Confirmed: Z-Fold Case",IF(COUNTIF('Cost Overrides'!$A$2:$A$17,B11)&gt;0,"Confirmed: Owner cost override",IF(S11&lt;=0,"Needs cost","Source cost")))))</x:f>
        <x:v>Confirmed: Z-Fold Case</x:v>
      </x:c>
      <x:c r="V11" s="21" t="n">
        <x:v>39.95</x:v>
      </x:c>
      <x:c r="W11" s="21" t="n">
        <x:f>V11</x:f>
        <x:v>39.95</x:v>
      </x:c>
      <x:c r="X11" s="19" t="str">
        <x:v>NO</x:v>
      </x:c>
      <x:c r="Y11" s="19" t="str">
        <x:v>NO</x:v>
      </x:c>
      <x:c r="Z11" s="19" t="str">
        <x:v>42459916</x:v>
      </x:c>
      <x:c r="AA11" s="19" t="str">
        <x:v>50795977</x:v>
      </x:c>
      <x:c r="AB11" s="22" t="str">
        <x:f>IF(OR(M11&lt;&gt;"Approved",U11="Needs cost",O11=""),"Needs review","Ready after approval")</x:f>
        <x:v>Needs review</x:v>
      </x:c>
      <x:c r="AC11" s="22" t="str"/>
    </x:row>
    <x:row r="12">
      <x:c r="A12" s="19" t="str">
        <x:v>9615</x:v>
      </x:c>
      <x:c r="B12" s="19" t="str">
        <x:v>TM8-TAB-9615</x:v>
      </x:c>
      <x:c r="C12" s="19" t="str">
        <x:v>2999000096152</x:v>
      </x:c>
      <x:c r="D12" s="22" t="str">
        <x:v>iPad air 4/5 Flip case mint</x:v>
      </x:c>
      <x:c r="E12" s="22" t="str">
        <x:v>Flip Case for iPad Air 4/5 and iPad Pro 11 (2018-2022) - Mint</x:v>
      </x:c>
      <x:c r="F12" s="22" t="str">
        <x:v>Flip Case</x:v>
      </x:c>
      <x:c r="G12" s="22" t="str">
        <x:v>Mint</x:v>
      </x:c>
      <x:c r="H12" s="22" t="str">
        <x:v>TM8-GRP-IPAD-AIR45-PRO11-FLC</x:v>
      </x:c>
      <x:c r="I12" s="22" t="str">
        <x:v>Flip Case for iPad Air 4/5 and iPad Pro 11 (2018-2022)</x:v>
      </x:c>
      <x:c r="J12" s="22" t="str">
        <x:v>iPad Air 4/5, Pro 11</x:v>
      </x:c>
      <x:c r="K12" s="22" t="str">
        <x:v>IPAD-AIR45-PRO11</x:v>
      </x:c>
      <x:c r="L12" s="22" t="str">
        <x:v>iPad Air 4/5 and iPad Pro 11 (2018-2022)</x:v>
      </x:c>
      <x:c r="M12" s="22" t="str">
        <x:v>Approved</x:v>
      </x:c>
      <x:c r="N12" s="22" t="str">
        <x:v>https://dghyt15qon7us.cloudfront.net/images/productTheme/Inventory/small/0.83743600%201732497072.jpg</x:v>
      </x:c>
      <x:c r="O12" s="22" t="str">
        <x:v>https://dghyt15qon7us.cloudfront.net/images/productTheme/Inventory/small/0.83743600%201732497072.jpg</x:v>
      </x:c>
      <x:c r="P12" s="19" t="str">
        <x:v>park-ridge</x:v>
      </x:c>
      <x:c r="Q12" s="20" t="n">
        <x:v>-1</x:v>
      </x:c>
      <x:c r="R12" s="20" t="n">
        <x:f>MAX(0,Q12)</x:f>
        <x:v>0</x:v>
      </x:c>
      <x:c r="S12" s="21" t="n">
        <x:v>0</x:v>
      </x:c>
      <x:c r="T12" s="21" t="n">
        <x:f>IF(OR(F12="Hard Case",F12="Bubble Hard Case"),15,IF(F12="Twist Leather Case",5,IF(F12="Z-Fold Case",4,IFERROR(VLOOKUP(B12,'Cost Overrides'!$A$2:$B$17,2,FALSE),S12))))</x:f>
        <x:v>4</x:v>
      </x:c>
      <x:c r="U12" s="21" t="str">
        <x:f>IF(OR(F12="Hard Case",F12="Bubble Hard Case"),"Confirmed: Hard Case",IF(F12="Twist Leather Case","Confirmed: Twist Leather Case",IF(F12="Z-Fold Case","Confirmed: Z-Fold Case",IF(COUNTIF('Cost Overrides'!$A$2:$A$17,B12)&gt;0,"Confirmed: Owner cost override",IF(S12&lt;=0,"Needs cost","Source cost")))))</x:f>
        <x:v>Confirmed: Owner cost override</x:v>
      </x:c>
      <x:c r="V12" s="21" t="n">
        <x:v>39</x:v>
      </x:c>
      <x:c r="W12" s="21" t="n">
        <x:f>V12</x:f>
        <x:v>39</x:v>
      </x:c>
      <x:c r="X12" s="19" t="str">
        <x:v>NO</x:v>
      </x:c>
      <x:c r="Y12" s="19" t="str">
        <x:v>NO</x:v>
      </x:c>
      <x:c r="Z12" s="19" t="str">
        <x:v>42459910</x:v>
      </x:c>
      <x:c r="AA12" s="19" t="str">
        <x:v>50795953</x:v>
      </x:c>
      <x:c r="AB12" s="22" t="str">
        <x:f>IF(OR(M12&lt;&gt;"Approved",U12="Needs cost",O12=""),"Needs review","Ready after approval")</x:f>
        <x:v>Ready after approval</x:v>
      </x:c>
      <x:c r="AC12" s="22" t="str">
        <x:v>Negative source stock clipped to zero.</x:v>
      </x:c>
    </x:row>
    <x:row r="13">
      <x:c r="A13" s="19" t="str">
        <x:v>9614</x:v>
      </x:c>
      <x:c r="B13" s="19" t="str">
        <x:v>TM8-TAB-9614</x:v>
      </x:c>
      <x:c r="C13" s="19" t="str">
        <x:v>2999000096145</x:v>
      </x:c>
      <x:c r="D13" s="22" t="str">
        <x:v>iPad 9.7 Z-flip case Gold</x:v>
      </x:c>
      <x:c r="E13" s="22" t="str">
        <x:v>Z-Fold Case for iPad 9.7-inch (Gen 5/6 and Air 1/2) - Gold</x:v>
      </x:c>
      <x:c r="F13" s="22" t="str">
        <x:v>Z-Fold Case</x:v>
      </x:c>
      <x:c r="G13" s="22" t="str">
        <x:v>Gold</x:v>
      </x:c>
      <x:c r="H13" s="22" t="str">
        <x:v>TM8-GRP-IPAD-97-LEGACY-ZFD</x:v>
      </x:c>
      <x:c r="I13" s="22" t="str">
        <x:v>Z-Fold Case for iPad 9.7-inch (Gen 5/6 and Air 1/2)</x:v>
      </x:c>
      <x:c r="J13" s="22" t="str">
        <x:v>iPad 9.7 Inch</x:v>
      </x:c>
      <x:c r="K13" s="22" t="str">
        <x:v>IPAD-97-LEGACY</x:v>
      </x:c>
      <x:c r="L13" s="22" t="str">
        <x:v>iPad 9.7-inch (Gen 5/6 and Air 1/2)</x:v>
      </x:c>
      <x:c r="M13" s="22" t="str">
        <x:v>Approved</x:v>
      </x:c>
      <x:c r="N13" s="22" t="str">
        <x:v>https://dghyt15qon7us.cloudfront.net/images/productTheme/Inventory/small/0.86510500%201732494233.jpg</x:v>
      </x:c>
      <x:c r="O13" s="22" t="str">
        <x:v>https://dghyt15qon7us.cloudfront.net/images/productTheme/Inventory/small/1643172095.jpg</x:v>
      </x:c>
      <x:c r="P13" s="19" t="str">
        <x:v>park-ridge</x:v>
      </x:c>
      <x:c r="Q13" s="20" t="n">
        <x:v>1</x:v>
      </x:c>
      <x:c r="R13" s="20" t="n">
        <x:f>MAX(0,Q13)</x:f>
        <x:v>1</x:v>
      </x:c>
      <x:c r="S13" s="21" t="n">
        <x:v>0</x:v>
      </x:c>
      <x:c r="T13" s="21" t="n">
        <x:f>IF(OR(F13="Hard Case",F13="Bubble Hard Case"),15,IF(F13="Twist Leather Case",5,IF(F13="Z-Fold Case",4,IFERROR(VLOOKUP(B13,'Cost Overrides'!$A$2:$B$17,2,FALSE),S13))))</x:f>
        <x:v>4</x:v>
      </x:c>
      <x:c r="U13" s="21" t="str">
        <x:f>IF(OR(F13="Hard Case",F13="Bubble Hard Case"),"Confirmed: Hard Case",IF(F13="Twist Leather Case","Confirmed: Twist Leather Case",IF(F13="Z-Fold Case","Confirmed: Z-Fold Case",IF(COUNTIF('Cost Overrides'!$A$2:$A$17,B13)&gt;0,"Confirmed: Owner cost override",IF(S13&lt;=0,"Needs cost","Source cost")))))</x:f>
        <x:v>Confirmed: Z-Fold Case</x:v>
      </x:c>
      <x:c r="V13" s="21" t="n">
        <x:v>39.95</x:v>
      </x:c>
      <x:c r="W13" s="21" t="n">
        <x:f>V13</x:f>
        <x:v>39.95</x:v>
      </x:c>
      <x:c r="X13" s="19" t="str">
        <x:v>NO</x:v>
      </x:c>
      <x:c r="Y13" s="19" t="str">
        <x:v>NO</x:v>
      </x:c>
      <x:c r="Z13" s="19" t="str">
        <x:v>42459907</x:v>
      </x:c>
      <x:c r="AA13" s="19" t="str">
        <x:v>50795941</x:v>
      </x:c>
      <x:c r="AB13" s="22" t="str">
        <x:f>IF(OR(M13&lt;&gt;"Approved",U13="Needs cost",O13=""),"Needs review","Ready after approval")</x:f>
        <x:v>Ready after approval</x:v>
      </x:c>
      <x:c r="AC13" s="22" t="str"/>
    </x:row>
    <x:row r="14">
      <x:c r="A14" s="19" t="str">
        <x:v>9608</x:v>
      </x:c>
      <x:c r="B14" s="19" t="str">
        <x:v>TM8-TAB-9608</x:v>
      </x:c>
      <x:c r="C14" s="19" t="str">
        <x:v>2999000096084</x:v>
      </x:c>
      <x:c r="D14" s="22" t="str">
        <x:v>iPad 12.9 Flip case pink</x:v>
      </x:c>
      <x:c r="E14" s="22" t="str">
        <x:v>Flip Case for iPad Pro 12.9-inch (2018-2022) - Pink</x:v>
      </x:c>
      <x:c r="F14" s="22" t="str">
        <x:v>Flip Case</x:v>
      </x:c>
      <x:c r="G14" s="22" t="str">
        <x:v>Pink</x:v>
      </x:c>
      <x:c r="H14" s="22" t="str">
        <x:v>TM8-GRP-IPAD-129-LEGACY-FLC</x:v>
      </x:c>
      <x:c r="I14" s="22" t="str">
        <x:v>Flip Case for iPad Pro 12.9-inch (2018-2022)</x:v>
      </x:c>
      <x:c r="J14" s="22" t="str">
        <x:v>iPad 12.9 inch</x:v>
      </x:c>
      <x:c r="K14" s="22" t="str">
        <x:v>IPAD-129-LEGACY</x:v>
      </x:c>
      <x:c r="L14" s="22" t="str">
        <x:v>iPad Pro 12.9-inch (2018-2022)</x:v>
      </x:c>
      <x:c r="M14" s="22" t="str">
        <x:v>Approved</x:v>
      </x:c>
      <x:c r="N14" s="22" t="str">
        <x:v>https://dghyt15qon7us.cloudfront.net/images/productTheme/Inventory/small/0.02184500%201732343936.jpg</x:v>
      </x:c>
      <x:c r="O14" s="22" t="str">
        <x:v>https://dghyt15qon7us.cloudfront.net/images/productTheme/Inventory/small/0.02184500%201732343936.jpg</x:v>
      </x:c>
      <x:c r="P14" s="19" t="str">
        <x:v>park-ridge</x:v>
      </x:c>
      <x:c r="Q14" s="20" t="n">
        <x:v>1</x:v>
      </x:c>
      <x:c r="R14" s="20" t="n">
        <x:f>MAX(0,Q14)</x:f>
        <x:v>1</x:v>
      </x:c>
      <x:c r="S14" s="21" t="n">
        <x:v>0</x:v>
      </x:c>
      <x:c r="T14" s="21" t="n">
        <x:f>IF(OR(F14="Hard Case",F14="Bubble Hard Case"),15,IF(F14="Twist Leather Case",5,IF(F14="Z-Fold Case",4,IFERROR(VLOOKUP(B14,'Cost Overrides'!$A$2:$B$17,2,FALSE),S14))))</x:f>
        <x:v>4</x:v>
      </x:c>
      <x:c r="U14" s="21" t="str">
        <x:f>IF(OR(F14="Hard Case",F14="Bubble Hard Case"),"Confirmed: Hard Case",IF(F14="Twist Leather Case","Confirmed: Twist Leather Case",IF(F14="Z-Fold Case","Confirmed: Z-Fold Case",IF(COUNTIF('Cost Overrides'!$A$2:$A$17,B14)&gt;0,"Confirmed: Owner cost override",IF(S14&lt;=0,"Needs cost","Source cost")))))</x:f>
        <x:v>Confirmed: Owner cost override</x:v>
      </x:c>
      <x:c r="V14" s="21" t="n">
        <x:v>35</x:v>
      </x:c>
      <x:c r="W14" s="21" t="n">
        <x:f>V14</x:f>
        <x:v>35</x:v>
      </x:c>
      <x:c r="X14" s="19" t="str">
        <x:v>NO</x:v>
      </x:c>
      <x:c r="Y14" s="19" t="str">
        <x:v>NO</x:v>
      </x:c>
      <x:c r="Z14" s="19" t="str">
        <x:v>42459889</x:v>
      </x:c>
      <x:c r="AA14" s="19" t="str">
        <x:v>50795893</x:v>
      </x:c>
      <x:c r="AB14" s="22" t="str">
        <x:f>IF(OR(M14&lt;&gt;"Approved",U14="Needs cost",O14=""),"Needs review","Ready after approval")</x:f>
        <x:v>Ready after approval</x:v>
      </x:c>
      <x:c r="AC14" s="22" t="str"/>
    </x:row>
    <x:row r="15">
      <x:c r="A15" s="19" t="str">
        <x:v>9607</x:v>
      </x:c>
      <x:c r="B15" s="19" t="str">
        <x:v>TM8-TAB-9607</x:v>
      </x:c>
      <x:c r="C15" s="19" t="str">
        <x:v>2999000096077</x:v>
      </x:c>
      <x:c r="D15" s="22" t="str">
        <x:v>iPad 12.9 flip case mint</x:v>
      </x:c>
      <x:c r="E15" s="22" t="str">
        <x:v>Flip Case for iPad Pro 12.9-inch (2018-2022) - Mint</x:v>
      </x:c>
      <x:c r="F15" s="22" t="str">
        <x:v>Flip Case</x:v>
      </x:c>
      <x:c r="G15" s="22" t="str">
        <x:v>Mint</x:v>
      </x:c>
      <x:c r="H15" s="22" t="str">
        <x:v>TM8-GRP-IPAD-129-LEGACY-FLC</x:v>
      </x:c>
      <x:c r="I15" s="22" t="str">
        <x:v>Flip Case for iPad Pro 12.9-inch (2018-2022)</x:v>
      </x:c>
      <x:c r="J15" s="22" t="str">
        <x:v>iPad 12.9 inch</x:v>
      </x:c>
      <x:c r="K15" s="22" t="str">
        <x:v>IPAD-129-LEGACY</x:v>
      </x:c>
      <x:c r="L15" s="22" t="str">
        <x:v>iPad Pro 12.9-inch (2018-2022)</x:v>
      </x:c>
      <x:c r="M15" s="22" t="str">
        <x:v>Approved</x:v>
      </x:c>
      <x:c r="N15" s="22" t="str">
        <x:v>https://dghyt15qon7us.cloudfront.net/images/productTheme/Inventory/small/0.43501800%201732343887.jpg</x:v>
      </x:c>
      <x:c r="O15" s="22" t="str">
        <x:v>https://dghyt15qon7us.cloudfront.net/images/productTheme/Inventory/small/0.02184500%201732343936.jpg</x:v>
      </x:c>
      <x:c r="P15" s="19" t="str">
        <x:v>park-ridge</x:v>
      </x:c>
      <x:c r="Q15" s="20" t="n">
        <x:v>1</x:v>
      </x:c>
      <x:c r="R15" s="20" t="n">
        <x:f>MAX(0,Q15)</x:f>
        <x:v>1</x:v>
      </x:c>
      <x:c r="S15" s="21" t="n">
        <x:v>0</x:v>
      </x:c>
      <x:c r="T15" s="21" t="n">
        <x:f>IF(OR(F15="Hard Case",F15="Bubble Hard Case"),15,IF(F15="Twist Leather Case",5,IF(F15="Z-Fold Case",4,IFERROR(VLOOKUP(B15,'Cost Overrides'!$A$2:$B$17,2,FALSE),S15))))</x:f>
        <x:v>4</x:v>
      </x:c>
      <x:c r="U15" s="21" t="str">
        <x:f>IF(OR(F15="Hard Case",F15="Bubble Hard Case"),"Confirmed: Hard Case",IF(F15="Twist Leather Case","Confirmed: Twist Leather Case",IF(F15="Z-Fold Case","Confirmed: Z-Fold Case",IF(COUNTIF('Cost Overrides'!$A$2:$A$17,B15)&gt;0,"Confirmed: Owner cost override",IF(S15&lt;=0,"Needs cost","Source cost")))))</x:f>
        <x:v>Confirmed: Owner cost override</x:v>
      </x:c>
      <x:c r="V15" s="21" t="n">
        <x:v>35</x:v>
      </x:c>
      <x:c r="W15" s="21" t="n">
        <x:f>V15</x:f>
        <x:v>35</x:v>
      </x:c>
      <x:c r="X15" s="19" t="str">
        <x:v>NO</x:v>
      </x:c>
      <x:c r="Y15" s="19" t="str">
        <x:v>NO</x:v>
      </x:c>
      <x:c r="Z15" s="19" t="str">
        <x:v>42459886</x:v>
      </x:c>
      <x:c r="AA15" s="19" t="str">
        <x:v>50795881</x:v>
      </x:c>
      <x:c r="AB15" s="22" t="str">
        <x:f>IF(OR(M15&lt;&gt;"Approved",U15="Needs cost",O15=""),"Needs review","Ready after approval")</x:f>
        <x:v>Ready after approval</x:v>
      </x:c>
      <x:c r="AC15" s="22" t="str"/>
    </x:row>
    <x:row r="16">
      <x:c r="A16" s="19" t="str">
        <x:v>9603</x:v>
      </x:c>
      <x:c r="B16" s="19" t="str">
        <x:v>TM8-TAB-9603</x:v>
      </x:c>
      <x:c r="C16" s="19" t="str">
        <x:v>2999000096039</x:v>
      </x:c>
      <x:c r="D16" s="22" t="str">
        <x:v>iPad Survivor for Pro 11 (any colour)</x:v>
      </x:c>
      <x:c r="E16" s="22" t="str">
        <x:v>Survivor Case for iPad Air 4/5 and iPad Pro 11 (2018-2022) - Assorted</x:v>
      </x:c>
      <x:c r="F16" s="22" t="str">
        <x:v>Survivor Case</x:v>
      </x:c>
      <x:c r="G16" s="22" t="str">
        <x:v>Assorted</x:v>
      </x:c>
      <x:c r="H16" s="22" t="str">
        <x:v>TM8-GRP-IPAD-109-PRO11-LEGACY-SUR</x:v>
      </x:c>
      <x:c r="I16" s="22" t="str">
        <x:v>Survivor Case for iPad Air 4/5 and iPad Pro 11 (2018-2022)</x:v>
      </x:c>
      <x:c r="J16" s="22" t="str">
        <x:v>iPad 10.9 inch/Pro 11</x:v>
      </x:c>
      <x:c r="K16" s="22" t="str">
        <x:v>IPAD-109-PRO11-LEGACY</x:v>
      </x:c>
      <x:c r="L16" s="22" t="str">
        <x:v>iPad Air 4/5 and iPad Pro 11 (2018-2022)</x:v>
      </x:c>
      <x:c r="M16" s="22" t="str">
        <x:v>Approved</x:v>
      </x:c>
      <x:c r="N16" s="22" t="str">
        <x:v>https://dghyt15qon7us.cloudfront.net/images/productTheme/Inventory/small/0.12662200%201732339684.jpg</x:v>
      </x:c>
      <x:c r="O16" s="22" t="str">
        <x:v>https://dghyt15qon7us.cloudfront.net/images/productTheme/Inventory/small/0.12662200%201732339684.jpg</x:v>
      </x:c>
      <x:c r="P16" s="19" t="str">
        <x:v>park-ridge</x:v>
      </x:c>
      <x:c r="Q16" s="20" t="n">
        <x:v>2</x:v>
      </x:c>
      <x:c r="R16" s="20" t="n">
        <x:f>MAX(0,Q16)</x:f>
        <x:v>2</x:v>
      </x:c>
      <x:c r="S16" s="21" t="n">
        <x:v>0</x:v>
      </x:c>
      <x:c r="T16" s="21" t="n">
        <x:f>IF(OR(F16="Hard Case",F16="Bubble Hard Case"),15,IF(F16="Twist Leather Case",5,IF(F16="Z-Fold Case",4,IFERROR(VLOOKUP(B16,'Cost Overrides'!$A$2:$B$17,2,FALSE),S16))))</x:f>
        <x:v>15</x:v>
      </x:c>
      <x:c r="U16" s="21" t="str">
        <x:f>IF(OR(F16="Hard Case",F16="Bubble Hard Case"),"Confirmed: Hard Case",IF(F16="Twist Leather Case","Confirmed: Twist Leather Case",IF(F16="Z-Fold Case","Confirmed: Z-Fold Case",IF(COUNTIF('Cost Overrides'!$A$2:$A$17,B16)&gt;0,"Confirmed: Owner cost override",IF(S16&lt;=0,"Needs cost","Source cost")))))</x:f>
        <x:v>Confirmed: Owner cost override</x:v>
      </x:c>
      <x:c r="V16" s="21" t="n">
        <x:v>49</x:v>
      </x:c>
      <x:c r="W16" s="21" t="n">
        <x:f>V16</x:f>
        <x:v>49</x:v>
      </x:c>
      <x:c r="X16" s="19" t="str">
        <x:v>NO</x:v>
      </x:c>
      <x:c r="Y16" s="19" t="str">
        <x:v>NO</x:v>
      </x:c>
      <x:c r="Z16" s="19" t="str">
        <x:v>42459874</x:v>
      </x:c>
      <x:c r="AA16" s="19" t="str">
        <x:v>50795833</x:v>
      </x:c>
      <x:c r="AB16" s="22" t="str">
        <x:f>IF(OR(M16&lt;&gt;"Approved",U16="Needs cost",O16=""),"Needs review","Ready after approval")</x:f>
        <x:v>Ready after approval</x:v>
      </x:c>
      <x:c r="AC16" s="22" t="str"/>
    </x:row>
    <x:row r="17">
      <x:c r="A17" s="19" t="str">
        <x:v>9602</x:v>
      </x:c>
      <x:c r="B17" s="19" t="str">
        <x:v>TM8-TAB-9602</x:v>
      </x:c>
      <x:c r="C17" s="19" t="str">
        <x:v>2999000096022</x:v>
      </x:c>
      <x:c r="D17" s="22" t="str">
        <x:v>iPad Z-Fold Case 10.2 Inch Brown</x:v>
      </x:c>
      <x:c r="E17" s="22" t="str">
        <x:v>Z-Fold Case for iPad 10.2-inch (Gen 7/8/9) - Brown</x:v>
      </x:c>
      <x:c r="F17" s="22" t="str">
        <x:v>Z-Fold Case</x:v>
      </x:c>
      <x:c r="G17" s="22" t="str">
        <x:v>Brown</x:v>
      </x:c>
      <x:c r="H17" s="22" t="str">
        <x:v>TM8-GRP-IPAD-102-GEN789-ZFD</x:v>
      </x:c>
      <x:c r="I17" s="22" t="str">
        <x:v>Z-Fold Case for iPad 10.2-inch (Gen 7/8/9)</x:v>
      </x:c>
      <x:c r="J17" s="22" t="str">
        <x:v>iPad 10.2 Inch</x:v>
      </x:c>
      <x:c r="K17" s="22" t="str">
        <x:v>IPAD-102-GEN789</x:v>
      </x:c>
      <x:c r="L17" s="22" t="str">
        <x:v>iPad 10.2-inch (Gen 7/8/9)</x:v>
      </x:c>
      <x:c r="M17" s="22" t="str">
        <x:v>Proposed</x:v>
      </x:c>
      <x:c r="N17" s="22" t="str">
        <x:v>https://dghyt15qon7us.cloudfront.net/images/productTheme/Inventory/small/0.65416400%201732337241.jpg</x:v>
      </x:c>
      <x:c r="O17" s="22" t="str">
        <x:v>https://dghyt15qon7us.cloudfront.net/images/productTheme/Inventory/small/1643172433.jpg</x:v>
      </x:c>
      <x:c r="P17" s="19" t="str">
        <x:v>park-ridge</x:v>
      </x:c>
      <x:c r="Q17" s="20" t="n">
        <x:v>0</x:v>
      </x:c>
      <x:c r="R17" s="20" t="n">
        <x:f>MAX(0,Q17)</x:f>
        <x:v>0</x:v>
      </x:c>
      <x:c r="S17" s="21" t="n">
        <x:v>0</x:v>
      </x:c>
      <x:c r="T17" s="21" t="n">
        <x:f>IF(OR(F17="Hard Case",F17="Bubble Hard Case"),15,IF(F17="Twist Leather Case",5,IF(F17="Z-Fold Case",4,IFERROR(VLOOKUP(B17,'Cost Overrides'!$A$2:$B$17,2,FALSE),S17))))</x:f>
        <x:v>4</x:v>
      </x:c>
      <x:c r="U17" s="21" t="str">
        <x:f>IF(OR(F17="Hard Case",F17="Bubble Hard Case"),"Confirmed: Hard Case",IF(F17="Twist Leather Case","Confirmed: Twist Leather Case",IF(F17="Z-Fold Case","Confirmed: Z-Fold Case",IF(COUNTIF('Cost Overrides'!$A$2:$A$17,B17)&gt;0,"Confirmed: Owner cost override",IF(S17&lt;=0,"Needs cost","Source cost")))))</x:f>
        <x:v>Confirmed: Z-Fold Case</x:v>
      </x:c>
      <x:c r="V17" s="21" t="n">
        <x:v>39.95</x:v>
      </x:c>
      <x:c r="W17" s="21" t="n">
        <x:f>V17</x:f>
        <x:v>39.95</x:v>
      </x:c>
      <x:c r="X17" s="19" t="str">
        <x:v>NO</x:v>
      </x:c>
      <x:c r="Y17" s="19" t="str">
        <x:v>NO</x:v>
      </x:c>
      <x:c r="Z17" s="19" t="str">
        <x:v>42459871</x:v>
      </x:c>
      <x:c r="AA17" s="19" t="str">
        <x:v>50795821</x:v>
      </x:c>
      <x:c r="AB17" s="22" t="str">
        <x:f>IF(OR(M17&lt;&gt;"Approved",U17="Needs cost",O17=""),"Needs review","Ready after approval")</x:f>
        <x:v>Needs review</x:v>
      </x:c>
      <x:c r="AC17" s="22" t="str"/>
    </x:row>
    <x:row r="18">
      <x:c r="A18" s="19" t="str">
        <x:v>9601</x:v>
      </x:c>
      <x:c r="B18" s="19" t="str">
        <x:v>TM8-TAB-9601</x:v>
      </x:c>
      <x:c r="C18" s="19" t="str">
        <x:v>2999000096015</x:v>
      </x:c>
      <x:c r="D18" s="22" t="str">
        <x:v>ipad 10.2 red flip case</x:v>
      </x:c>
      <x:c r="E18" s="22" t="str">
        <x:v>Flip Case for iPad 10.2-inch (Gen 7/8/9) - Red</x:v>
      </x:c>
      <x:c r="F18" s="22" t="str">
        <x:v>Flip Case</x:v>
      </x:c>
      <x:c r="G18" s="22" t="str">
        <x:v>Red</x:v>
      </x:c>
      <x:c r="H18" s="22" t="str">
        <x:v>TM8-GRP-IPAD-102-GEN789-FLC</x:v>
      </x:c>
      <x:c r="I18" s="22" t="str">
        <x:v>Flip Case for iPad 10.2-inch (Gen 7/8/9)</x:v>
      </x:c>
      <x:c r="J18" s="22" t="str">
        <x:v>iPad 10.2 Inch</x:v>
      </x:c>
      <x:c r="K18" s="22" t="str">
        <x:v>IPAD-102-GEN789</x:v>
      </x:c>
      <x:c r="L18" s="22" t="str">
        <x:v>iPad 10.2-inch (Gen 7/8/9)</x:v>
      </x:c>
      <x:c r="M18" s="22" t="str">
        <x:v>Proposed</x:v>
      </x:c>
      <x:c r="N18" s="22" t="str">
        <x:v>https://dghyt15qon7us.cloudfront.net/images/productTheme/Inventory/small/0.20748200%201732336879.jpg</x:v>
      </x:c>
      <x:c r="O18" s="22" t="str">
        <x:v>https://dghyt15qon7us.cloudfront.net/images/productTheme/Inventory/small/1703654690.jpg</x:v>
      </x:c>
      <x:c r="P18" s="19" t="str">
        <x:v>park-ridge</x:v>
      </x:c>
      <x:c r="Q18" s="20" t="n">
        <x:v>1</x:v>
      </x:c>
      <x:c r="R18" s="20" t="n">
        <x:f>MAX(0,Q18)</x:f>
        <x:v>1</x:v>
      </x:c>
      <x:c r="S18" s="21" t="n">
        <x:v>0</x:v>
      </x:c>
      <x:c r="T18" s="21" t="n">
        <x:f>IF(OR(F18="Hard Case",F18="Bubble Hard Case"),15,IF(F18="Twist Leather Case",5,IF(F18="Z-Fold Case",4,IFERROR(VLOOKUP(B18,'Cost Overrides'!$A$2:$B$17,2,FALSE),S18))))</x:f>
        <x:v>4</x:v>
      </x:c>
      <x:c r="U18" s="21" t="str">
        <x:f>IF(OR(F18="Hard Case",F18="Bubble Hard Case"),"Confirmed: Hard Case",IF(F18="Twist Leather Case","Confirmed: Twist Leather Case",IF(F18="Z-Fold Case","Confirmed: Z-Fold Case",IF(COUNTIF('Cost Overrides'!$A$2:$A$17,B18)&gt;0,"Confirmed: Owner cost override",IF(S18&lt;=0,"Needs cost","Source cost")))))</x:f>
        <x:v>Confirmed: Owner cost override</x:v>
      </x:c>
      <x:c r="V18" s="21" t="n">
        <x:v>39</x:v>
      </x:c>
      <x:c r="W18" s="21" t="n">
        <x:f>V18</x:f>
        <x:v>39</x:v>
      </x:c>
      <x:c r="X18" s="19" t="str">
        <x:v>NO</x:v>
      </x:c>
      <x:c r="Y18" s="19" t="str">
        <x:v>NO</x:v>
      </x:c>
      <x:c r="Z18" s="19" t="str">
        <x:v>42459868</x:v>
      </x:c>
      <x:c r="AA18" s="19" t="str">
        <x:v>50795809</x:v>
      </x:c>
      <x:c r="AB18" s="22" t="str">
        <x:f>IF(OR(M18&lt;&gt;"Approved",U18="Needs cost",O18=""),"Needs review","Ready after approval")</x:f>
        <x:v>Needs review</x:v>
      </x:c>
      <x:c r="AC18" s="22" t="str"/>
    </x:row>
    <x:row r="19">
      <x:c r="A19" s="19" t="str">
        <x:v>9600</x:v>
      </x:c>
      <x:c r="B19" s="19" t="str">
        <x:v>TM8-TAB-9600</x:v>
      </x:c>
      <x:c r="C19" s="19" t="str">
        <x:v>2999000096008</x:v>
      </x:c>
      <x:c r="D19" s="22" t="str">
        <x:v>iPad Z-Fold Case 10.2 Inch Red</x:v>
      </x:c>
      <x:c r="E19" s="22" t="str">
        <x:v>Z-Fold Case for iPad 10.2-inch (Gen 7/8/9) - Red</x:v>
      </x:c>
      <x:c r="F19" s="22" t="str">
        <x:v>Z-Fold Case</x:v>
      </x:c>
      <x:c r="G19" s="22" t="str">
        <x:v>Red</x:v>
      </x:c>
      <x:c r="H19" s="22" t="str">
        <x:v>TM8-GRP-IPAD-102-GEN789-ZFD</x:v>
      </x:c>
      <x:c r="I19" s="22" t="str">
        <x:v>Z-Fold Case for iPad 10.2-inch (Gen 7/8/9)</x:v>
      </x:c>
      <x:c r="J19" s="22" t="str">
        <x:v>iPad 10.2 Inch</x:v>
      </x:c>
      <x:c r="K19" s="22" t="str">
        <x:v>IPAD-102-GEN789</x:v>
      </x:c>
      <x:c r="L19" s="22" t="str">
        <x:v>iPad 10.2-inch (Gen 7/8/9)</x:v>
      </x:c>
      <x:c r="M19" s="22" t="str">
        <x:v>Proposed</x:v>
      </x:c>
      <x:c r="N19" s="22" t="str">
        <x:v>https://dghyt15qon7us.cloudfront.net/images/productTheme/Inventory/small/0.34513900%201732336817.jpg</x:v>
      </x:c>
      <x:c r="O19" s="22" t="str">
        <x:v>https://dghyt15qon7us.cloudfront.net/images/productTheme/Inventory/small/1643172433.jpg</x:v>
      </x:c>
      <x:c r="P19" s="19" t="str">
        <x:v>park-ridge</x:v>
      </x:c>
      <x:c r="Q19" s="20" t="n">
        <x:v>1</x:v>
      </x:c>
      <x:c r="R19" s="20" t="n">
        <x:f>MAX(0,Q19)</x:f>
        <x:v>1</x:v>
      </x:c>
      <x:c r="S19" s="21" t="n">
        <x:v>0</x:v>
      </x:c>
      <x:c r="T19" s="21" t="n">
        <x:f>IF(OR(F19="Hard Case",F19="Bubble Hard Case"),15,IF(F19="Twist Leather Case",5,IF(F19="Z-Fold Case",4,IFERROR(VLOOKUP(B19,'Cost Overrides'!$A$2:$B$17,2,FALSE),S19))))</x:f>
        <x:v>4</x:v>
      </x:c>
      <x:c r="U19" s="21" t="str">
        <x:f>IF(OR(F19="Hard Case",F19="Bubble Hard Case"),"Confirmed: Hard Case",IF(F19="Twist Leather Case","Confirmed: Twist Leather Case",IF(F19="Z-Fold Case","Confirmed: Z-Fold Case",IF(COUNTIF('Cost Overrides'!$A$2:$A$17,B19)&gt;0,"Confirmed: Owner cost override",IF(S19&lt;=0,"Needs cost","Source cost")))))</x:f>
        <x:v>Confirmed: Z-Fold Case</x:v>
      </x:c>
      <x:c r="V19" s="21" t="n">
        <x:v>39.95</x:v>
      </x:c>
      <x:c r="W19" s="21" t="n">
        <x:f>V19</x:f>
        <x:v>39.95</x:v>
      </x:c>
      <x:c r="X19" s="19" t="str">
        <x:v>NO</x:v>
      </x:c>
      <x:c r="Y19" s="19" t="str">
        <x:v>NO</x:v>
      </x:c>
      <x:c r="Z19" s="19" t="str">
        <x:v>42459865</x:v>
      </x:c>
      <x:c r="AA19" s="19" t="str">
        <x:v>50795797</x:v>
      </x:c>
      <x:c r="AB19" s="22" t="str">
        <x:f>IF(OR(M19&lt;&gt;"Approved",U19="Needs cost",O19=""),"Needs review","Ready after approval")</x:f>
        <x:v>Needs review</x:v>
      </x:c>
      <x:c r="AC19" s="22" t="str"/>
    </x:row>
    <x:row r="20">
      <x:c r="A20" s="19" t="str">
        <x:v>9410</x:v>
      </x:c>
      <x:c r="B20" s="19" t="str">
        <x:v>TM8-TAB-9410</x:v>
      </x:c>
      <x:c r="C20" s="19" t="str">
        <x:v>2999000094103</x:v>
      </x:c>
      <x:c r="D20" s="22" t="str">
        <x:v>iPad Z-Fold Case Air 6 13inch 2024 Black</x:v>
      </x:c>
      <x:c r="E20" s="22" t="str">
        <x:v>Z-Fold Case for iPad Air 13-inch (2024) - Black</x:v>
      </x:c>
      <x:c r="F20" s="22" t="str">
        <x:v>Z-Fold Case</x:v>
      </x:c>
      <x:c r="G20" s="22" t="str">
        <x:v>Black</x:v>
      </x:c>
      <x:c r="H20" s="22" t="str">
        <x:v>TM8-GRP-IPAD-AIR13-2024-ZFD</x:v>
      </x:c>
      <x:c r="I20" s="22" t="str">
        <x:v>Z-Fold Case for iPad Air 13-inch (2024)</x:v>
      </x:c>
      <x:c r="J20" s="22" t="str">
        <x:v>iPad Air 13-inch 2024 (Air 6)</x:v>
      </x:c>
      <x:c r="K20" s="22" t="str">
        <x:v>IPAD-AIR13-2024</x:v>
      </x:c>
      <x:c r="L20" s="22" t="str">
        <x:v>iPad Air 13-inch (2024)</x:v>
      </x:c>
      <x:c r="M20" s="22" t="str">
        <x:v>Proposed</x:v>
      </x:c>
      <x:c r="N20" s="22" t="str">
        <x:v>https://dghyt15qon7us.cloudfront.net/images/productTheme/Inventory/small/0.38283700%201727841039.jpg</x:v>
      </x:c>
      <x:c r="O20" s="22" t="str">
        <x:v>https://dghyt15qon7us.cloudfront.net/images/productTheme/Inventory/small/0.38283700%201727841039.jpg</x:v>
      </x:c>
      <x:c r="P20" s="19" t="str">
        <x:v>park-ridge</x:v>
      </x:c>
      <x:c r="Q20" s="20" t="n">
        <x:v>3</x:v>
      </x:c>
      <x:c r="R20" s="20" t="n">
        <x:f>MAX(0,Q20)</x:f>
        <x:v>3</x:v>
      </x:c>
      <x:c r="S20" s="21" t="n">
        <x:v>3</x:v>
      </x:c>
      <x:c r="T20" s="21" t="n">
        <x:f>IF(OR(F20="Hard Case",F20="Bubble Hard Case"),15,IF(F20="Twist Leather Case",5,IF(F20="Z-Fold Case",4,IFERROR(VLOOKUP(B20,'Cost Overrides'!$A$2:$B$17,2,FALSE),S20))))</x:f>
        <x:v>4</x:v>
      </x:c>
      <x:c r="U20" s="21" t="str">
        <x:f>IF(OR(F20="Hard Case",F20="Bubble Hard Case"),"Confirmed: Hard Case",IF(F20="Twist Leather Case","Confirmed: Twist Leather Case",IF(F20="Z-Fold Case","Confirmed: Z-Fold Case",IF(COUNTIF('Cost Overrides'!$A$2:$A$17,B20)&gt;0,"Confirmed: Owner cost override",IF(S20&lt;=0,"Needs cost","Source cost")))))</x:f>
        <x:v>Confirmed: Z-Fold Case</x:v>
      </x:c>
      <x:c r="V20" s="21" t="n">
        <x:v>39.95</x:v>
      </x:c>
      <x:c r="W20" s="21" t="n">
        <x:f>V20</x:f>
        <x:v>39.95</x:v>
      </x:c>
      <x:c r="X20" s="19" t="str">
        <x:v>NO</x:v>
      </x:c>
      <x:c r="Y20" s="19" t="str">
        <x:v>NO</x:v>
      </x:c>
      <x:c r="Z20" s="19" t="str">
        <x:v>42459295</x:v>
      </x:c>
      <x:c r="AA20" s="19" t="str">
        <x:v>50769925</x:v>
      </x:c>
      <x:c r="AB20" s="22" t="str">
        <x:f>IF(OR(M20&lt;&gt;"Approved",U20="Needs cost",O20=""),"Needs review","Ready after approval")</x:f>
        <x:v>Needs review</x:v>
      </x:c>
      <x:c r="AC20" s="22" t="str"/>
    </x:row>
    <x:row r="21">
      <x:c r="A21" s="19" t="str">
        <x:v>9409</x:v>
      </x:c>
      <x:c r="B21" s="19" t="str">
        <x:v>TM8-TAB-9409</x:v>
      </x:c>
      <x:c r="C21" s="19" t="str">
        <x:v>2999000094097</x:v>
      </x:c>
      <x:c r="D21" s="22" t="str">
        <x:v>iPad Z-Fold Case Air 6 13inch 2024 Pink</x:v>
      </x:c>
      <x:c r="E21" s="22" t="str">
        <x:v>Z-Fold Case for iPad Air 13-inch (2024) - Pink</x:v>
      </x:c>
      <x:c r="F21" s="22" t="str">
        <x:v>Z-Fold Case</x:v>
      </x:c>
      <x:c r="G21" s="22" t="str">
        <x:v>Pink</x:v>
      </x:c>
      <x:c r="H21" s="22" t="str">
        <x:v>TM8-GRP-IPAD-AIR13-2024-ZFD</x:v>
      </x:c>
      <x:c r="I21" s="22" t="str">
        <x:v>Z-Fold Case for iPad Air 13-inch (2024)</x:v>
      </x:c>
      <x:c r="J21" s="22" t="str">
        <x:v>iPad Air 13-inch 2024 (Air 6)</x:v>
      </x:c>
      <x:c r="K21" s="22" t="str">
        <x:v>IPAD-AIR13-2024</x:v>
      </x:c>
      <x:c r="L21" s="22" t="str">
        <x:v>iPad Air 13-inch (2024)</x:v>
      </x:c>
      <x:c r="M21" s="22" t="str">
        <x:v>Proposed</x:v>
      </x:c>
      <x:c r="N21" s="22" t="str">
        <x:v>https://dghyt15qon7us.cloudfront.net/images/productTheme/Inventory/small/0.17045200%201727840011.jpg</x:v>
      </x:c>
      <x:c r="O21" s="22" t="str">
        <x:v>https://dghyt15qon7us.cloudfront.net/images/productTheme/Inventory/small/0.38283700%201727841039.jpg</x:v>
      </x:c>
      <x:c r="P21" s="19" t="str">
        <x:v>park-ridge</x:v>
      </x:c>
      <x:c r="Q21" s="20" t="n">
        <x:v>1</x:v>
      </x:c>
      <x:c r="R21" s="20" t="n">
        <x:f>MAX(0,Q21)</x:f>
        <x:v>1</x:v>
      </x:c>
      <x:c r="S21" s="21" t="n">
        <x:v>3</x:v>
      </x:c>
      <x:c r="T21" s="21" t="n">
        <x:f>IF(OR(F21="Hard Case",F21="Bubble Hard Case"),15,IF(F21="Twist Leather Case",5,IF(F21="Z-Fold Case",4,IFERROR(VLOOKUP(B21,'Cost Overrides'!$A$2:$B$17,2,FALSE),S21))))</x:f>
        <x:v>4</x:v>
      </x:c>
      <x:c r="U21" s="21" t="str">
        <x:f>IF(OR(F21="Hard Case",F21="Bubble Hard Case"),"Confirmed: Hard Case",IF(F21="Twist Leather Case","Confirmed: Twist Leather Case",IF(F21="Z-Fold Case","Confirmed: Z-Fold Case",IF(COUNTIF('Cost Overrides'!$A$2:$A$17,B21)&gt;0,"Confirmed: Owner cost override",IF(S21&lt;=0,"Needs cost","Source cost")))))</x:f>
        <x:v>Confirmed: Z-Fold Case</x:v>
      </x:c>
      <x:c r="V21" s="21" t="n">
        <x:v>39.95</x:v>
      </x:c>
      <x:c r="W21" s="21" t="n">
        <x:f>V21</x:f>
        <x:v>39.95</x:v>
      </x:c>
      <x:c r="X21" s="19" t="str">
        <x:v>NO</x:v>
      </x:c>
      <x:c r="Y21" s="19" t="str">
        <x:v>NO</x:v>
      </x:c>
      <x:c r="Z21" s="19" t="str">
        <x:v>42459292</x:v>
      </x:c>
      <x:c r="AA21" s="19" t="str">
        <x:v>50769916</x:v>
      </x:c>
      <x:c r="AB21" s="22" t="str">
        <x:f>IF(OR(M21&lt;&gt;"Approved",U21="Needs cost",O21=""),"Needs review","Ready after approval")</x:f>
        <x:v>Needs review</x:v>
      </x:c>
      <x:c r="AC21" s="22" t="str"/>
    </x:row>
    <x:row r="22">
      <x:c r="A22" s="19" t="str">
        <x:v>9408</x:v>
      </x:c>
      <x:c r="B22" s="19" t="str">
        <x:v>TM8-TAB-9408</x:v>
      </x:c>
      <x:c r="C22" s="19" t="str">
        <x:v>2999000094080</x:v>
      </x:c>
      <x:c r="D22" s="22" t="str">
        <x:v>iPad Z-Fold Case Air 6 13inch 2024 Sky Blue</x:v>
      </x:c>
      <x:c r="E22" s="22" t="str">
        <x:v>Z-Fold Case for iPad Air 13-inch (2024) - Sky Blue</x:v>
      </x:c>
      <x:c r="F22" s="22" t="str">
        <x:v>Z-Fold Case</x:v>
      </x:c>
      <x:c r="G22" s="22" t="str">
        <x:v>Sky Blue</x:v>
      </x:c>
      <x:c r="H22" s="22" t="str">
        <x:v>TM8-GRP-IPAD-AIR13-2024-ZFD</x:v>
      </x:c>
      <x:c r="I22" s="22" t="str">
        <x:v>Z-Fold Case for iPad Air 13-inch (2024)</x:v>
      </x:c>
      <x:c r="J22" s="22" t="str">
        <x:v>iPad Air 13-inch 2024 (Air 6)</x:v>
      </x:c>
      <x:c r="K22" s="22" t="str">
        <x:v>IPAD-AIR13-2024</x:v>
      </x:c>
      <x:c r="L22" s="22" t="str">
        <x:v>iPad Air 13-inch (2024)</x:v>
      </x:c>
      <x:c r="M22" s="22" t="str">
        <x:v>Proposed</x:v>
      </x:c>
      <x:c r="N22" s="22" t="str">
        <x:v>https://dghyt15qon7us.cloudfront.net/images/productTheme/Inventory/small/0.70880000%201727839987.jpg</x:v>
      </x:c>
      <x:c r="O22" s="22" t="str">
        <x:v>https://dghyt15qon7us.cloudfront.net/images/productTheme/Inventory/small/0.38283700%201727841039.jpg</x:v>
      </x:c>
      <x:c r="P22" s="19" t="str">
        <x:v>park-ridge</x:v>
      </x:c>
      <x:c r="Q22" s="20" t="n">
        <x:v>3</x:v>
      </x:c>
      <x:c r="R22" s="20" t="n">
        <x:f>MAX(0,Q22)</x:f>
        <x:v>3</x:v>
      </x:c>
      <x:c r="S22" s="21" t="n">
        <x:v>3</x:v>
      </x:c>
      <x:c r="T22" s="21" t="n">
        <x:f>IF(OR(F22="Hard Case",F22="Bubble Hard Case"),15,IF(F22="Twist Leather Case",5,IF(F22="Z-Fold Case",4,IFERROR(VLOOKUP(B22,'Cost Overrides'!$A$2:$B$17,2,FALSE),S22))))</x:f>
        <x:v>4</x:v>
      </x:c>
      <x:c r="U22" s="21" t="str">
        <x:f>IF(OR(F22="Hard Case",F22="Bubble Hard Case"),"Confirmed: Hard Case",IF(F22="Twist Leather Case","Confirmed: Twist Leather Case",IF(F22="Z-Fold Case","Confirmed: Z-Fold Case",IF(COUNTIF('Cost Overrides'!$A$2:$A$17,B22)&gt;0,"Confirmed: Owner cost override",IF(S22&lt;=0,"Needs cost","Source cost")))))</x:f>
        <x:v>Confirmed: Z-Fold Case</x:v>
      </x:c>
      <x:c r="V22" s="21" t="n">
        <x:v>39.95</x:v>
      </x:c>
      <x:c r="W22" s="21" t="n">
        <x:f>V22</x:f>
        <x:v>39.95</x:v>
      </x:c>
      <x:c r="X22" s="19" t="str">
        <x:v>NO</x:v>
      </x:c>
      <x:c r="Y22" s="19" t="str">
        <x:v>NO</x:v>
      </x:c>
      <x:c r="Z22" s="19" t="str">
        <x:v>42459289</x:v>
      </x:c>
      <x:c r="AA22" s="19" t="str">
        <x:v>50769907</x:v>
      </x:c>
      <x:c r="AB22" s="22" t="str">
        <x:f>IF(OR(M22&lt;&gt;"Approved",U22="Needs cost",O22=""),"Needs review","Ready after approval")</x:f>
        <x:v>Needs review</x:v>
      </x:c>
      <x:c r="AC22" s="22" t="str"/>
    </x:row>
    <x:row r="23">
      <x:c r="A23" s="19" t="str">
        <x:v>9407</x:v>
      </x:c>
      <x:c r="B23" s="19" t="str">
        <x:v>TM8-TAB-9407</x:v>
      </x:c>
      <x:c r="C23" s="19" t="str">
        <x:v>2999000094073</x:v>
      </x:c>
      <x:c r="D23" s="22" t="str">
        <x:v>iPad Z-Fold Case Air 6 13inch 2024 Light Green</x:v>
      </x:c>
      <x:c r="E23" s="22" t="str">
        <x:v>Z-Fold Case for iPad Air 13-inch (2024) - Light Green</x:v>
      </x:c>
      <x:c r="F23" s="22" t="str">
        <x:v>Z-Fold Case</x:v>
      </x:c>
      <x:c r="G23" s="22" t="str">
        <x:v>Light Green</x:v>
      </x:c>
      <x:c r="H23" s="22" t="str">
        <x:v>TM8-GRP-IPAD-AIR13-2024-ZFD</x:v>
      </x:c>
      <x:c r="I23" s="22" t="str">
        <x:v>Z-Fold Case for iPad Air 13-inch (2024)</x:v>
      </x:c>
      <x:c r="J23" s="22" t="str">
        <x:v>iPad Air 13-inch 2024 (Air 6)</x:v>
      </x:c>
      <x:c r="K23" s="22" t="str">
        <x:v>IPAD-AIR13-2024</x:v>
      </x:c>
      <x:c r="L23" s="22" t="str">
        <x:v>iPad Air 13-inch (2024)</x:v>
      </x:c>
      <x:c r="M23" s="22" t="str">
        <x:v>Proposed</x:v>
      </x:c>
      <x:c r="N23" s="22" t="str">
        <x:v>https://dghyt15qon7us.cloudfront.net/images/productTheme/Inventory/small/0.30611000%201727839960.jpg</x:v>
      </x:c>
      <x:c r="O23" s="22" t="str">
        <x:v>https://dghyt15qon7us.cloudfront.net/images/productTheme/Inventory/small/0.38283700%201727841039.jpg</x:v>
      </x:c>
      <x:c r="P23" s="19" t="str">
        <x:v>park-ridge</x:v>
      </x:c>
      <x:c r="Q23" s="20" t="n">
        <x:v>1</x:v>
      </x:c>
      <x:c r="R23" s="20" t="n">
        <x:f>MAX(0,Q23)</x:f>
        <x:v>1</x:v>
      </x:c>
      <x:c r="S23" s="21" t="n">
        <x:v>3</x:v>
      </x:c>
      <x:c r="T23" s="21" t="n">
        <x:f>IF(OR(F23="Hard Case",F23="Bubble Hard Case"),15,IF(F23="Twist Leather Case",5,IF(F23="Z-Fold Case",4,IFERROR(VLOOKUP(B23,'Cost Overrides'!$A$2:$B$17,2,FALSE),S23))))</x:f>
        <x:v>4</x:v>
      </x:c>
      <x:c r="U23" s="21" t="str">
        <x:f>IF(OR(F23="Hard Case",F23="Bubble Hard Case"),"Confirmed: Hard Case",IF(F23="Twist Leather Case","Confirmed: Twist Leather Case",IF(F23="Z-Fold Case","Confirmed: Z-Fold Case",IF(COUNTIF('Cost Overrides'!$A$2:$A$17,B23)&gt;0,"Confirmed: Owner cost override",IF(S23&lt;=0,"Needs cost","Source cost")))))</x:f>
        <x:v>Confirmed: Z-Fold Case</x:v>
      </x:c>
      <x:c r="V23" s="21" t="n">
        <x:v>39.95</x:v>
      </x:c>
      <x:c r="W23" s="21" t="n">
        <x:f>V23</x:f>
        <x:v>39.95</x:v>
      </x:c>
      <x:c r="X23" s="19" t="str">
        <x:v>NO</x:v>
      </x:c>
      <x:c r="Y23" s="19" t="str">
        <x:v>NO</x:v>
      </x:c>
      <x:c r="Z23" s="19" t="str">
        <x:v>42459286</x:v>
      </x:c>
      <x:c r="AA23" s="19" t="str">
        <x:v>50769898</x:v>
      </x:c>
      <x:c r="AB23" s="22" t="str">
        <x:f>IF(OR(M23&lt;&gt;"Approved",U23="Needs cost",O23=""),"Needs review","Ready after approval")</x:f>
        <x:v>Needs review</x:v>
      </x:c>
      <x:c r="AC23" s="22" t="str"/>
    </x:row>
    <x:row r="24">
      <x:c r="A24" s="19" t="str">
        <x:v>9406</x:v>
      </x:c>
      <x:c r="B24" s="19" t="str">
        <x:v>TM8-TAB-9406</x:v>
      </x:c>
      <x:c r="C24" s="19" t="str">
        <x:v>2999000094066</x:v>
      </x:c>
      <x:c r="D24" s="22" t="str">
        <x:v>iPad Z-Fold Case Air 6 13inch 2024 Purple</x:v>
      </x:c>
      <x:c r="E24" s="22" t="str">
        <x:v>Z-Fold Case for iPad Air 13-inch (2024) - Purple</x:v>
      </x:c>
      <x:c r="F24" s="22" t="str">
        <x:v>Z-Fold Case</x:v>
      </x:c>
      <x:c r="G24" s="22" t="str">
        <x:v>Purple</x:v>
      </x:c>
      <x:c r="H24" s="22" t="str">
        <x:v>TM8-GRP-IPAD-AIR13-2024-ZFD</x:v>
      </x:c>
      <x:c r="I24" s="22" t="str">
        <x:v>Z-Fold Case for iPad Air 13-inch (2024)</x:v>
      </x:c>
      <x:c r="J24" s="22" t="str">
        <x:v>iPad Air 13-inch 2024 (Air 6)</x:v>
      </x:c>
      <x:c r="K24" s="22" t="str">
        <x:v>IPAD-AIR13-2024</x:v>
      </x:c>
      <x:c r="L24" s="22" t="str">
        <x:v>iPad Air 13-inch (2024)</x:v>
      </x:c>
      <x:c r="M24" s="22" t="str">
        <x:v>Proposed</x:v>
      </x:c>
      <x:c r="N24" s="22" t="str">
        <x:v>https://dghyt15qon7us.cloudfront.net/images/productTheme/Inventory/small/0.12841100%201727839922.jpg</x:v>
      </x:c>
      <x:c r="O24" s="22" t="str">
        <x:v>https://dghyt15qon7us.cloudfront.net/images/productTheme/Inventory/small/0.38283700%201727841039.jpg</x:v>
      </x:c>
      <x:c r="P24" s="19" t="str">
        <x:v>park-ridge</x:v>
      </x:c>
      <x:c r="Q24" s="20" t="n">
        <x:v>5</x:v>
      </x:c>
      <x:c r="R24" s="20" t="n">
        <x:f>MAX(0,Q24)</x:f>
        <x:v>5</x:v>
      </x:c>
      <x:c r="S24" s="21" t="n">
        <x:v>3</x:v>
      </x:c>
      <x:c r="T24" s="21" t="n">
        <x:f>IF(OR(F24="Hard Case",F24="Bubble Hard Case"),15,IF(F24="Twist Leather Case",5,IF(F24="Z-Fold Case",4,IFERROR(VLOOKUP(B24,'Cost Overrides'!$A$2:$B$17,2,FALSE),S24))))</x:f>
        <x:v>4</x:v>
      </x:c>
      <x:c r="U24" s="21" t="str">
        <x:f>IF(OR(F24="Hard Case",F24="Bubble Hard Case"),"Confirmed: Hard Case",IF(F24="Twist Leather Case","Confirmed: Twist Leather Case",IF(F24="Z-Fold Case","Confirmed: Z-Fold Case",IF(COUNTIF('Cost Overrides'!$A$2:$A$17,B24)&gt;0,"Confirmed: Owner cost override",IF(S24&lt;=0,"Needs cost","Source cost")))))</x:f>
        <x:v>Confirmed: Z-Fold Case</x:v>
      </x:c>
      <x:c r="V24" s="21" t="n">
        <x:v>39.95</x:v>
      </x:c>
      <x:c r="W24" s="21" t="n">
        <x:f>V24</x:f>
        <x:v>39.95</x:v>
      </x:c>
      <x:c r="X24" s="19" t="str">
        <x:v>NO</x:v>
      </x:c>
      <x:c r="Y24" s="19" t="str">
        <x:v>NO</x:v>
      </x:c>
      <x:c r="Z24" s="19" t="str">
        <x:v>42459283</x:v>
      </x:c>
      <x:c r="AA24" s="19" t="str">
        <x:v>50769889</x:v>
      </x:c>
      <x:c r="AB24" s="22" t="str">
        <x:f>IF(OR(M24&lt;&gt;"Approved",U24="Needs cost",O24=""),"Needs review","Ready after approval")</x:f>
        <x:v>Needs review</x:v>
      </x:c>
      <x:c r="AC24" s="22" t="str"/>
    </x:row>
    <x:row r="25">
      <x:c r="A25" s="19" t="str">
        <x:v>9405</x:v>
      </x:c>
      <x:c r="B25" s="19" t="str">
        <x:v>TM8-TAB-9405</x:v>
      </x:c>
      <x:c r="C25" s="19" t="str">
        <x:v>2999000094059</x:v>
      </x:c>
      <x:c r="D25" s="22" t="str">
        <x:v>iPad Z-Fold Case Air 6 11 inch 2024 Green</x:v>
      </x:c>
      <x:c r="E25" s="22" t="str">
        <x:v>Z-Fold Case for iPad Air 11-inch (2024) - Green</x:v>
      </x:c>
      <x:c r="F25" s="22" t="str">
        <x:v>Z-Fold Case</x:v>
      </x:c>
      <x:c r="G25" s="22" t="str">
        <x:v>Green</x:v>
      </x:c>
      <x:c r="H25" s="22" t="str">
        <x:v>TM8-GRP-IPAD-AIR11-2024-ZFD</x:v>
      </x:c>
      <x:c r="I25" s="22" t="str">
        <x:v>Z-Fold Case for iPad Air 11-inch (2024)</x:v>
      </x:c>
      <x:c r="J25" s="22" t="str">
        <x:v>iPad Air 11-inch 2024(Air 6</x:v>
      </x:c>
      <x:c r="K25" s="22" t="str">
        <x:v>IPAD-AIR11-2024</x:v>
      </x:c>
      <x:c r="L25" s="22" t="str">
        <x:v>iPad Air 11-inch (2024)</x:v>
      </x:c>
      <x:c r="M25" s="22" t="str">
        <x:v>Proposed</x:v>
      </x:c>
      <x:c r="N25" s="22" t="str">
        <x:v>https://dghyt15qon7us.cloudfront.net/images/productTheme/Inventory/small/0.85958800%201727835397.jpg</x:v>
      </x:c>
      <x:c r="O25" s="22" t="str">
        <x:v>https://dghyt15qon7us.cloudfront.net/images/productTheme/Inventory/small/0.48737200%201727835339.jpg</x:v>
      </x:c>
      <x:c r="P25" s="19" t="str">
        <x:v>park-ridge</x:v>
      </x:c>
      <x:c r="Q25" s="20" t="n">
        <x:v>1</x:v>
      </x:c>
      <x:c r="R25" s="20" t="n">
        <x:f>MAX(0,Q25)</x:f>
        <x:v>1</x:v>
      </x:c>
      <x:c r="S25" s="21" t="n">
        <x:v>3</x:v>
      </x:c>
      <x:c r="T25" s="21" t="n">
        <x:f>IF(OR(F25="Hard Case",F25="Bubble Hard Case"),15,IF(F25="Twist Leather Case",5,IF(F25="Z-Fold Case",4,IFERROR(VLOOKUP(B25,'Cost Overrides'!$A$2:$B$17,2,FALSE),S25))))</x:f>
        <x:v>4</x:v>
      </x:c>
      <x:c r="U25" s="21" t="str">
        <x:f>IF(OR(F25="Hard Case",F25="Bubble Hard Case"),"Confirmed: Hard Case",IF(F25="Twist Leather Case","Confirmed: Twist Leather Case",IF(F25="Z-Fold Case","Confirmed: Z-Fold Case",IF(COUNTIF('Cost Overrides'!$A$2:$A$17,B25)&gt;0,"Confirmed: Owner cost override",IF(S25&lt;=0,"Needs cost","Source cost")))))</x:f>
        <x:v>Confirmed: Z-Fold Case</x:v>
      </x:c>
      <x:c r="V25" s="21" t="n">
        <x:v>39.95</x:v>
      </x:c>
      <x:c r="W25" s="21" t="n">
        <x:f>V25</x:f>
        <x:v>39.95</x:v>
      </x:c>
      <x:c r="X25" s="19" t="str">
        <x:v>NO</x:v>
      </x:c>
      <x:c r="Y25" s="19" t="str">
        <x:v>NO</x:v>
      </x:c>
      <x:c r="Z25" s="19" t="str">
        <x:v>42459280</x:v>
      </x:c>
      <x:c r="AA25" s="19" t="str">
        <x:v>50769880</x:v>
      </x:c>
      <x:c r="AB25" s="22" t="str">
        <x:f>IF(OR(M25&lt;&gt;"Approved",U25="Needs cost",O25=""),"Needs review","Ready after approval")</x:f>
        <x:v>Needs review</x:v>
      </x:c>
      <x:c r="AC25" s="22" t="str"/>
    </x:row>
    <x:row r="26">
      <x:c r="A26" s="19" t="str">
        <x:v>9404</x:v>
      </x:c>
      <x:c r="B26" s="19" t="str">
        <x:v>TM8-TAB-9404</x:v>
      </x:c>
      <x:c r="C26" s="19" t="str">
        <x:v>2999000094042</x:v>
      </x:c>
      <x:c r="D26" s="22" t="str">
        <x:v>iPad Z-Fold Case Air 6 11 inch 2024 Sky Blue</x:v>
      </x:c>
      <x:c r="E26" s="22" t="str">
        <x:v>Z-Fold Case for iPad Air 11-inch (2024) - Sky Blue</x:v>
      </x:c>
      <x:c r="F26" s="22" t="str">
        <x:v>Z-Fold Case</x:v>
      </x:c>
      <x:c r="G26" s="22" t="str">
        <x:v>Sky Blue</x:v>
      </x:c>
      <x:c r="H26" s="22" t="str">
        <x:v>TM8-GRP-IPAD-AIR11-2024-ZFD</x:v>
      </x:c>
      <x:c r="I26" s="22" t="str">
        <x:v>Z-Fold Case for iPad Air 11-inch (2024)</x:v>
      </x:c>
      <x:c r="J26" s="22" t="str">
        <x:v>iPad Air 11-inch 2024(Air 6</x:v>
      </x:c>
      <x:c r="K26" s="22" t="str">
        <x:v>IPAD-AIR11-2024</x:v>
      </x:c>
      <x:c r="L26" s="22" t="str">
        <x:v>iPad Air 11-inch (2024)</x:v>
      </x:c>
      <x:c r="M26" s="22" t="str">
        <x:v>Proposed</x:v>
      </x:c>
      <x:c r="N26" s="22" t="str">
        <x:v>https://dghyt15qon7us.cloudfront.net/images/productTheme/Inventory/small/0.05495000%201727835377.jpg</x:v>
      </x:c>
      <x:c r="O26" s="22" t="str">
        <x:v>https://dghyt15qon7us.cloudfront.net/images/productTheme/Inventory/small/0.48737200%201727835339.jpg</x:v>
      </x:c>
      <x:c r="P26" s="19" t="str">
        <x:v>park-ridge</x:v>
      </x:c>
      <x:c r="Q26" s="20" t="n">
        <x:v>2</x:v>
      </x:c>
      <x:c r="R26" s="20" t="n">
        <x:f>MAX(0,Q26)</x:f>
        <x:v>2</x:v>
      </x:c>
      <x:c r="S26" s="21" t="n">
        <x:v>3</x:v>
      </x:c>
      <x:c r="T26" s="21" t="n">
        <x:f>IF(OR(F26="Hard Case",F26="Bubble Hard Case"),15,IF(F26="Twist Leather Case",5,IF(F26="Z-Fold Case",4,IFERROR(VLOOKUP(B26,'Cost Overrides'!$A$2:$B$17,2,FALSE),S26))))</x:f>
        <x:v>4</x:v>
      </x:c>
      <x:c r="U26" s="21" t="str">
        <x:f>IF(OR(F26="Hard Case",F26="Bubble Hard Case"),"Confirmed: Hard Case",IF(F26="Twist Leather Case","Confirmed: Twist Leather Case",IF(F26="Z-Fold Case","Confirmed: Z-Fold Case",IF(COUNTIF('Cost Overrides'!$A$2:$A$17,B26)&gt;0,"Confirmed: Owner cost override",IF(S26&lt;=0,"Needs cost","Source cost")))))</x:f>
        <x:v>Confirmed: Z-Fold Case</x:v>
      </x:c>
      <x:c r="V26" s="21" t="n">
        <x:v>39.95</x:v>
      </x:c>
      <x:c r="W26" s="21" t="n">
        <x:f>V26</x:f>
        <x:v>39.95</x:v>
      </x:c>
      <x:c r="X26" s="19" t="str">
        <x:v>NO</x:v>
      </x:c>
      <x:c r="Y26" s="19" t="str">
        <x:v>NO</x:v>
      </x:c>
      <x:c r="Z26" s="19" t="str">
        <x:v>42459277</x:v>
      </x:c>
      <x:c r="AA26" s="19" t="str">
        <x:v>50769871</x:v>
      </x:c>
      <x:c r="AB26" s="22" t="str">
        <x:f>IF(OR(M26&lt;&gt;"Approved",U26="Needs cost",O26=""),"Needs review","Ready after approval")</x:f>
        <x:v>Needs review</x:v>
      </x:c>
      <x:c r="AC26" s="22" t="str"/>
    </x:row>
    <x:row r="27">
      <x:c r="A27" s="19" t="str">
        <x:v>9403</x:v>
      </x:c>
      <x:c r="B27" s="19" t="str">
        <x:v>TM8-TAB-9403</x:v>
      </x:c>
      <x:c r="C27" s="19" t="str">
        <x:v>2999000094035</x:v>
      </x:c>
      <x:c r="D27" s="22" t="str">
        <x:v>iPad Z-Fold Case Air 6 11 inch 2024 Pink</x:v>
      </x:c>
      <x:c r="E27" s="22" t="str">
        <x:v>Z-Fold Case for iPad Air 11-inch (2024) - Pink</x:v>
      </x:c>
      <x:c r="F27" s="22" t="str">
        <x:v>Z-Fold Case</x:v>
      </x:c>
      <x:c r="G27" s="22" t="str">
        <x:v>Pink</x:v>
      </x:c>
      <x:c r="H27" s="22" t="str">
        <x:v>TM8-GRP-IPAD-AIR11-2024-ZFD</x:v>
      </x:c>
      <x:c r="I27" s="22" t="str">
        <x:v>Z-Fold Case for iPad Air 11-inch (2024)</x:v>
      </x:c>
      <x:c r="J27" s="22" t="str">
        <x:v>iPad Air 11-inch 2024(Air 6</x:v>
      </x:c>
      <x:c r="K27" s="22" t="str">
        <x:v>IPAD-AIR11-2024</x:v>
      </x:c>
      <x:c r="L27" s="22" t="str">
        <x:v>iPad Air 11-inch (2024)</x:v>
      </x:c>
      <x:c r="M27" s="22" t="str">
        <x:v>Proposed</x:v>
      </x:c>
      <x:c r="N27" s="22" t="str">
        <x:v>https://dghyt15qon7us.cloudfront.net/images/productTheme/Inventory/small/0.16776100%201727835364.jpg</x:v>
      </x:c>
      <x:c r="O27" s="22" t="str">
        <x:v>https://dghyt15qon7us.cloudfront.net/images/productTheme/Inventory/small/0.48737200%201727835339.jpg</x:v>
      </x:c>
      <x:c r="P27" s="19" t="str">
        <x:v>park-ridge</x:v>
      </x:c>
      <x:c r="Q27" s="20" t="n">
        <x:v>2</x:v>
      </x:c>
      <x:c r="R27" s="20" t="n">
        <x:f>MAX(0,Q27)</x:f>
        <x:v>2</x:v>
      </x:c>
      <x:c r="S27" s="21" t="n">
        <x:v>3</x:v>
      </x:c>
      <x:c r="T27" s="21" t="n">
        <x:f>IF(OR(F27="Hard Case",F27="Bubble Hard Case"),15,IF(F27="Twist Leather Case",5,IF(F27="Z-Fold Case",4,IFERROR(VLOOKUP(B27,'Cost Overrides'!$A$2:$B$17,2,FALSE),S27))))</x:f>
        <x:v>4</x:v>
      </x:c>
      <x:c r="U27" s="21" t="str">
        <x:f>IF(OR(F27="Hard Case",F27="Bubble Hard Case"),"Confirmed: Hard Case",IF(F27="Twist Leather Case","Confirmed: Twist Leather Case",IF(F27="Z-Fold Case","Confirmed: Z-Fold Case",IF(COUNTIF('Cost Overrides'!$A$2:$A$17,B27)&gt;0,"Confirmed: Owner cost override",IF(S27&lt;=0,"Needs cost","Source cost")))))</x:f>
        <x:v>Confirmed: Z-Fold Case</x:v>
      </x:c>
      <x:c r="V27" s="21" t="n">
        <x:v>39.95</x:v>
      </x:c>
      <x:c r="W27" s="21" t="n">
        <x:f>V27</x:f>
        <x:v>39.95</x:v>
      </x:c>
      <x:c r="X27" s="19" t="str">
        <x:v>NO</x:v>
      </x:c>
      <x:c r="Y27" s="19" t="str">
        <x:v>NO</x:v>
      </x:c>
      <x:c r="Z27" s="19" t="str">
        <x:v>42459274</x:v>
      </x:c>
      <x:c r="AA27" s="19" t="str">
        <x:v>50769862</x:v>
      </x:c>
      <x:c r="AB27" s="22" t="str">
        <x:f>IF(OR(M27&lt;&gt;"Approved",U27="Needs cost",O27=""),"Needs review","Ready after approval")</x:f>
        <x:v>Needs review</x:v>
      </x:c>
      <x:c r="AC27" s="22" t="str"/>
    </x:row>
    <x:row r="28">
      <x:c r="A28" s="19" t="str">
        <x:v>9402</x:v>
      </x:c>
      <x:c r="B28" s="19" t="str">
        <x:v>TM8-TAB-9402</x:v>
      </x:c>
      <x:c r="C28" s="19" t="str">
        <x:v>2999000094028</x:v>
      </x:c>
      <x:c r="D28" s="22" t="str">
        <x:v>iPad Z-Fold Case Air 6 11 inch 2024 Black</x:v>
      </x:c>
      <x:c r="E28" s="22" t="str">
        <x:v>Z-Fold Case for iPad Air 11-inch (2024) - Black</x:v>
      </x:c>
      <x:c r="F28" s="22" t="str">
        <x:v>Z-Fold Case</x:v>
      </x:c>
      <x:c r="G28" s="22" t="str">
        <x:v>Black</x:v>
      </x:c>
      <x:c r="H28" s="22" t="str">
        <x:v>TM8-GRP-IPAD-AIR11-2024-ZFD</x:v>
      </x:c>
      <x:c r="I28" s="22" t="str">
        <x:v>Z-Fold Case for iPad Air 11-inch (2024)</x:v>
      </x:c>
      <x:c r="J28" s="22" t="str">
        <x:v>iPad Air 11-inch 2024(Air 6</x:v>
      </x:c>
      <x:c r="K28" s="22" t="str">
        <x:v>IPAD-AIR11-2024</x:v>
      </x:c>
      <x:c r="L28" s="22" t="str">
        <x:v>iPad Air 11-inch (2024)</x:v>
      </x:c>
      <x:c r="M28" s="22" t="str">
        <x:v>Proposed</x:v>
      </x:c>
      <x:c r="N28" s="22" t="str">
        <x:v>https://dghyt15qon7us.cloudfront.net/images/productTheme/Inventory/small/0.48737200%201727835339.jpg</x:v>
      </x:c>
      <x:c r="O28" s="22" t="str">
        <x:v>https://dghyt15qon7us.cloudfront.net/images/productTheme/Inventory/small/0.48737200%201727835339.jpg</x:v>
      </x:c>
      <x:c r="P28" s="19" t="str">
        <x:v>park-ridge</x:v>
      </x:c>
      <x:c r="Q28" s="20" t="n">
        <x:v>2</x:v>
      </x:c>
      <x:c r="R28" s="20" t="n">
        <x:f>MAX(0,Q28)</x:f>
        <x:v>2</x:v>
      </x:c>
      <x:c r="S28" s="21" t="n">
        <x:v>3</x:v>
      </x:c>
      <x:c r="T28" s="21" t="n">
        <x:f>IF(OR(F28="Hard Case",F28="Bubble Hard Case"),15,IF(F28="Twist Leather Case",5,IF(F28="Z-Fold Case",4,IFERROR(VLOOKUP(B28,'Cost Overrides'!$A$2:$B$17,2,FALSE),S28))))</x:f>
        <x:v>4</x:v>
      </x:c>
      <x:c r="U28" s="21" t="str">
        <x:f>IF(OR(F28="Hard Case",F28="Bubble Hard Case"),"Confirmed: Hard Case",IF(F28="Twist Leather Case","Confirmed: Twist Leather Case",IF(F28="Z-Fold Case","Confirmed: Z-Fold Case",IF(COUNTIF('Cost Overrides'!$A$2:$A$17,B28)&gt;0,"Confirmed: Owner cost override",IF(S28&lt;=0,"Needs cost","Source cost")))))</x:f>
        <x:v>Confirmed: Z-Fold Case</x:v>
      </x:c>
      <x:c r="V28" s="21" t="n">
        <x:v>39.95</x:v>
      </x:c>
      <x:c r="W28" s="21" t="n">
        <x:f>V28</x:f>
        <x:v>39.95</x:v>
      </x:c>
      <x:c r="X28" s="19" t="str">
        <x:v>NO</x:v>
      </x:c>
      <x:c r="Y28" s="19" t="str">
        <x:v>NO</x:v>
      </x:c>
      <x:c r="Z28" s="19" t="str">
        <x:v>42459271</x:v>
      </x:c>
      <x:c r="AA28" s="19" t="str">
        <x:v>50769853</x:v>
      </x:c>
      <x:c r="AB28" s="22" t="str">
        <x:f>IF(OR(M28&lt;&gt;"Approved",U28="Needs cost",O28=""),"Needs review","Ready after approval")</x:f>
        <x:v>Needs review</x:v>
      </x:c>
      <x:c r="AC28" s="22" t="str"/>
    </x:row>
    <x:row r="29">
      <x:c r="A29" s="19" t="str">
        <x:v>9401</x:v>
      </x:c>
      <x:c r="B29" s="19" t="str">
        <x:v>TM8-TAB-9401</x:v>
      </x:c>
      <x:c r="C29" s="19" t="str">
        <x:v>2999000094011</x:v>
      </x:c>
      <x:c r="D29" s="22" t="str">
        <x:v>iPad Z-Fold Case Air 6 11 inch 2024 Purple</x:v>
      </x:c>
      <x:c r="E29" s="22" t="str">
        <x:v>Z-Fold Case for iPad Air 11-inch (2024) - Purple</x:v>
      </x:c>
      <x:c r="F29" s="22" t="str">
        <x:v>Z-Fold Case</x:v>
      </x:c>
      <x:c r="G29" s="22" t="str">
        <x:v>Purple</x:v>
      </x:c>
      <x:c r="H29" s="22" t="str">
        <x:v>TM8-GRP-IPAD-AIR11-2024-ZFD</x:v>
      </x:c>
      <x:c r="I29" s="22" t="str">
        <x:v>Z-Fold Case for iPad Air 11-inch (2024)</x:v>
      </x:c>
      <x:c r="J29" s="22" t="str">
        <x:v>iPad Air 11-inch 2024(Air 6</x:v>
      </x:c>
      <x:c r="K29" s="22" t="str">
        <x:v>IPAD-AIR11-2024</x:v>
      </x:c>
      <x:c r="L29" s="22" t="str">
        <x:v>iPad Air 11-inch (2024)</x:v>
      </x:c>
      <x:c r="M29" s="22" t="str">
        <x:v>Proposed</x:v>
      </x:c>
      <x:c r="N29" s="22" t="str">
        <x:v>https://dghyt15qon7us.cloudfront.net/images/productTheme/Inventory/small/0.07335600%201727835256.jpg</x:v>
      </x:c>
      <x:c r="O29" s="22" t="str">
        <x:v>https://dghyt15qon7us.cloudfront.net/images/productTheme/Inventory/small/0.48737200%201727835339.jpg</x:v>
      </x:c>
      <x:c r="P29" s="19" t="str">
        <x:v>park-ridge</x:v>
      </x:c>
      <x:c r="Q29" s="20" t="n">
        <x:v>3</x:v>
      </x:c>
      <x:c r="R29" s="20" t="n">
        <x:f>MAX(0,Q29)</x:f>
        <x:v>3</x:v>
      </x:c>
      <x:c r="S29" s="21" t="n">
        <x:v>3</x:v>
      </x:c>
      <x:c r="T29" s="21" t="n">
        <x:f>IF(OR(F29="Hard Case",F29="Bubble Hard Case"),15,IF(F29="Twist Leather Case",5,IF(F29="Z-Fold Case",4,IFERROR(VLOOKUP(B29,'Cost Overrides'!$A$2:$B$17,2,FALSE),S29))))</x:f>
        <x:v>4</x:v>
      </x:c>
      <x:c r="U29" s="21" t="str">
        <x:f>IF(OR(F29="Hard Case",F29="Bubble Hard Case"),"Confirmed: Hard Case",IF(F29="Twist Leather Case","Confirmed: Twist Leather Case",IF(F29="Z-Fold Case","Confirmed: Z-Fold Case",IF(COUNTIF('Cost Overrides'!$A$2:$A$17,B29)&gt;0,"Confirmed: Owner cost override",IF(S29&lt;=0,"Needs cost","Source cost")))))</x:f>
        <x:v>Confirmed: Z-Fold Case</x:v>
      </x:c>
      <x:c r="V29" s="21" t="n">
        <x:v>39.95</x:v>
      </x:c>
      <x:c r="W29" s="21" t="n">
        <x:f>V29</x:f>
        <x:v>39.95</x:v>
      </x:c>
      <x:c r="X29" s="19" t="str">
        <x:v>NO</x:v>
      </x:c>
      <x:c r="Y29" s="19" t="str">
        <x:v>NO</x:v>
      </x:c>
      <x:c r="Z29" s="19" t="str">
        <x:v>42459268</x:v>
      </x:c>
      <x:c r="AA29" s="19" t="str">
        <x:v>50769844</x:v>
      </x:c>
      <x:c r="AB29" s="22" t="str">
        <x:f>IF(OR(M29&lt;&gt;"Approved",U29="Needs cost",O29=""),"Needs review","Ready after approval")</x:f>
        <x:v>Needs review</x:v>
      </x:c>
      <x:c r="AC29" s="22" t="str"/>
    </x:row>
    <x:row r="30">
      <x:c r="A30" s="19" t="str">
        <x:v>9400</x:v>
      </x:c>
      <x:c r="B30" s="19" t="str">
        <x:v>TM8-TAB-9400</x:v>
      </x:c>
      <x:c r="C30" s="19" t="str">
        <x:v>2999000094004</x:v>
      </x:c>
      <x:c r="D30" s="22" t="str">
        <x:v>iPad Z-Fold Case Pro 13inch 2024 Green</x:v>
      </x:c>
      <x:c r="E30" s="22" t="str">
        <x:v>Z-Fold Case for iPad Pro 13-inch (2024) - Green</x:v>
      </x:c>
      <x:c r="F30" s="22" t="str">
        <x:v>Z-Fold Case</x:v>
      </x:c>
      <x:c r="G30" s="22" t="str">
        <x:v>Green</x:v>
      </x:c>
      <x:c r="H30" s="22" t="str">
        <x:v>TM8-GRP-IPAD-PRO13-2024-ZFD</x:v>
      </x:c>
      <x:c r="I30" s="22" t="str">
        <x:v>Z-Fold Case for iPad Pro 13-inch (2024)</x:v>
      </x:c>
      <x:c r="J30" s="22" t="str">
        <x:v>iPad Pro 13-inch 2024</x:v>
      </x:c>
      <x:c r="K30" s="22" t="str">
        <x:v>IPAD-PRO13-2024</x:v>
      </x:c>
      <x:c r="L30" s="22" t="str">
        <x:v>iPad Pro 13-inch (2024)</x:v>
      </x:c>
      <x:c r="M30" s="22" t="str">
        <x:v>Proposed</x:v>
      </x:c>
      <x:c r="N30" s="22" t="str">
        <x:v>https://dghyt15qon7us.cloudfront.net/images/productTheme/Inventory/small/0.69771700%201727829340.jpg</x:v>
      </x:c>
      <x:c r="O30" s="22" t="str">
        <x:v>https://dghyt15qon7us.cloudfront.net/images/productTheme/Inventory/small/0.83740800%201727829325.jpg</x:v>
      </x:c>
      <x:c r="P30" s="19" t="str">
        <x:v>park-ridge</x:v>
      </x:c>
      <x:c r="Q30" s="20" t="n">
        <x:v>0</x:v>
      </x:c>
      <x:c r="R30" s="20" t="n">
        <x:f>MAX(0,Q30)</x:f>
        <x:v>0</x:v>
      </x:c>
      <x:c r="S30" s="21" t="n">
        <x:v>3</x:v>
      </x:c>
      <x:c r="T30" s="21" t="n">
        <x:f>IF(OR(F30="Hard Case",F30="Bubble Hard Case"),15,IF(F30="Twist Leather Case",5,IF(F30="Z-Fold Case",4,IFERROR(VLOOKUP(B30,'Cost Overrides'!$A$2:$B$17,2,FALSE),S30))))</x:f>
        <x:v>4</x:v>
      </x:c>
      <x:c r="U30" s="21" t="str">
        <x:f>IF(OR(F30="Hard Case",F30="Bubble Hard Case"),"Confirmed: Hard Case",IF(F30="Twist Leather Case","Confirmed: Twist Leather Case",IF(F30="Z-Fold Case","Confirmed: Z-Fold Case",IF(COUNTIF('Cost Overrides'!$A$2:$A$17,B30)&gt;0,"Confirmed: Owner cost override",IF(S30&lt;=0,"Needs cost","Source cost")))))</x:f>
        <x:v>Confirmed: Z-Fold Case</x:v>
      </x:c>
      <x:c r="V30" s="21" t="n">
        <x:v>39.95</x:v>
      </x:c>
      <x:c r="W30" s="21" t="n">
        <x:f>V30</x:f>
        <x:v>39.95</x:v>
      </x:c>
      <x:c r="X30" s="19" t="str">
        <x:v>NO</x:v>
      </x:c>
      <x:c r="Y30" s="19" t="str">
        <x:v>NO</x:v>
      </x:c>
      <x:c r="Z30" s="19" t="str">
        <x:v>42459265</x:v>
      </x:c>
      <x:c r="AA30" s="19" t="str">
        <x:v>50769835</x:v>
      </x:c>
      <x:c r="AB30" s="22" t="str">
        <x:f>IF(OR(M30&lt;&gt;"Approved",U30="Needs cost",O30=""),"Needs review","Ready after approval")</x:f>
        <x:v>Needs review</x:v>
      </x:c>
      <x:c r="AC30" s="22" t="str"/>
    </x:row>
    <x:row r="31">
      <x:c r="A31" s="19" t="str">
        <x:v>9399</x:v>
      </x:c>
      <x:c r="B31" s="19" t="str">
        <x:v>TM8-TAB-9399</x:v>
      </x:c>
      <x:c r="C31" s="19" t="str">
        <x:v>2999000093991</x:v>
      </x:c>
      <x:c r="D31" s="22" t="str">
        <x:v>iPad Z-Fold Case Pro 13inch 2024 Sky Blue</x:v>
      </x:c>
      <x:c r="E31" s="22" t="str">
        <x:v>Z-Fold Case for iPad Pro 13-inch (2024) - Sky Blue</x:v>
      </x:c>
      <x:c r="F31" s="22" t="str">
        <x:v>Z-Fold Case</x:v>
      </x:c>
      <x:c r="G31" s="22" t="str">
        <x:v>Sky Blue</x:v>
      </x:c>
      <x:c r="H31" s="22" t="str">
        <x:v>TM8-GRP-IPAD-PRO13-2024-ZFD</x:v>
      </x:c>
      <x:c r="I31" s="22" t="str">
        <x:v>Z-Fold Case for iPad Pro 13-inch (2024)</x:v>
      </x:c>
      <x:c r="J31" s="22" t="str">
        <x:v>iPad Pro 13-inch 2024</x:v>
      </x:c>
      <x:c r="K31" s="22" t="str">
        <x:v>IPAD-PRO13-2024</x:v>
      </x:c>
      <x:c r="L31" s="22" t="str">
        <x:v>iPad Pro 13-inch (2024)</x:v>
      </x:c>
      <x:c r="M31" s="22" t="str">
        <x:v>Proposed</x:v>
      </x:c>
      <x:c r="N31" s="22" t="str">
        <x:v>https://dghyt15qon7us.cloudfront.net/images/productTheme/Inventory/small/0.12781100%201727829336.jpg</x:v>
      </x:c>
      <x:c r="O31" s="22" t="str">
        <x:v>https://dghyt15qon7us.cloudfront.net/images/productTheme/Inventory/small/0.83740800%201727829325.jpg</x:v>
      </x:c>
      <x:c r="P31" s="19" t="str">
        <x:v>park-ridge</x:v>
      </x:c>
      <x:c r="Q31" s="20" t="n">
        <x:v>0</x:v>
      </x:c>
      <x:c r="R31" s="20" t="n">
        <x:f>MAX(0,Q31)</x:f>
        <x:v>0</x:v>
      </x:c>
      <x:c r="S31" s="21" t="n">
        <x:v>3</x:v>
      </x:c>
      <x:c r="T31" s="21" t="n">
        <x:f>IF(OR(F31="Hard Case",F31="Bubble Hard Case"),15,IF(F31="Twist Leather Case",5,IF(F31="Z-Fold Case",4,IFERROR(VLOOKUP(B31,'Cost Overrides'!$A$2:$B$17,2,FALSE),S31))))</x:f>
        <x:v>4</x:v>
      </x:c>
      <x:c r="U31" s="21" t="str">
        <x:f>IF(OR(F31="Hard Case",F31="Bubble Hard Case"),"Confirmed: Hard Case",IF(F31="Twist Leather Case","Confirmed: Twist Leather Case",IF(F31="Z-Fold Case","Confirmed: Z-Fold Case",IF(COUNTIF('Cost Overrides'!$A$2:$A$17,B31)&gt;0,"Confirmed: Owner cost override",IF(S31&lt;=0,"Needs cost","Source cost")))))</x:f>
        <x:v>Confirmed: Z-Fold Case</x:v>
      </x:c>
      <x:c r="V31" s="21" t="n">
        <x:v>39.95</x:v>
      </x:c>
      <x:c r="W31" s="21" t="n">
        <x:f>V31</x:f>
        <x:v>39.95</x:v>
      </x:c>
      <x:c r="X31" s="19" t="str">
        <x:v>NO</x:v>
      </x:c>
      <x:c r="Y31" s="19" t="str">
        <x:v>NO</x:v>
      </x:c>
      <x:c r="Z31" s="19" t="str">
        <x:v>42459262</x:v>
      </x:c>
      <x:c r="AA31" s="19" t="str">
        <x:v>50769826</x:v>
      </x:c>
      <x:c r="AB31" s="22" t="str">
        <x:f>IF(OR(M31&lt;&gt;"Approved",U31="Needs cost",O31=""),"Needs review","Ready after approval")</x:f>
        <x:v>Needs review</x:v>
      </x:c>
      <x:c r="AC31" s="22" t="str"/>
    </x:row>
    <x:row r="32">
      <x:c r="A32" s="19" t="str">
        <x:v>9398</x:v>
      </x:c>
      <x:c r="B32" s="19" t="str">
        <x:v>TM8-TAB-9398</x:v>
      </x:c>
      <x:c r="C32" s="19" t="str">
        <x:v>2999000093984</x:v>
      </x:c>
      <x:c r="D32" s="22" t="str">
        <x:v>iPad Z-Fold Case Pro 13inch 2024 Pink</x:v>
      </x:c>
      <x:c r="E32" s="22" t="str">
        <x:v>Z-Fold Case for iPad Pro 13-inch (2024) - Pink</x:v>
      </x:c>
      <x:c r="F32" s="22" t="str">
        <x:v>Z-Fold Case</x:v>
      </x:c>
      <x:c r="G32" s="22" t="str">
        <x:v>Pink</x:v>
      </x:c>
      <x:c r="H32" s="22" t="str">
        <x:v>TM8-GRP-IPAD-PRO13-2024-ZFD</x:v>
      </x:c>
      <x:c r="I32" s="22" t="str">
        <x:v>Z-Fold Case for iPad Pro 13-inch (2024)</x:v>
      </x:c>
      <x:c r="J32" s="22" t="str">
        <x:v>iPad Pro 13-inch 2024</x:v>
      </x:c>
      <x:c r="K32" s="22" t="str">
        <x:v>IPAD-PRO13-2024</x:v>
      </x:c>
      <x:c r="L32" s="22" t="str">
        <x:v>iPad Pro 13-inch (2024)</x:v>
      </x:c>
      <x:c r="M32" s="22" t="str">
        <x:v>Proposed</x:v>
      </x:c>
      <x:c r="N32" s="22" t="str">
        <x:v>https://dghyt15qon7us.cloudfront.net/images/productTheme/Inventory/small/0.22746000%201727829331.jpg</x:v>
      </x:c>
      <x:c r="O32" s="22" t="str">
        <x:v>https://dghyt15qon7us.cloudfront.net/images/productTheme/Inventory/small/0.83740800%201727829325.jpg</x:v>
      </x:c>
      <x:c r="P32" s="19" t="str">
        <x:v>park-ridge</x:v>
      </x:c>
      <x:c r="Q32" s="20" t="n">
        <x:v>0</x:v>
      </x:c>
      <x:c r="R32" s="20" t="n">
        <x:f>MAX(0,Q32)</x:f>
        <x:v>0</x:v>
      </x:c>
      <x:c r="S32" s="21" t="n">
        <x:v>3</x:v>
      </x:c>
      <x:c r="T32" s="21" t="n">
        <x:f>IF(OR(F32="Hard Case",F32="Bubble Hard Case"),15,IF(F32="Twist Leather Case",5,IF(F32="Z-Fold Case",4,IFERROR(VLOOKUP(B32,'Cost Overrides'!$A$2:$B$17,2,FALSE),S32))))</x:f>
        <x:v>4</x:v>
      </x:c>
      <x:c r="U32" s="21" t="str">
        <x:f>IF(OR(F32="Hard Case",F32="Bubble Hard Case"),"Confirmed: Hard Case",IF(F32="Twist Leather Case","Confirmed: Twist Leather Case",IF(F32="Z-Fold Case","Confirmed: Z-Fold Case",IF(COUNTIF('Cost Overrides'!$A$2:$A$17,B32)&gt;0,"Confirmed: Owner cost override",IF(S32&lt;=0,"Needs cost","Source cost")))))</x:f>
        <x:v>Confirmed: Z-Fold Case</x:v>
      </x:c>
      <x:c r="V32" s="21" t="n">
        <x:v>39.95</x:v>
      </x:c>
      <x:c r="W32" s="21" t="n">
        <x:f>V32</x:f>
        <x:v>39.95</x:v>
      </x:c>
      <x:c r="X32" s="19" t="str">
        <x:v>NO</x:v>
      </x:c>
      <x:c r="Y32" s="19" t="str">
        <x:v>NO</x:v>
      </x:c>
      <x:c r="Z32" s="19" t="str">
        <x:v>42459259</x:v>
      </x:c>
      <x:c r="AA32" s="19" t="str">
        <x:v>50769817</x:v>
      </x:c>
      <x:c r="AB32" s="22" t="str">
        <x:f>IF(OR(M32&lt;&gt;"Approved",U32="Needs cost",O32=""),"Needs review","Ready after approval")</x:f>
        <x:v>Needs review</x:v>
      </x:c>
      <x:c r="AC32" s="22" t="str"/>
    </x:row>
    <x:row r="33">
      <x:c r="A33" s="19" t="str">
        <x:v>9397</x:v>
      </x:c>
      <x:c r="B33" s="19" t="str">
        <x:v>TM8-TAB-9397</x:v>
      </x:c>
      <x:c r="C33" s="19" t="str">
        <x:v>2999000093977</x:v>
      </x:c>
      <x:c r="D33" s="22" t="str">
        <x:v>iPad Z-Fold Case Pro 13inch 2024 Black</x:v>
      </x:c>
      <x:c r="E33" s="22" t="str">
        <x:v>Z-Fold Case for iPad Pro 13-inch (2024) - Black</x:v>
      </x:c>
      <x:c r="F33" s="22" t="str">
        <x:v>Z-Fold Case</x:v>
      </x:c>
      <x:c r="G33" s="22" t="str">
        <x:v>Black</x:v>
      </x:c>
      <x:c r="H33" s="22" t="str">
        <x:v>TM8-GRP-IPAD-PRO13-2024-ZFD</x:v>
      </x:c>
      <x:c r="I33" s="22" t="str">
        <x:v>Z-Fold Case for iPad Pro 13-inch (2024)</x:v>
      </x:c>
      <x:c r="J33" s="22" t="str">
        <x:v>iPad Pro 13-inch 2024</x:v>
      </x:c>
      <x:c r="K33" s="22" t="str">
        <x:v>IPAD-PRO13-2024</x:v>
      </x:c>
      <x:c r="L33" s="22" t="str">
        <x:v>iPad Pro 13-inch (2024)</x:v>
      </x:c>
      <x:c r="M33" s="22" t="str">
        <x:v>Proposed</x:v>
      </x:c>
      <x:c r="N33" s="22" t="str">
        <x:v>https://dghyt15qon7us.cloudfront.net/images/productTheme/Inventory/small/0.83740800%201727829325.jpg</x:v>
      </x:c>
      <x:c r="O33" s="22" t="str">
        <x:v>https://dghyt15qon7us.cloudfront.net/images/productTheme/Inventory/small/0.83740800%201727829325.jpg</x:v>
      </x:c>
      <x:c r="P33" s="19" t="str">
        <x:v>park-ridge</x:v>
      </x:c>
      <x:c r="Q33" s="20" t="n">
        <x:v>2</x:v>
      </x:c>
      <x:c r="R33" s="20" t="n">
        <x:f>MAX(0,Q33)</x:f>
        <x:v>2</x:v>
      </x:c>
      <x:c r="S33" s="21" t="n">
        <x:v>3</x:v>
      </x:c>
      <x:c r="T33" s="21" t="n">
        <x:f>IF(OR(F33="Hard Case",F33="Bubble Hard Case"),15,IF(F33="Twist Leather Case",5,IF(F33="Z-Fold Case",4,IFERROR(VLOOKUP(B33,'Cost Overrides'!$A$2:$B$17,2,FALSE),S33))))</x:f>
        <x:v>4</x:v>
      </x:c>
      <x:c r="U33" s="21" t="str">
        <x:f>IF(OR(F33="Hard Case",F33="Bubble Hard Case"),"Confirmed: Hard Case",IF(F33="Twist Leather Case","Confirmed: Twist Leather Case",IF(F33="Z-Fold Case","Confirmed: Z-Fold Case",IF(COUNTIF('Cost Overrides'!$A$2:$A$17,B33)&gt;0,"Confirmed: Owner cost override",IF(S33&lt;=0,"Needs cost","Source cost")))))</x:f>
        <x:v>Confirmed: Z-Fold Case</x:v>
      </x:c>
      <x:c r="V33" s="21" t="n">
        <x:v>39.95</x:v>
      </x:c>
      <x:c r="W33" s="21" t="n">
        <x:f>V33</x:f>
        <x:v>39.95</x:v>
      </x:c>
      <x:c r="X33" s="19" t="str">
        <x:v>NO</x:v>
      </x:c>
      <x:c r="Y33" s="19" t="str">
        <x:v>NO</x:v>
      </x:c>
      <x:c r="Z33" s="19" t="str">
        <x:v>42459256</x:v>
      </x:c>
      <x:c r="AA33" s="19" t="str">
        <x:v>50769808</x:v>
      </x:c>
      <x:c r="AB33" s="22" t="str">
        <x:f>IF(OR(M33&lt;&gt;"Approved",U33="Needs cost",O33=""),"Needs review","Ready after approval")</x:f>
        <x:v>Needs review</x:v>
      </x:c>
      <x:c r="AC33" s="22" t="str"/>
    </x:row>
    <x:row r="34">
      <x:c r="A34" s="19" t="str">
        <x:v>9396</x:v>
      </x:c>
      <x:c r="B34" s="19" t="str">
        <x:v>TM8-TAB-9396</x:v>
      </x:c>
      <x:c r="C34" s="19" t="str">
        <x:v>2999000093960</x:v>
      </x:c>
      <x:c r="D34" s="22" t="str">
        <x:v>iPad Z-Fold Case Pro 13inch 2024 Purple</x:v>
      </x:c>
      <x:c r="E34" s="22" t="str">
        <x:v>Z-Fold Case for iPad Pro 13-inch (2024) - Purple</x:v>
      </x:c>
      <x:c r="F34" s="22" t="str">
        <x:v>Z-Fold Case</x:v>
      </x:c>
      <x:c r="G34" s="22" t="str">
        <x:v>Purple</x:v>
      </x:c>
      <x:c r="H34" s="22" t="str">
        <x:v>TM8-GRP-IPAD-PRO13-2024-ZFD</x:v>
      </x:c>
      <x:c r="I34" s="22" t="str">
        <x:v>Z-Fold Case for iPad Pro 13-inch (2024)</x:v>
      </x:c>
      <x:c r="J34" s="22" t="str">
        <x:v>iPad Pro 13-inch 2024</x:v>
      </x:c>
      <x:c r="K34" s="22" t="str">
        <x:v>IPAD-PRO13-2024</x:v>
      </x:c>
      <x:c r="L34" s="22" t="str">
        <x:v>iPad Pro 13-inch (2024)</x:v>
      </x:c>
      <x:c r="M34" s="22" t="str">
        <x:v>Proposed</x:v>
      </x:c>
      <x:c r="N34" s="22" t="str">
        <x:v>https://dghyt15qon7us.cloudfront.net/images/productTheme/Inventory/small/0.52099800%201727829265.jpg</x:v>
      </x:c>
      <x:c r="O34" s="22" t="str">
        <x:v>https://dghyt15qon7us.cloudfront.net/images/productTheme/Inventory/small/0.83740800%201727829325.jpg</x:v>
      </x:c>
      <x:c r="P34" s="19" t="str">
        <x:v>park-ridge</x:v>
      </x:c>
      <x:c r="Q34" s="20" t="n">
        <x:v>1</x:v>
      </x:c>
      <x:c r="R34" s="20" t="n">
        <x:f>MAX(0,Q34)</x:f>
        <x:v>1</x:v>
      </x:c>
      <x:c r="S34" s="21" t="n">
        <x:v>3</x:v>
      </x:c>
      <x:c r="T34" s="21" t="n">
        <x:f>IF(OR(F34="Hard Case",F34="Bubble Hard Case"),15,IF(F34="Twist Leather Case",5,IF(F34="Z-Fold Case",4,IFERROR(VLOOKUP(B34,'Cost Overrides'!$A$2:$B$17,2,FALSE),S34))))</x:f>
        <x:v>4</x:v>
      </x:c>
      <x:c r="U34" s="21" t="str">
        <x:f>IF(OR(F34="Hard Case",F34="Bubble Hard Case"),"Confirmed: Hard Case",IF(F34="Twist Leather Case","Confirmed: Twist Leather Case",IF(F34="Z-Fold Case","Confirmed: Z-Fold Case",IF(COUNTIF('Cost Overrides'!$A$2:$A$17,B34)&gt;0,"Confirmed: Owner cost override",IF(S34&lt;=0,"Needs cost","Source cost")))))</x:f>
        <x:v>Confirmed: Z-Fold Case</x:v>
      </x:c>
      <x:c r="V34" s="21" t="n">
        <x:v>39.95</x:v>
      </x:c>
      <x:c r="W34" s="21" t="n">
        <x:f>V34</x:f>
        <x:v>39.95</x:v>
      </x:c>
      <x:c r="X34" s="19" t="str">
        <x:v>NO</x:v>
      </x:c>
      <x:c r="Y34" s="19" t="str">
        <x:v>NO</x:v>
      </x:c>
      <x:c r="Z34" s="19" t="str">
        <x:v>42459253</x:v>
      </x:c>
      <x:c r="AA34" s="19" t="str">
        <x:v>50769799</x:v>
      </x:c>
      <x:c r="AB34" s="22" t="str">
        <x:f>IF(OR(M34&lt;&gt;"Approved",U34="Needs cost",O34=""),"Needs review","Ready after approval")</x:f>
        <x:v>Needs review</x:v>
      </x:c>
      <x:c r="AC34" s="22" t="str"/>
    </x:row>
    <x:row r="35">
      <x:c r="A35" s="19" t="str">
        <x:v>9395</x:v>
      </x:c>
      <x:c r="B35" s="19" t="str">
        <x:v>TM8-TAB-9395</x:v>
      </x:c>
      <x:c r="C35" s="19" t="str">
        <x:v>2999000093953</x:v>
      </x:c>
      <x:c r="D35" s="22" t="str">
        <x:v>iPad Z-Fold Case Pro 11inch 2024 Purple</x:v>
      </x:c>
      <x:c r="E35" s="22" t="str">
        <x:v>Z-Fold Case for iPad Pro 11-inch (2024) - Purple</x:v>
      </x:c>
      <x:c r="F35" s="22" t="str">
        <x:v>Z-Fold Case</x:v>
      </x:c>
      <x:c r="G35" s="22" t="str">
        <x:v>Purple</x:v>
      </x:c>
      <x:c r="H35" s="22" t="str">
        <x:v>TM8-GRP-IPAD-PRO11-2024-ZFD</x:v>
      </x:c>
      <x:c r="I35" s="22" t="str">
        <x:v>Z-Fold Case for iPad Pro 11-inch (2024)</x:v>
      </x:c>
      <x:c r="J35" s="22" t="str">
        <x:v>iPad Pro 11-inch 2024</x:v>
      </x:c>
      <x:c r="K35" s="22" t="str">
        <x:v>IPAD-PRO11-2024</x:v>
      </x:c>
      <x:c r="L35" s="22" t="str">
        <x:v>iPad Pro 11-inch (2024)</x:v>
      </x:c>
      <x:c r="M35" s="22" t="str">
        <x:v>Proposed</x:v>
      </x:c>
      <x:c r="N35" s="22" t="str">
        <x:v>https://dghyt15qon7us.cloudfront.net/images/productTheme/Inventory/small/0.72361300%201727828474.jpg</x:v>
      </x:c>
      <x:c r="O35" s="22" t="str">
        <x:v>https://dghyt15qon7us.cloudfront.net/images/productTheme/Inventory/small/0.40771400%201727828444.jpg</x:v>
      </x:c>
      <x:c r="P35" s="19" t="str">
        <x:v>park-ridge</x:v>
      </x:c>
      <x:c r="Q35" s="20" t="n">
        <x:v>1</x:v>
      </x:c>
      <x:c r="R35" s="20" t="n">
        <x:f>MAX(0,Q35)</x:f>
        <x:v>1</x:v>
      </x:c>
      <x:c r="S35" s="21" t="n">
        <x:v>3</x:v>
      </x:c>
      <x:c r="T35" s="21" t="n">
        <x:f>IF(OR(F35="Hard Case",F35="Bubble Hard Case"),15,IF(F35="Twist Leather Case",5,IF(F35="Z-Fold Case",4,IFERROR(VLOOKUP(B35,'Cost Overrides'!$A$2:$B$17,2,FALSE),S35))))</x:f>
        <x:v>4</x:v>
      </x:c>
      <x:c r="U35" s="21" t="str">
        <x:f>IF(OR(F35="Hard Case",F35="Bubble Hard Case"),"Confirmed: Hard Case",IF(F35="Twist Leather Case","Confirmed: Twist Leather Case",IF(F35="Z-Fold Case","Confirmed: Z-Fold Case",IF(COUNTIF('Cost Overrides'!$A$2:$A$17,B35)&gt;0,"Confirmed: Owner cost override",IF(S35&lt;=0,"Needs cost","Source cost")))))</x:f>
        <x:v>Confirmed: Z-Fold Case</x:v>
      </x:c>
      <x:c r="V35" s="21" t="n">
        <x:v>39.95</x:v>
      </x:c>
      <x:c r="W35" s="21" t="n">
        <x:f>V35</x:f>
        <x:v>39.95</x:v>
      </x:c>
      <x:c r="X35" s="19" t="str">
        <x:v>NO</x:v>
      </x:c>
      <x:c r="Y35" s="19" t="str">
        <x:v>NO</x:v>
      </x:c>
      <x:c r="Z35" s="19" t="str">
        <x:v>42459250</x:v>
      </x:c>
      <x:c r="AA35" s="19" t="str">
        <x:v>50769790</x:v>
      </x:c>
      <x:c r="AB35" s="22" t="str">
        <x:f>IF(OR(M35&lt;&gt;"Approved",U35="Needs cost",O35=""),"Needs review","Ready after approval")</x:f>
        <x:v>Needs review</x:v>
      </x:c>
      <x:c r="AC35" s="22" t="str"/>
    </x:row>
    <x:row r="36">
      <x:c r="A36" s="19" t="str">
        <x:v>9394</x:v>
      </x:c>
      <x:c r="B36" s="19" t="str">
        <x:v>TM8-TAB-9394</x:v>
      </x:c>
      <x:c r="C36" s="19" t="str">
        <x:v>2999000093946</x:v>
      </x:c>
      <x:c r="D36" s="22" t="str">
        <x:v>iPad Z-Fold Case Pro 11inch 2024 Black</x:v>
      </x:c>
      <x:c r="E36" s="22" t="str">
        <x:v>Z-Fold Case for iPad Pro 11-inch (2024) - Black</x:v>
      </x:c>
      <x:c r="F36" s="22" t="str">
        <x:v>Z-Fold Case</x:v>
      </x:c>
      <x:c r="G36" s="22" t="str">
        <x:v>Black</x:v>
      </x:c>
      <x:c r="H36" s="22" t="str">
        <x:v>TM8-GRP-IPAD-PRO11-2024-ZFD</x:v>
      </x:c>
      <x:c r="I36" s="22" t="str">
        <x:v>Z-Fold Case for iPad Pro 11-inch (2024)</x:v>
      </x:c>
      <x:c r="J36" s="22" t="str">
        <x:v>iPad Pro 11-inch 2024</x:v>
      </x:c>
      <x:c r="K36" s="22" t="str">
        <x:v>IPAD-PRO11-2024</x:v>
      </x:c>
      <x:c r="L36" s="22" t="str">
        <x:v>iPad Pro 11-inch (2024)</x:v>
      </x:c>
      <x:c r="M36" s="22" t="str">
        <x:v>Proposed</x:v>
      </x:c>
      <x:c r="N36" s="22" t="str">
        <x:v>https://dghyt15qon7us.cloudfront.net/images/productTheme/Inventory/small/0.40771400%201727828444.jpg</x:v>
      </x:c>
      <x:c r="O36" s="22" t="str">
        <x:v>https://dghyt15qon7us.cloudfront.net/images/productTheme/Inventory/small/0.40771400%201727828444.jpg</x:v>
      </x:c>
      <x:c r="P36" s="19" t="str">
        <x:v>park-ridge</x:v>
      </x:c>
      <x:c r="Q36" s="20" t="n">
        <x:v>1</x:v>
      </x:c>
      <x:c r="R36" s="20" t="n">
        <x:f>MAX(0,Q36)</x:f>
        <x:v>1</x:v>
      </x:c>
      <x:c r="S36" s="21" t="n">
        <x:v>3</x:v>
      </x:c>
      <x:c r="T36" s="21" t="n">
        <x:f>IF(OR(F36="Hard Case",F36="Bubble Hard Case"),15,IF(F36="Twist Leather Case",5,IF(F36="Z-Fold Case",4,IFERROR(VLOOKUP(B36,'Cost Overrides'!$A$2:$B$17,2,FALSE),S36))))</x:f>
        <x:v>4</x:v>
      </x:c>
      <x:c r="U36" s="21" t="str">
        <x:f>IF(OR(F36="Hard Case",F36="Bubble Hard Case"),"Confirmed: Hard Case",IF(F36="Twist Leather Case","Confirmed: Twist Leather Case",IF(F36="Z-Fold Case","Confirmed: Z-Fold Case",IF(COUNTIF('Cost Overrides'!$A$2:$A$17,B36)&gt;0,"Confirmed: Owner cost override",IF(S36&lt;=0,"Needs cost","Source cost")))))</x:f>
        <x:v>Confirmed: Z-Fold Case</x:v>
      </x:c>
      <x:c r="V36" s="21" t="n">
        <x:v>39.95</x:v>
      </x:c>
      <x:c r="W36" s="21" t="n">
        <x:f>V36</x:f>
        <x:v>39.95</x:v>
      </x:c>
      <x:c r="X36" s="19" t="str">
        <x:v>NO</x:v>
      </x:c>
      <x:c r="Y36" s="19" t="str">
        <x:v>NO</x:v>
      </x:c>
      <x:c r="Z36" s="19" t="str">
        <x:v>42459247</x:v>
      </x:c>
      <x:c r="AA36" s="19" t="str">
        <x:v>50769781</x:v>
      </x:c>
      <x:c r="AB36" s="22" t="str">
        <x:f>IF(OR(M36&lt;&gt;"Approved",U36="Needs cost",O36=""),"Needs review","Ready after approval")</x:f>
        <x:v>Needs review</x:v>
      </x:c>
      <x:c r="AC36" s="22" t="str"/>
    </x:row>
    <x:row r="37">
      <x:c r="A37" s="19" t="str">
        <x:v>9393</x:v>
      </x:c>
      <x:c r="B37" s="19" t="str">
        <x:v>TM8-TAB-9393</x:v>
      </x:c>
      <x:c r="C37" s="19" t="str">
        <x:v>2999000093939</x:v>
      </x:c>
      <x:c r="D37" s="22" t="str">
        <x:v>iPad Z-Fold Case Pro 11inch 2024 Pink</x:v>
      </x:c>
      <x:c r="E37" s="22" t="str">
        <x:v>Z-Fold Case for iPad Pro 11-inch (2024) - Pink</x:v>
      </x:c>
      <x:c r="F37" s="22" t="str">
        <x:v>Z-Fold Case</x:v>
      </x:c>
      <x:c r="G37" s="22" t="str">
        <x:v>Pink</x:v>
      </x:c>
      <x:c r="H37" s="22" t="str">
        <x:v>TM8-GRP-IPAD-PRO11-2024-ZFD</x:v>
      </x:c>
      <x:c r="I37" s="22" t="str">
        <x:v>Z-Fold Case for iPad Pro 11-inch (2024)</x:v>
      </x:c>
      <x:c r="J37" s="22" t="str">
        <x:v>iPad Pro 11-inch 2024</x:v>
      </x:c>
      <x:c r="K37" s="22" t="str">
        <x:v>IPAD-PRO11-2024</x:v>
      </x:c>
      <x:c r="L37" s="22" t="str">
        <x:v>iPad Pro 11-inch (2024)</x:v>
      </x:c>
      <x:c r="M37" s="22" t="str">
        <x:v>Proposed</x:v>
      </x:c>
      <x:c r="N37" s="22" t="str">
        <x:v>https://dghyt15qon7us.cloudfront.net/images/productTheme/Inventory/small/0.65695100%201727828426.jpg</x:v>
      </x:c>
      <x:c r="O37" s="22" t="str">
        <x:v>https://dghyt15qon7us.cloudfront.net/images/productTheme/Inventory/small/0.40771400%201727828444.jpg</x:v>
      </x:c>
      <x:c r="P37" s="19" t="str">
        <x:v>park-ridge</x:v>
      </x:c>
      <x:c r="Q37" s="20" t="n">
        <x:v>2</x:v>
      </x:c>
      <x:c r="R37" s="20" t="n">
        <x:f>MAX(0,Q37)</x:f>
        <x:v>2</x:v>
      </x:c>
      <x:c r="S37" s="21" t="n">
        <x:v>3</x:v>
      </x:c>
      <x:c r="T37" s="21" t="n">
        <x:f>IF(OR(F37="Hard Case",F37="Bubble Hard Case"),15,IF(F37="Twist Leather Case",5,IF(F37="Z-Fold Case",4,IFERROR(VLOOKUP(B37,'Cost Overrides'!$A$2:$B$17,2,FALSE),S37))))</x:f>
        <x:v>4</x:v>
      </x:c>
      <x:c r="U37" s="21" t="str">
        <x:f>IF(OR(F37="Hard Case",F37="Bubble Hard Case"),"Confirmed: Hard Case",IF(F37="Twist Leather Case","Confirmed: Twist Leather Case",IF(F37="Z-Fold Case","Confirmed: Z-Fold Case",IF(COUNTIF('Cost Overrides'!$A$2:$A$17,B37)&gt;0,"Confirmed: Owner cost override",IF(S37&lt;=0,"Needs cost","Source cost")))))</x:f>
        <x:v>Confirmed: Z-Fold Case</x:v>
      </x:c>
      <x:c r="V37" s="21" t="n">
        <x:v>39.95</x:v>
      </x:c>
      <x:c r="W37" s="21" t="n">
        <x:f>V37</x:f>
        <x:v>39.95</x:v>
      </x:c>
      <x:c r="X37" s="19" t="str">
        <x:v>NO</x:v>
      </x:c>
      <x:c r="Y37" s="19" t="str">
        <x:v>NO</x:v>
      </x:c>
      <x:c r="Z37" s="19" t="str">
        <x:v>42459244</x:v>
      </x:c>
      <x:c r="AA37" s="19" t="str">
        <x:v>50769772</x:v>
      </x:c>
      <x:c r="AB37" s="22" t="str">
        <x:f>IF(OR(M37&lt;&gt;"Approved",U37="Needs cost",O37=""),"Needs review","Ready after approval")</x:f>
        <x:v>Needs review</x:v>
      </x:c>
      <x:c r="AC37" s="22" t="str"/>
    </x:row>
    <x:row r="38">
      <x:c r="A38" s="19" t="str">
        <x:v>9392</x:v>
      </x:c>
      <x:c r="B38" s="19" t="str">
        <x:v>TM8-TAB-9392</x:v>
      </x:c>
      <x:c r="C38" s="19" t="str">
        <x:v>2999000093922</x:v>
      </x:c>
      <x:c r="D38" s="22" t="str">
        <x:v>iPad Z-Fold Case Pro 11inch 2024 Sky Blue</x:v>
      </x:c>
      <x:c r="E38" s="22" t="str">
        <x:v>Z-Fold Case for iPad Pro 11-inch (2024) - Sky Blue</x:v>
      </x:c>
      <x:c r="F38" s="22" t="str">
        <x:v>Z-Fold Case</x:v>
      </x:c>
      <x:c r="G38" s="22" t="str">
        <x:v>Sky Blue</x:v>
      </x:c>
      <x:c r="H38" s="22" t="str">
        <x:v>TM8-GRP-IPAD-PRO11-2024-ZFD</x:v>
      </x:c>
      <x:c r="I38" s="22" t="str">
        <x:v>Z-Fold Case for iPad Pro 11-inch (2024)</x:v>
      </x:c>
      <x:c r="J38" s="22" t="str">
        <x:v>iPad Pro 11-inch 2024</x:v>
      </x:c>
      <x:c r="K38" s="22" t="str">
        <x:v>IPAD-PRO11-2024</x:v>
      </x:c>
      <x:c r="L38" s="22" t="str">
        <x:v>iPad Pro 11-inch (2024)</x:v>
      </x:c>
      <x:c r="M38" s="22" t="str">
        <x:v>Proposed</x:v>
      </x:c>
      <x:c r="N38" s="22" t="str">
        <x:v>https://dghyt15qon7us.cloudfront.net/images/productTheme/Inventory/small/0.43448400%20172782850142459241.jpg</x:v>
      </x:c>
      <x:c r="O38" s="22" t="str">
        <x:v>https://dghyt15qon7us.cloudfront.net/images/productTheme/Inventory/small/0.40771400%201727828444.jpg</x:v>
      </x:c>
      <x:c r="P38" s="19" t="str">
        <x:v>park-ridge</x:v>
      </x:c>
      <x:c r="Q38" s="20" t="n">
        <x:v>2</x:v>
      </x:c>
      <x:c r="R38" s="20" t="n">
        <x:f>MAX(0,Q38)</x:f>
        <x:v>2</x:v>
      </x:c>
      <x:c r="S38" s="21" t="n">
        <x:v>3</x:v>
      </x:c>
      <x:c r="T38" s="21" t="n">
        <x:f>IF(OR(F38="Hard Case",F38="Bubble Hard Case"),15,IF(F38="Twist Leather Case",5,IF(F38="Z-Fold Case",4,IFERROR(VLOOKUP(B38,'Cost Overrides'!$A$2:$B$17,2,FALSE),S38))))</x:f>
        <x:v>4</x:v>
      </x:c>
      <x:c r="U38" s="21" t="str">
        <x:f>IF(OR(F38="Hard Case",F38="Bubble Hard Case"),"Confirmed: Hard Case",IF(F38="Twist Leather Case","Confirmed: Twist Leather Case",IF(F38="Z-Fold Case","Confirmed: Z-Fold Case",IF(COUNTIF('Cost Overrides'!$A$2:$A$17,B38)&gt;0,"Confirmed: Owner cost override",IF(S38&lt;=0,"Needs cost","Source cost")))))</x:f>
        <x:v>Confirmed: Z-Fold Case</x:v>
      </x:c>
      <x:c r="V38" s="21" t="n">
        <x:v>39.95</x:v>
      </x:c>
      <x:c r="W38" s="21" t="n">
        <x:f>V38</x:f>
        <x:v>39.95</x:v>
      </x:c>
      <x:c r="X38" s="19" t="str">
        <x:v>NO</x:v>
      </x:c>
      <x:c r="Y38" s="19" t="str">
        <x:v>NO</x:v>
      </x:c>
      <x:c r="Z38" s="19" t="str">
        <x:v>42459241</x:v>
      </x:c>
      <x:c r="AA38" s="19" t="str">
        <x:v>50769763</x:v>
      </x:c>
      <x:c r="AB38" s="22" t="str">
        <x:f>IF(OR(M38&lt;&gt;"Approved",U38="Needs cost",O38=""),"Needs review","Ready after approval")</x:f>
        <x:v>Needs review</x:v>
      </x:c>
      <x:c r="AC38" s="22" t="str"/>
    </x:row>
    <x:row r="39">
      <x:c r="A39" s="19" t="str">
        <x:v>9391</x:v>
      </x:c>
      <x:c r="B39" s="19" t="str">
        <x:v>TM8-TAB-9391</x:v>
      </x:c>
      <x:c r="C39" s="19" t="str">
        <x:v>2999000093915</x:v>
      </x:c>
      <x:c r="D39" s="22" t="str">
        <x:v>iPad Z-Fold Case Pro 11inch 2024 Green</x:v>
      </x:c>
      <x:c r="E39" s="22" t="str">
        <x:v>Z-Fold Case for iPad Pro 11-inch (2024) - Green</x:v>
      </x:c>
      <x:c r="F39" s="22" t="str">
        <x:v>Z-Fold Case</x:v>
      </x:c>
      <x:c r="G39" s="22" t="str">
        <x:v>Green</x:v>
      </x:c>
      <x:c r="H39" s="22" t="str">
        <x:v>TM8-GRP-IPAD-PRO11-2024-ZFD</x:v>
      </x:c>
      <x:c r="I39" s="22" t="str">
        <x:v>Z-Fold Case for iPad Pro 11-inch (2024)</x:v>
      </x:c>
      <x:c r="J39" s="22" t="str">
        <x:v>iPad Pro 11-inch 2024</x:v>
      </x:c>
      <x:c r="K39" s="22" t="str">
        <x:v>IPAD-PRO11-2024</x:v>
      </x:c>
      <x:c r="L39" s="22" t="str">
        <x:v>iPad Pro 11-inch (2024)</x:v>
      </x:c>
      <x:c r="M39" s="22" t="str">
        <x:v>Proposed</x:v>
      </x:c>
      <x:c r="N39" s="22" t="str">
        <x:v>https://dghyt15qon7us.cloudfront.net/images/productTheme/Inventory/small/0.12889300%201727828353.jpg</x:v>
      </x:c>
      <x:c r="O39" s="22" t="str">
        <x:v>https://dghyt15qon7us.cloudfront.net/images/productTheme/Inventory/small/0.40771400%201727828444.jpg</x:v>
      </x:c>
      <x:c r="P39" s="19" t="str">
        <x:v>park-ridge</x:v>
      </x:c>
      <x:c r="Q39" s="20" t="n">
        <x:v>1</x:v>
      </x:c>
      <x:c r="R39" s="20" t="n">
        <x:f>MAX(0,Q39)</x:f>
        <x:v>1</x:v>
      </x:c>
      <x:c r="S39" s="21" t="n">
        <x:v>3</x:v>
      </x:c>
      <x:c r="T39" s="21" t="n">
        <x:f>IF(OR(F39="Hard Case",F39="Bubble Hard Case"),15,IF(F39="Twist Leather Case",5,IF(F39="Z-Fold Case",4,IFERROR(VLOOKUP(B39,'Cost Overrides'!$A$2:$B$17,2,FALSE),S39))))</x:f>
        <x:v>4</x:v>
      </x:c>
      <x:c r="U39" s="21" t="str">
        <x:f>IF(OR(F39="Hard Case",F39="Bubble Hard Case"),"Confirmed: Hard Case",IF(F39="Twist Leather Case","Confirmed: Twist Leather Case",IF(F39="Z-Fold Case","Confirmed: Z-Fold Case",IF(COUNTIF('Cost Overrides'!$A$2:$A$17,B39)&gt;0,"Confirmed: Owner cost override",IF(S39&lt;=0,"Needs cost","Source cost")))))</x:f>
        <x:v>Confirmed: Z-Fold Case</x:v>
      </x:c>
      <x:c r="V39" s="21" t="n">
        <x:v>39.95</x:v>
      </x:c>
      <x:c r="W39" s="21" t="n">
        <x:f>V39</x:f>
        <x:v>39.95</x:v>
      </x:c>
      <x:c r="X39" s="19" t="str">
        <x:v>NO</x:v>
      </x:c>
      <x:c r="Y39" s="19" t="str">
        <x:v>NO</x:v>
      </x:c>
      <x:c r="Z39" s="19" t="str">
        <x:v>42459238</x:v>
      </x:c>
      <x:c r="AA39" s="19" t="str">
        <x:v>50769754</x:v>
      </x:c>
      <x:c r="AB39" s="22" t="str">
        <x:f>IF(OR(M39&lt;&gt;"Approved",U39="Needs cost",O39=""),"Needs review","Ready after approval")</x:f>
        <x:v>Needs review</x:v>
      </x:c>
      <x:c r="AC39" s="22" t="str"/>
    </x:row>
    <x:row r="40">
      <x:c r="A40" s="19" t="str">
        <x:v>9301</x:v>
      </x:c>
      <x:c r="B40" s="19" t="str">
        <x:v>TM8-TAB-9301</x:v>
      </x:c>
      <x:c r="C40" s="19" t="str">
        <x:v>2999000093014</x:v>
      </x:c>
      <x:c r="D40" s="22" t="str">
        <x:v>iPad Air 6 13-inch Hard Case Pink</x:v>
      </x:c>
      <x:c r="E40" s="22" t="str">
        <x:v>Hard Case for iPad Air 13-inch (2024) - Pink</x:v>
      </x:c>
      <x:c r="F40" s="22" t="str">
        <x:v>Hard Case</x:v>
      </x:c>
      <x:c r="G40" s="22" t="str">
        <x:v>Pink</x:v>
      </x:c>
      <x:c r="H40" s="22" t="str">
        <x:v>TM8-GRP-IPAD-AIR13-2024-HDC</x:v>
      </x:c>
      <x:c r="I40" s="22" t="str">
        <x:v>Hard Case for iPad Air 13-inch (2024)</x:v>
      </x:c>
      <x:c r="J40" s="22" t="str">
        <x:v>iPad Air 13-inch 2024 (Air 6)</x:v>
      </x:c>
      <x:c r="K40" s="22" t="str">
        <x:v>IPAD-AIR13-2024</x:v>
      </x:c>
      <x:c r="L40" s="22" t="str">
        <x:v>iPad Air 13-inch (2024)</x:v>
      </x:c>
      <x:c r="M40" s="22" t="str">
        <x:v>Proposed</x:v>
      </x:c>
      <x:c r="N40" s="22" t="str">
        <x:v>https://dghyt15qon7us.cloudfront.net/images/productTheme/Inventory/small/0.55778300%201723696280.jpg</x:v>
      </x:c>
      <x:c r="O40" s="22" t="str">
        <x:v>https://dghyt15qon7us.cloudfront.net/images/productTheme/Inventory/small/0.43178600%201723696223.jpg</x:v>
      </x:c>
      <x:c r="P40" s="19" t="str">
        <x:v>park-ridge</x:v>
      </x:c>
      <x:c r="Q40" s="20" t="n">
        <x:v>1</x:v>
      </x:c>
      <x:c r="R40" s="20" t="n">
        <x:f>MAX(0,Q40)</x:f>
        <x:v>1</x:v>
      </x:c>
      <x:c r="S40" s="21" t="n">
        <x:v>15</x:v>
      </x:c>
      <x:c r="T40" s="21" t="n">
        <x:f>IF(OR(F40="Hard Case",F40="Bubble Hard Case"),15,IF(F40="Twist Leather Case",5,IF(F40="Z-Fold Case",4,IFERROR(VLOOKUP(B40,'Cost Overrides'!$A$2:$B$17,2,FALSE),S40))))</x:f>
        <x:v>15</x:v>
      </x:c>
      <x:c r="U40" s="21" t="str">
        <x:f>IF(OR(F40="Hard Case",F40="Bubble Hard Case"),"Confirmed: Hard Case",IF(F40="Twist Leather Case","Confirmed: Twist Leather Case",IF(F40="Z-Fold Case","Confirmed: Z-Fold Case",IF(COUNTIF('Cost Overrides'!$A$2:$A$17,B40)&gt;0,"Confirmed: Owner cost override",IF(S40&lt;=0,"Needs cost","Source cost")))))</x:f>
        <x:v>Confirmed: Hard Case</x:v>
      </x:c>
      <x:c r="V40" s="21" t="n">
        <x:v>49.95</x:v>
      </x:c>
      <x:c r="W40" s="21" t="n">
        <x:f>V40</x:f>
        <x:v>49.95</x:v>
      </x:c>
      <x:c r="X40" s="19" t="str">
        <x:v>NO</x:v>
      </x:c>
      <x:c r="Y40" s="19" t="str">
        <x:v>NO</x:v>
      </x:c>
      <x:c r="Z40" s="19" t="str">
        <x:v>42459020</x:v>
      </x:c>
      <x:c r="AA40" s="19" t="str">
        <x:v>50769106</x:v>
      </x:c>
      <x:c r="AB40" s="22" t="str">
        <x:f>IF(OR(M40&lt;&gt;"Approved",U40="Needs cost",O40=""),"Needs review","Ready after approval")</x:f>
        <x:v>Needs review</x:v>
      </x:c>
      <x:c r="AC40" s="22" t="str"/>
    </x:row>
    <x:row r="41">
      <x:c r="A41" s="19" t="str">
        <x:v>9300</x:v>
      </x:c>
      <x:c r="B41" s="19" t="str">
        <x:v>TM8-TAB-9300</x:v>
      </x:c>
      <x:c r="C41" s="19" t="str">
        <x:v>2999000093007</x:v>
      </x:c>
      <x:c r="D41" s="22" t="str">
        <x:v>iPad Air 6 13-inch Hard Case Blue</x:v>
      </x:c>
      <x:c r="E41" s="22" t="str">
        <x:v>Hard Case for iPad Air 13-inch (2024) - Blue</x:v>
      </x:c>
      <x:c r="F41" s="22" t="str">
        <x:v>Hard Case</x:v>
      </x:c>
      <x:c r="G41" s="22" t="str">
        <x:v>Blue</x:v>
      </x:c>
      <x:c r="H41" s="22" t="str">
        <x:v>TM8-GRP-IPAD-AIR13-2024-HDC</x:v>
      </x:c>
      <x:c r="I41" s="22" t="str">
        <x:v>Hard Case for iPad Air 13-inch (2024)</x:v>
      </x:c>
      <x:c r="J41" s="22" t="str">
        <x:v>iPad Air 13-inch 2024 (Air 6)</x:v>
      </x:c>
      <x:c r="K41" s="22" t="str">
        <x:v>IPAD-AIR13-2024</x:v>
      </x:c>
      <x:c r="L41" s="22" t="str">
        <x:v>iPad Air 13-inch (2024)</x:v>
      </x:c>
      <x:c r="M41" s="22" t="str">
        <x:v>Proposed</x:v>
      </x:c>
      <x:c r="N41" s="22" t="str">
        <x:v>https://dghyt15qon7us.cloudfront.net/images/productTheme/Inventory/small/0.47920400%201723696266.jpg</x:v>
      </x:c>
      <x:c r="O41" s="22" t="str">
        <x:v>https://dghyt15qon7us.cloudfront.net/images/productTheme/Inventory/small/0.43178600%201723696223.jpg</x:v>
      </x:c>
      <x:c r="P41" s="19" t="str">
        <x:v>park-ridge</x:v>
      </x:c>
      <x:c r="Q41" s="20" t="n">
        <x:v>2</x:v>
      </x:c>
      <x:c r="R41" s="20" t="n">
        <x:f>MAX(0,Q41)</x:f>
        <x:v>2</x:v>
      </x:c>
      <x:c r="S41" s="21" t="n">
        <x:v>15</x:v>
      </x:c>
      <x:c r="T41" s="21" t="n">
        <x:f>IF(OR(F41="Hard Case",F41="Bubble Hard Case"),15,IF(F41="Twist Leather Case",5,IF(F41="Z-Fold Case",4,IFERROR(VLOOKUP(B41,'Cost Overrides'!$A$2:$B$17,2,FALSE),S41))))</x:f>
        <x:v>15</x:v>
      </x:c>
      <x:c r="U41" s="21" t="str">
        <x:f>IF(OR(F41="Hard Case",F41="Bubble Hard Case"),"Confirmed: Hard Case",IF(F41="Twist Leather Case","Confirmed: Twist Leather Case",IF(F41="Z-Fold Case","Confirmed: Z-Fold Case",IF(COUNTIF('Cost Overrides'!$A$2:$A$17,B41)&gt;0,"Confirmed: Owner cost override",IF(S41&lt;=0,"Needs cost","Source cost")))))</x:f>
        <x:v>Confirmed: Hard Case</x:v>
      </x:c>
      <x:c r="V41" s="21" t="n">
        <x:v>49.95</x:v>
      </x:c>
      <x:c r="W41" s="21" t="n">
        <x:f>V41</x:f>
        <x:v>49.95</x:v>
      </x:c>
      <x:c r="X41" s="19" t="str">
        <x:v>NO</x:v>
      </x:c>
      <x:c r="Y41" s="19" t="str">
        <x:v>NO</x:v>
      </x:c>
      <x:c r="Z41" s="19" t="str">
        <x:v>42459019</x:v>
      </x:c>
      <x:c r="AA41" s="19" t="str">
        <x:v>50769103</x:v>
      </x:c>
      <x:c r="AB41" s="22" t="str">
        <x:f>IF(OR(M41&lt;&gt;"Approved",U41="Needs cost",O41=""),"Needs review","Ready after approval")</x:f>
        <x:v>Needs review</x:v>
      </x:c>
      <x:c r="AC41" s="22" t="str"/>
    </x:row>
    <x:row r="42">
      <x:c r="A42" s="19" t="str">
        <x:v>9299</x:v>
      </x:c>
      <x:c r="B42" s="19" t="str">
        <x:v>TM8-TAB-9299</x:v>
      </x:c>
      <x:c r="C42" s="19" t="str">
        <x:v>2999000092994</x:v>
      </x:c>
      <x:c r="D42" s="22" t="str">
        <x:v>iPad Air 6 13-inch Hard Case Red</x:v>
      </x:c>
      <x:c r="E42" s="22" t="str">
        <x:v>Hard Case for iPad Air 13-inch (2024) - Red</x:v>
      </x:c>
      <x:c r="F42" s="22" t="str">
        <x:v>Hard Case</x:v>
      </x:c>
      <x:c r="G42" s="22" t="str">
        <x:v>Red</x:v>
      </x:c>
      <x:c r="H42" s="22" t="str">
        <x:v>TM8-GRP-IPAD-AIR13-2024-HDC</x:v>
      </x:c>
      <x:c r="I42" s="22" t="str">
        <x:v>Hard Case for iPad Air 13-inch (2024)</x:v>
      </x:c>
      <x:c r="J42" s="22" t="str">
        <x:v>iPad Air 13-inch 2024 (Air 6)</x:v>
      </x:c>
      <x:c r="K42" s="22" t="str">
        <x:v>IPAD-AIR13-2024</x:v>
      </x:c>
      <x:c r="L42" s="22" t="str">
        <x:v>iPad Air 13-inch (2024)</x:v>
      </x:c>
      <x:c r="M42" s="22" t="str">
        <x:v>Proposed</x:v>
      </x:c>
      <x:c r="N42" s="22" t="str">
        <x:v>https://dghyt15qon7us.cloudfront.net/images/productTheme/Inventory/small/0.12352600%201723696252.jpg</x:v>
      </x:c>
      <x:c r="O42" s="22" t="str">
        <x:v>https://dghyt15qon7us.cloudfront.net/images/productTheme/Inventory/small/0.43178600%201723696223.jpg</x:v>
      </x:c>
      <x:c r="P42" s="19" t="str">
        <x:v>park-ridge</x:v>
      </x:c>
      <x:c r="Q42" s="20" t="n">
        <x:v>2</x:v>
      </x:c>
      <x:c r="R42" s="20" t="n">
        <x:f>MAX(0,Q42)</x:f>
        <x:v>2</x:v>
      </x:c>
      <x:c r="S42" s="21" t="n">
        <x:v>15</x:v>
      </x:c>
      <x:c r="T42" s="21" t="n">
        <x:f>IF(OR(F42="Hard Case",F42="Bubble Hard Case"),15,IF(F42="Twist Leather Case",5,IF(F42="Z-Fold Case",4,IFERROR(VLOOKUP(B42,'Cost Overrides'!$A$2:$B$17,2,FALSE),S42))))</x:f>
        <x:v>15</x:v>
      </x:c>
      <x:c r="U42" s="21" t="str">
        <x:f>IF(OR(F42="Hard Case",F42="Bubble Hard Case"),"Confirmed: Hard Case",IF(F42="Twist Leather Case","Confirmed: Twist Leather Case",IF(F42="Z-Fold Case","Confirmed: Z-Fold Case",IF(COUNTIF('Cost Overrides'!$A$2:$A$17,B42)&gt;0,"Confirmed: Owner cost override",IF(S42&lt;=0,"Needs cost","Source cost")))))</x:f>
        <x:v>Confirmed: Hard Case</x:v>
      </x:c>
      <x:c r="V42" s="21" t="n">
        <x:v>49.95</x:v>
      </x:c>
      <x:c r="W42" s="21" t="n">
        <x:f>V42</x:f>
        <x:v>49.95</x:v>
      </x:c>
      <x:c r="X42" s="19" t="str">
        <x:v>NO</x:v>
      </x:c>
      <x:c r="Y42" s="19" t="str">
        <x:v>NO</x:v>
      </x:c>
      <x:c r="Z42" s="19" t="str">
        <x:v>42459018</x:v>
      </x:c>
      <x:c r="AA42" s="19" t="str">
        <x:v>50769100</x:v>
      </x:c>
      <x:c r="AB42" s="22" t="str">
        <x:f>IF(OR(M42&lt;&gt;"Approved",U42="Needs cost",O42=""),"Needs review","Ready after approval")</x:f>
        <x:v>Needs review</x:v>
      </x:c>
      <x:c r="AC42" s="22" t="str"/>
    </x:row>
    <x:row r="43">
      <x:c r="A43" s="19" t="str">
        <x:v>9298</x:v>
      </x:c>
      <x:c r="B43" s="19" t="str">
        <x:v>TM8-TAB-9298</x:v>
      </x:c>
      <x:c r="C43" s="19" t="str">
        <x:v>2999000092987</x:v>
      </x:c>
      <x:c r="D43" s="22" t="str">
        <x:v>iPad Air 6 13-inch Hard Case Black</x:v>
      </x:c>
      <x:c r="E43" s="22" t="str">
        <x:v>Hard Case for iPad Air 13-inch (2024) - Black</x:v>
      </x:c>
      <x:c r="F43" s="22" t="str">
        <x:v>Hard Case</x:v>
      </x:c>
      <x:c r="G43" s="22" t="str">
        <x:v>Black</x:v>
      </x:c>
      <x:c r="H43" s="22" t="str">
        <x:v>TM8-GRP-IPAD-AIR13-2024-HDC</x:v>
      </x:c>
      <x:c r="I43" s="22" t="str">
        <x:v>Hard Case for iPad Air 13-inch (2024)</x:v>
      </x:c>
      <x:c r="J43" s="22" t="str">
        <x:v>iPad Air 13-inch 2024 (Air 6)</x:v>
      </x:c>
      <x:c r="K43" s="22" t="str">
        <x:v>IPAD-AIR13-2024</x:v>
      </x:c>
      <x:c r="L43" s="22" t="str">
        <x:v>iPad Air 13-inch (2024)</x:v>
      </x:c>
      <x:c r="M43" s="22" t="str">
        <x:v>Proposed</x:v>
      </x:c>
      <x:c r="N43" s="22" t="str">
        <x:v>https://dghyt15qon7us.cloudfront.net/images/productTheme/Inventory/small/0.43178600%201723696223.jpg</x:v>
      </x:c>
      <x:c r="O43" s="22" t="str">
        <x:v>https://dghyt15qon7us.cloudfront.net/images/productTheme/Inventory/small/0.43178600%201723696223.jpg</x:v>
      </x:c>
      <x:c r="P43" s="19" t="str">
        <x:v>park-ridge</x:v>
      </x:c>
      <x:c r="Q43" s="20" t="n">
        <x:v>0</x:v>
      </x:c>
      <x:c r="R43" s="20" t="n">
        <x:f>MAX(0,Q43)</x:f>
        <x:v>0</x:v>
      </x:c>
      <x:c r="S43" s="21" t="n">
        <x:v>15</x:v>
      </x:c>
      <x:c r="T43" s="21" t="n">
        <x:f>IF(OR(F43="Hard Case",F43="Bubble Hard Case"),15,IF(F43="Twist Leather Case",5,IF(F43="Z-Fold Case",4,IFERROR(VLOOKUP(B43,'Cost Overrides'!$A$2:$B$17,2,FALSE),S43))))</x:f>
        <x:v>15</x:v>
      </x:c>
      <x:c r="U43" s="21" t="str">
        <x:f>IF(OR(F43="Hard Case",F43="Bubble Hard Case"),"Confirmed: Hard Case",IF(F43="Twist Leather Case","Confirmed: Twist Leather Case",IF(F43="Z-Fold Case","Confirmed: Z-Fold Case",IF(COUNTIF('Cost Overrides'!$A$2:$A$17,B43)&gt;0,"Confirmed: Owner cost override",IF(S43&lt;=0,"Needs cost","Source cost")))))</x:f>
        <x:v>Confirmed: Hard Case</x:v>
      </x:c>
      <x:c r="V43" s="21" t="n">
        <x:v>49.95</x:v>
      </x:c>
      <x:c r="W43" s="21" t="n">
        <x:f>V43</x:f>
        <x:v>49.95</x:v>
      </x:c>
      <x:c r="X43" s="19" t="str">
        <x:v>NO</x:v>
      </x:c>
      <x:c r="Y43" s="19" t="str">
        <x:v>NO</x:v>
      </x:c>
      <x:c r="Z43" s="19" t="str">
        <x:v>42459017</x:v>
      </x:c>
      <x:c r="AA43" s="19" t="str">
        <x:v>50769097</x:v>
      </x:c>
      <x:c r="AB43" s="22" t="str">
        <x:f>IF(OR(M43&lt;&gt;"Approved",U43="Needs cost",O43=""),"Needs review","Ready after approval")</x:f>
        <x:v>Needs review</x:v>
      </x:c>
      <x:c r="AC43" s="22" t="str"/>
    </x:row>
    <x:row r="44">
      <x:c r="A44" s="19" t="str">
        <x:v>9297</x:v>
      </x:c>
      <x:c r="B44" s="19" t="str">
        <x:v>TM8-TAB-9297</x:v>
      </x:c>
      <x:c r="C44" s="19" t="str">
        <x:v>2999000092970</x:v>
      </x:c>
      <x:c r="D44" s="22" t="str">
        <x:v>iPad Air 6 13-inch Hard Case Purple</x:v>
      </x:c>
      <x:c r="E44" s="22" t="str">
        <x:v>Hard Case for iPad Air 13-inch (2024) - Purple</x:v>
      </x:c>
      <x:c r="F44" s="22" t="str">
        <x:v>Hard Case</x:v>
      </x:c>
      <x:c r="G44" s="22" t="str">
        <x:v>Purple</x:v>
      </x:c>
      <x:c r="H44" s="22" t="str">
        <x:v>TM8-GRP-IPAD-AIR13-2024-HDC</x:v>
      </x:c>
      <x:c r="I44" s="22" t="str">
        <x:v>Hard Case for iPad Air 13-inch (2024)</x:v>
      </x:c>
      <x:c r="J44" s="22" t="str">
        <x:v>iPad Air 13-inch 2024 (Air 6)</x:v>
      </x:c>
      <x:c r="K44" s="22" t="str">
        <x:v>IPAD-AIR13-2024</x:v>
      </x:c>
      <x:c r="L44" s="22" t="str">
        <x:v>iPad Air 13-inch (2024)</x:v>
      </x:c>
      <x:c r="M44" s="22" t="str">
        <x:v>Proposed</x:v>
      </x:c>
      <x:c r="N44" s="22" t="str">
        <x:v>https://dghyt15qon7us.cloudfront.net/images/productTheme/Inventory/small/0.67979500%201723696196.jpg</x:v>
      </x:c>
      <x:c r="O44" s="22" t="str">
        <x:v>https://dghyt15qon7us.cloudfront.net/images/productTheme/Inventory/small/0.43178600%201723696223.jpg</x:v>
      </x:c>
      <x:c r="P44" s="19" t="str">
        <x:v>park-ridge</x:v>
      </x:c>
      <x:c r="Q44" s="20" t="n">
        <x:v>1</x:v>
      </x:c>
      <x:c r="R44" s="20" t="n">
        <x:f>MAX(0,Q44)</x:f>
        <x:v>1</x:v>
      </x:c>
      <x:c r="S44" s="21" t="n">
        <x:v>15</x:v>
      </x:c>
      <x:c r="T44" s="21" t="n">
        <x:f>IF(OR(F44="Hard Case",F44="Bubble Hard Case"),15,IF(F44="Twist Leather Case",5,IF(F44="Z-Fold Case",4,IFERROR(VLOOKUP(B44,'Cost Overrides'!$A$2:$B$17,2,FALSE),S44))))</x:f>
        <x:v>15</x:v>
      </x:c>
      <x:c r="U44" s="21" t="str">
        <x:f>IF(OR(F44="Hard Case",F44="Bubble Hard Case"),"Confirmed: Hard Case",IF(F44="Twist Leather Case","Confirmed: Twist Leather Case",IF(F44="Z-Fold Case","Confirmed: Z-Fold Case",IF(COUNTIF('Cost Overrides'!$A$2:$A$17,B44)&gt;0,"Confirmed: Owner cost override",IF(S44&lt;=0,"Needs cost","Source cost")))))</x:f>
        <x:v>Confirmed: Hard Case</x:v>
      </x:c>
      <x:c r="V44" s="21" t="n">
        <x:v>49.95</x:v>
      </x:c>
      <x:c r="W44" s="21" t="n">
        <x:f>V44</x:f>
        <x:v>49.95</x:v>
      </x:c>
      <x:c r="X44" s="19" t="str">
        <x:v>NO</x:v>
      </x:c>
      <x:c r="Y44" s="19" t="str">
        <x:v>NO</x:v>
      </x:c>
      <x:c r="Z44" s="19" t="str">
        <x:v>42459016</x:v>
      </x:c>
      <x:c r="AA44" s="19" t="str">
        <x:v>50769094</x:v>
      </x:c>
      <x:c r="AB44" s="22" t="str">
        <x:f>IF(OR(M44&lt;&gt;"Approved",U44="Needs cost",O44=""),"Needs review","Ready after approval")</x:f>
        <x:v>Needs review</x:v>
      </x:c>
      <x:c r="AC44" s="22" t="str"/>
    </x:row>
    <x:row r="45">
      <x:c r="A45" s="19" t="str">
        <x:v>9296</x:v>
      </x:c>
      <x:c r="B45" s="19" t="str">
        <x:v>TM8-TAB-9296</x:v>
      </x:c>
      <x:c r="C45" s="19" t="str">
        <x:v>2999000092963</x:v>
      </x:c>
      <x:c r="D45" s="22" t="str">
        <x:v>iPad Air 6 11-inch Hard Case Purple</x:v>
      </x:c>
      <x:c r="E45" s="22" t="str">
        <x:v>Hard Case for iPad Air 11-inch (2024) - Purple</x:v>
      </x:c>
      <x:c r="F45" s="22" t="str">
        <x:v>Hard Case</x:v>
      </x:c>
      <x:c r="G45" s="22" t="str">
        <x:v>Purple</x:v>
      </x:c>
      <x:c r="H45" s="22" t="str">
        <x:v>TM8-GRP-IPAD-AIR11-2024-HDC</x:v>
      </x:c>
      <x:c r="I45" s="22" t="str">
        <x:v>Hard Case for iPad Air 11-inch (2024)</x:v>
      </x:c>
      <x:c r="J45" s="22" t="str">
        <x:v>iPad Air 11-inch 2024(Air 6</x:v>
      </x:c>
      <x:c r="K45" s="22" t="str">
        <x:v>IPAD-AIR11-2024</x:v>
      </x:c>
      <x:c r="L45" s="22" t="str">
        <x:v>iPad Air 11-inch (2024)</x:v>
      </x:c>
      <x:c r="M45" s="22" t="str">
        <x:v>Proposed</x:v>
      </x:c>
      <x:c r="N45" s="22" t="str">
        <x:v>https://dghyt15qon7us.cloudfront.net/images/productTheme/Inventory/small/0.47456600%201723695630.jpg</x:v>
      </x:c>
      <x:c r="O45" s="22" t="str">
        <x:v>https://dghyt15qon7us.cloudfront.net/images/productTheme/Inventory/small/0.42545700%201719884073.jpg</x:v>
      </x:c>
      <x:c r="P45" s="19" t="str">
        <x:v>park-ridge</x:v>
      </x:c>
      <x:c r="Q45" s="20" t="n">
        <x:v>1</x:v>
      </x:c>
      <x:c r="R45" s="20" t="n">
        <x:f>MAX(0,Q45)</x:f>
        <x:v>1</x:v>
      </x:c>
      <x:c r="S45" s="21" t="n">
        <x:v>15</x:v>
      </x:c>
      <x:c r="T45" s="21" t="n">
        <x:f>IF(OR(F45="Hard Case",F45="Bubble Hard Case"),15,IF(F45="Twist Leather Case",5,IF(F45="Z-Fold Case",4,IFERROR(VLOOKUP(B45,'Cost Overrides'!$A$2:$B$17,2,FALSE),S45))))</x:f>
        <x:v>15</x:v>
      </x:c>
      <x:c r="U45" s="21" t="str">
        <x:f>IF(OR(F45="Hard Case",F45="Bubble Hard Case"),"Confirmed: Hard Case",IF(F45="Twist Leather Case","Confirmed: Twist Leather Case",IF(F45="Z-Fold Case","Confirmed: Z-Fold Case",IF(COUNTIF('Cost Overrides'!$A$2:$A$17,B45)&gt;0,"Confirmed: Owner cost override",IF(S45&lt;=0,"Needs cost","Source cost")))))</x:f>
        <x:v>Confirmed: Hard Case</x:v>
      </x:c>
      <x:c r="V45" s="21" t="n">
        <x:v>49.95</x:v>
      </x:c>
      <x:c r="W45" s="21" t="n">
        <x:f>V45</x:f>
        <x:v>49.95</x:v>
      </x:c>
      <x:c r="X45" s="19" t="str">
        <x:v>NO</x:v>
      </x:c>
      <x:c r="Y45" s="19" t="str">
        <x:v>NO</x:v>
      </x:c>
      <x:c r="Z45" s="19" t="str">
        <x:v>42459015</x:v>
      </x:c>
      <x:c r="AA45" s="19" t="str">
        <x:v>50769091</x:v>
      </x:c>
      <x:c r="AB45" s="22" t="str">
        <x:f>IF(OR(M45&lt;&gt;"Approved",U45="Needs cost",O45=""),"Needs review","Ready after approval")</x:f>
        <x:v>Needs review</x:v>
      </x:c>
      <x:c r="AC45" s="22" t="str"/>
    </x:row>
    <x:row r="46">
      <x:c r="A46" s="19" t="str">
        <x:v>9295</x:v>
      </x:c>
      <x:c r="B46" s="19" t="str">
        <x:v>TM8-TAB-9295</x:v>
      </x:c>
      <x:c r="C46" s="19" t="str">
        <x:v>2999000092956</x:v>
      </x:c>
      <x:c r="D46" s="22" t="str">
        <x:v>iPad Air 6 11-inch Hard Case Blue</x:v>
      </x:c>
      <x:c r="E46" s="22" t="str">
        <x:v>Hard Case for iPad Air 11-inch (2024) - Blue</x:v>
      </x:c>
      <x:c r="F46" s="22" t="str">
        <x:v>Hard Case</x:v>
      </x:c>
      <x:c r="G46" s="22" t="str">
        <x:v>Blue</x:v>
      </x:c>
      <x:c r="H46" s="22" t="str">
        <x:v>TM8-GRP-IPAD-AIR11-2024-HDC</x:v>
      </x:c>
      <x:c r="I46" s="22" t="str">
        <x:v>Hard Case for iPad Air 11-inch (2024)</x:v>
      </x:c>
      <x:c r="J46" s="22" t="str">
        <x:v>iPad Air 11-inch 2024(Air 6</x:v>
      </x:c>
      <x:c r="K46" s="22" t="str">
        <x:v>IPAD-AIR11-2024</x:v>
      </x:c>
      <x:c r="L46" s="22" t="str">
        <x:v>iPad Air 11-inch (2024)</x:v>
      </x:c>
      <x:c r="M46" s="22" t="str">
        <x:v>Proposed</x:v>
      </x:c>
      <x:c r="N46" s="22" t="str">
        <x:v>https://dghyt15qon7us.cloudfront.net/images/productTheme/Inventory/small/0.90205000%201723695615.jpg</x:v>
      </x:c>
      <x:c r="O46" s="22" t="str">
        <x:v>https://dghyt15qon7us.cloudfront.net/images/productTheme/Inventory/small/0.42545700%201719884073.jpg</x:v>
      </x:c>
      <x:c r="P46" s="19" t="str">
        <x:v>park-ridge</x:v>
      </x:c>
      <x:c r="Q46" s="20" t="n">
        <x:v>0</x:v>
      </x:c>
      <x:c r="R46" s="20" t="n">
        <x:f>MAX(0,Q46)</x:f>
        <x:v>0</x:v>
      </x:c>
      <x:c r="S46" s="21" t="n">
        <x:v>15</x:v>
      </x:c>
      <x:c r="T46" s="21" t="n">
        <x:f>IF(OR(F46="Hard Case",F46="Bubble Hard Case"),15,IF(F46="Twist Leather Case",5,IF(F46="Z-Fold Case",4,IFERROR(VLOOKUP(B46,'Cost Overrides'!$A$2:$B$17,2,FALSE),S46))))</x:f>
        <x:v>15</x:v>
      </x:c>
      <x:c r="U46" s="21" t="str">
        <x:f>IF(OR(F46="Hard Case",F46="Bubble Hard Case"),"Confirmed: Hard Case",IF(F46="Twist Leather Case","Confirmed: Twist Leather Case",IF(F46="Z-Fold Case","Confirmed: Z-Fold Case",IF(COUNTIF('Cost Overrides'!$A$2:$A$17,B46)&gt;0,"Confirmed: Owner cost override",IF(S46&lt;=0,"Needs cost","Source cost")))))</x:f>
        <x:v>Confirmed: Hard Case</x:v>
      </x:c>
      <x:c r="V46" s="21" t="n">
        <x:v>49.95</x:v>
      </x:c>
      <x:c r="W46" s="21" t="n">
        <x:f>V46</x:f>
        <x:v>49.95</x:v>
      </x:c>
      <x:c r="X46" s="19" t="str">
        <x:v>NO</x:v>
      </x:c>
      <x:c r="Y46" s="19" t="str">
        <x:v>NO</x:v>
      </x:c>
      <x:c r="Z46" s="19" t="str">
        <x:v>42459014</x:v>
      </x:c>
      <x:c r="AA46" s="19" t="str">
        <x:v>50769088</x:v>
      </x:c>
      <x:c r="AB46" s="22" t="str">
        <x:f>IF(OR(M46&lt;&gt;"Approved",U46="Needs cost",O46=""),"Needs review","Ready after approval")</x:f>
        <x:v>Needs review</x:v>
      </x:c>
      <x:c r="AC46" s="22" t="str"/>
    </x:row>
    <x:row r="47">
      <x:c r="A47" s="19" t="str">
        <x:v>9294</x:v>
      </x:c>
      <x:c r="B47" s="19" t="str">
        <x:v>TM8-TAB-9294</x:v>
      </x:c>
      <x:c r="C47" s="19" t="str">
        <x:v>2999000092949</x:v>
      </x:c>
      <x:c r="D47" s="22" t="str">
        <x:v>iPad Air 6 11-inch Hard Case Pink</x:v>
      </x:c>
      <x:c r="E47" s="22" t="str">
        <x:v>Hard Case for iPad Air 11-inch (2024) - Pink</x:v>
      </x:c>
      <x:c r="F47" s="22" t="str">
        <x:v>Hard Case</x:v>
      </x:c>
      <x:c r="G47" s="22" t="str">
        <x:v>Pink</x:v>
      </x:c>
      <x:c r="H47" s="22" t="str">
        <x:v>TM8-GRP-IPAD-AIR11-2024-HDC</x:v>
      </x:c>
      <x:c r="I47" s="22" t="str">
        <x:v>Hard Case for iPad Air 11-inch (2024)</x:v>
      </x:c>
      <x:c r="J47" s="22" t="str">
        <x:v>iPad Air 11-inch 2024(Air 6</x:v>
      </x:c>
      <x:c r="K47" s="22" t="str">
        <x:v>IPAD-AIR11-2024</x:v>
      </x:c>
      <x:c r="L47" s="22" t="str">
        <x:v>iPad Air 11-inch (2024)</x:v>
      </x:c>
      <x:c r="M47" s="22" t="str">
        <x:v>Proposed</x:v>
      </x:c>
      <x:c r="N47" s="22" t="str">
        <x:v>https://dghyt15qon7us.cloudfront.net/images/productTheme/Inventory/small/0.39766100%201723695606.jpg</x:v>
      </x:c>
      <x:c r="O47" s="22" t="str">
        <x:v>https://dghyt15qon7us.cloudfront.net/images/productTheme/Inventory/small/0.42545700%201719884073.jpg</x:v>
      </x:c>
      <x:c r="P47" s="19" t="str">
        <x:v>park-ridge</x:v>
      </x:c>
      <x:c r="Q47" s="20" t="n">
        <x:v>1</x:v>
      </x:c>
      <x:c r="R47" s="20" t="n">
        <x:f>MAX(0,Q47)</x:f>
        <x:v>1</x:v>
      </x:c>
      <x:c r="S47" s="21" t="n">
        <x:v>15</x:v>
      </x:c>
      <x:c r="T47" s="21" t="n">
        <x:f>IF(OR(F47="Hard Case",F47="Bubble Hard Case"),15,IF(F47="Twist Leather Case",5,IF(F47="Z-Fold Case",4,IFERROR(VLOOKUP(B47,'Cost Overrides'!$A$2:$B$17,2,FALSE),S47))))</x:f>
        <x:v>15</x:v>
      </x:c>
      <x:c r="U47" s="21" t="str">
        <x:f>IF(OR(F47="Hard Case",F47="Bubble Hard Case"),"Confirmed: Hard Case",IF(F47="Twist Leather Case","Confirmed: Twist Leather Case",IF(F47="Z-Fold Case","Confirmed: Z-Fold Case",IF(COUNTIF('Cost Overrides'!$A$2:$A$17,B47)&gt;0,"Confirmed: Owner cost override",IF(S47&lt;=0,"Needs cost","Source cost")))))</x:f>
        <x:v>Confirmed: Hard Case</x:v>
      </x:c>
      <x:c r="V47" s="21" t="n">
        <x:v>49.95</x:v>
      </x:c>
      <x:c r="W47" s="21" t="n">
        <x:f>V47</x:f>
        <x:v>49.95</x:v>
      </x:c>
      <x:c r="X47" s="19" t="str">
        <x:v>NO</x:v>
      </x:c>
      <x:c r="Y47" s="19" t="str">
        <x:v>NO</x:v>
      </x:c>
      <x:c r="Z47" s="19" t="str">
        <x:v>42459013</x:v>
      </x:c>
      <x:c r="AA47" s="19" t="str">
        <x:v>50769085</x:v>
      </x:c>
      <x:c r="AB47" s="22" t="str">
        <x:f>IF(OR(M47&lt;&gt;"Approved",U47="Needs cost",O47=""),"Needs review","Ready after approval")</x:f>
        <x:v>Needs review</x:v>
      </x:c>
      <x:c r="AC47" s="22" t="str"/>
    </x:row>
    <x:row r="48">
      <x:c r="A48" s="19" t="str">
        <x:v>9293</x:v>
      </x:c>
      <x:c r="B48" s="19" t="str">
        <x:v>TM8-TAB-9293</x:v>
      </x:c>
      <x:c r="C48" s="19" t="str">
        <x:v>2999000092932</x:v>
      </x:c>
      <x:c r="D48" s="22" t="str">
        <x:v>iPad Air 6 11-inch Hard Case Red</x:v>
      </x:c>
      <x:c r="E48" s="22" t="str">
        <x:v>Hard Case for iPad Air 11-inch (2024) - Red</x:v>
      </x:c>
      <x:c r="F48" s="22" t="str">
        <x:v>Hard Case</x:v>
      </x:c>
      <x:c r="G48" s="22" t="str">
        <x:v>Red</x:v>
      </x:c>
      <x:c r="H48" s="22" t="str">
        <x:v>TM8-GRP-IPAD-AIR11-2024-HDC</x:v>
      </x:c>
      <x:c r="I48" s="22" t="str">
        <x:v>Hard Case for iPad Air 11-inch (2024)</x:v>
      </x:c>
      <x:c r="J48" s="22" t="str">
        <x:v>iPad Air 11-inch 2024(Air 6</x:v>
      </x:c>
      <x:c r="K48" s="22" t="str">
        <x:v>IPAD-AIR11-2024</x:v>
      </x:c>
      <x:c r="L48" s="22" t="str">
        <x:v>iPad Air 11-inch (2024)</x:v>
      </x:c>
      <x:c r="M48" s="22" t="str">
        <x:v>Proposed</x:v>
      </x:c>
      <x:c r="N48" s="22" t="str">
        <x:v>https://dghyt15qon7us.cloudfront.net/images/productTheme/Inventory/small/0.19693400%201723695590.jpg</x:v>
      </x:c>
      <x:c r="O48" s="22" t="str">
        <x:v>https://dghyt15qon7us.cloudfront.net/images/productTheme/Inventory/small/0.42545700%201719884073.jpg</x:v>
      </x:c>
      <x:c r="P48" s="19" t="str">
        <x:v>park-ridge</x:v>
      </x:c>
      <x:c r="Q48" s="20" t="n">
        <x:v>1</x:v>
      </x:c>
      <x:c r="R48" s="20" t="n">
        <x:f>MAX(0,Q48)</x:f>
        <x:v>1</x:v>
      </x:c>
      <x:c r="S48" s="21" t="n">
        <x:v>15</x:v>
      </x:c>
      <x:c r="T48" s="21" t="n">
        <x:f>IF(OR(F48="Hard Case",F48="Bubble Hard Case"),15,IF(F48="Twist Leather Case",5,IF(F48="Z-Fold Case",4,IFERROR(VLOOKUP(B48,'Cost Overrides'!$A$2:$B$17,2,FALSE),S48))))</x:f>
        <x:v>15</x:v>
      </x:c>
      <x:c r="U48" s="21" t="str">
        <x:f>IF(OR(F48="Hard Case",F48="Bubble Hard Case"),"Confirmed: Hard Case",IF(F48="Twist Leather Case","Confirmed: Twist Leather Case",IF(F48="Z-Fold Case","Confirmed: Z-Fold Case",IF(COUNTIF('Cost Overrides'!$A$2:$A$17,B48)&gt;0,"Confirmed: Owner cost override",IF(S48&lt;=0,"Needs cost","Source cost")))))</x:f>
        <x:v>Confirmed: Hard Case</x:v>
      </x:c>
      <x:c r="V48" s="21" t="n">
        <x:v>49.95</x:v>
      </x:c>
      <x:c r="W48" s="21" t="n">
        <x:f>V48</x:f>
        <x:v>49.95</x:v>
      </x:c>
      <x:c r="X48" s="19" t="str">
        <x:v>NO</x:v>
      </x:c>
      <x:c r="Y48" s="19" t="str">
        <x:v>NO</x:v>
      </x:c>
      <x:c r="Z48" s="19" t="str">
        <x:v>42459012</x:v>
      </x:c>
      <x:c r="AA48" s="19" t="str">
        <x:v>50769082</x:v>
      </x:c>
      <x:c r="AB48" s="22" t="str">
        <x:f>IF(OR(M48&lt;&gt;"Approved",U48="Needs cost",O48=""),"Needs review","Ready after approval")</x:f>
        <x:v>Needs review</x:v>
      </x:c>
      <x:c r="AC48" s="22" t="str"/>
    </x:row>
    <x:row r="49">
      <x:c r="A49" s="19" t="str">
        <x:v>9292</x:v>
      </x:c>
      <x:c r="B49" s="19" t="str">
        <x:v>TM8-TAB-9292</x:v>
      </x:c>
      <x:c r="C49" s="19" t="str">
        <x:v>2999000092925</x:v>
      </x:c>
      <x:c r="D49" s="22" t="str">
        <x:v>iPad Pro 13-inch Hard Case Purple</x:v>
      </x:c>
      <x:c r="E49" s="22" t="str">
        <x:v>Hard Case for iPad Pro 13-inch (2024) - Purple</x:v>
      </x:c>
      <x:c r="F49" s="22" t="str">
        <x:v>Hard Case</x:v>
      </x:c>
      <x:c r="G49" s="22" t="str">
        <x:v>Purple</x:v>
      </x:c>
      <x:c r="H49" s="22" t="str">
        <x:v>TM8-GRP-IPAD-PRO13-2024-HDC</x:v>
      </x:c>
      <x:c r="I49" s="22" t="str">
        <x:v>Hard Case for iPad Pro 13-inch (2024)</x:v>
      </x:c>
      <x:c r="J49" s="22" t="str">
        <x:v>iPad Pro 13-inch 2024</x:v>
      </x:c>
      <x:c r="K49" s="22" t="str">
        <x:v>IPAD-PRO13-2024</x:v>
      </x:c>
      <x:c r="L49" s="22" t="str">
        <x:v>iPad Pro 13-inch (2024)</x:v>
      </x:c>
      <x:c r="M49" s="22" t="str">
        <x:v>Proposed</x:v>
      </x:c>
      <x:c r="N49" s="22" t="str">
        <x:v>https://dghyt15qon7us.cloudfront.net/images/productTheme/Inventory/small/0.43461600%201723695530.jpg</x:v>
      </x:c>
      <x:c r="O49" s="22" t="str">
        <x:v>https://dghyt15qon7us.cloudfront.net/images/productTheme/Inventory/small/0.67812600%201719882401.jpg</x:v>
      </x:c>
      <x:c r="P49" s="19" t="str">
        <x:v>park-ridge</x:v>
      </x:c>
      <x:c r="Q49" s="20" t="n">
        <x:v>1</x:v>
      </x:c>
      <x:c r="R49" s="20" t="n">
        <x:f>MAX(0,Q49)</x:f>
        <x:v>1</x:v>
      </x:c>
      <x:c r="S49" s="21" t="n">
        <x:v>15</x:v>
      </x:c>
      <x:c r="T49" s="21" t="n">
        <x:f>IF(OR(F49="Hard Case",F49="Bubble Hard Case"),15,IF(F49="Twist Leather Case",5,IF(F49="Z-Fold Case",4,IFERROR(VLOOKUP(B49,'Cost Overrides'!$A$2:$B$17,2,FALSE),S49))))</x:f>
        <x:v>15</x:v>
      </x:c>
      <x:c r="U49" s="21" t="str">
        <x:f>IF(OR(F49="Hard Case",F49="Bubble Hard Case"),"Confirmed: Hard Case",IF(F49="Twist Leather Case","Confirmed: Twist Leather Case",IF(F49="Z-Fold Case","Confirmed: Z-Fold Case",IF(COUNTIF('Cost Overrides'!$A$2:$A$17,B49)&gt;0,"Confirmed: Owner cost override",IF(S49&lt;=0,"Needs cost","Source cost")))))</x:f>
        <x:v>Confirmed: Hard Case</x:v>
      </x:c>
      <x:c r="V49" s="21" t="n">
        <x:v>49.95</x:v>
      </x:c>
      <x:c r="W49" s="21" t="n">
        <x:f>V49</x:f>
        <x:v>49.95</x:v>
      </x:c>
      <x:c r="X49" s="19" t="str">
        <x:v>NO</x:v>
      </x:c>
      <x:c r="Y49" s="19" t="str">
        <x:v>NO</x:v>
      </x:c>
      <x:c r="Z49" s="19" t="str">
        <x:v>42459011</x:v>
      </x:c>
      <x:c r="AA49" s="19" t="str">
        <x:v>50769079</x:v>
      </x:c>
      <x:c r="AB49" s="22" t="str">
        <x:f>IF(OR(M49&lt;&gt;"Approved",U49="Needs cost",O49=""),"Needs review","Ready after approval")</x:f>
        <x:v>Needs review</x:v>
      </x:c>
      <x:c r="AC49" s="22" t="str"/>
    </x:row>
    <x:row r="50">
      <x:c r="A50" s="19" t="str">
        <x:v>9291</x:v>
      </x:c>
      <x:c r="B50" s="19" t="str">
        <x:v>TM8-TAB-9291</x:v>
      </x:c>
      <x:c r="C50" s="19" t="str">
        <x:v>2999000092918</x:v>
      </x:c>
      <x:c r="D50" s="22" t="str">
        <x:v>iPad Pro 13-inch Hard Case Blue</x:v>
      </x:c>
      <x:c r="E50" s="22" t="str">
        <x:v>Hard Case for iPad Pro 13-inch (2024) - Blue</x:v>
      </x:c>
      <x:c r="F50" s="22" t="str">
        <x:v>Hard Case</x:v>
      </x:c>
      <x:c r="G50" s="22" t="str">
        <x:v>Blue</x:v>
      </x:c>
      <x:c r="H50" s="22" t="str">
        <x:v>TM8-GRP-IPAD-PRO13-2024-HDC</x:v>
      </x:c>
      <x:c r="I50" s="22" t="str">
        <x:v>Hard Case for iPad Pro 13-inch (2024)</x:v>
      </x:c>
      <x:c r="J50" s="22" t="str">
        <x:v>iPad Pro 13-inch 2024</x:v>
      </x:c>
      <x:c r="K50" s="22" t="str">
        <x:v>IPAD-PRO13-2024</x:v>
      </x:c>
      <x:c r="L50" s="22" t="str">
        <x:v>iPad Pro 13-inch (2024)</x:v>
      </x:c>
      <x:c r="M50" s="22" t="str">
        <x:v>Proposed</x:v>
      </x:c>
      <x:c r="N50" s="22" t="str">
        <x:v>https://dghyt15qon7us.cloudfront.net/images/productTheme/Inventory/small/0.92781400%201723695514.jpg</x:v>
      </x:c>
      <x:c r="O50" s="22" t="str">
        <x:v>https://dghyt15qon7us.cloudfront.net/images/productTheme/Inventory/small/0.67812600%201719882401.jpg</x:v>
      </x:c>
      <x:c r="P50" s="19" t="str">
        <x:v>park-ridge</x:v>
      </x:c>
      <x:c r="Q50" s="20" t="n">
        <x:v>0</x:v>
      </x:c>
      <x:c r="R50" s="20" t="n">
        <x:f>MAX(0,Q50)</x:f>
        <x:v>0</x:v>
      </x:c>
      <x:c r="S50" s="21" t="n">
        <x:v>15</x:v>
      </x:c>
      <x:c r="T50" s="21" t="n">
        <x:f>IF(OR(F50="Hard Case",F50="Bubble Hard Case"),15,IF(F50="Twist Leather Case",5,IF(F50="Z-Fold Case",4,IFERROR(VLOOKUP(B50,'Cost Overrides'!$A$2:$B$17,2,FALSE),S50))))</x:f>
        <x:v>15</x:v>
      </x:c>
      <x:c r="U50" s="21" t="str">
        <x:f>IF(OR(F50="Hard Case",F50="Bubble Hard Case"),"Confirmed: Hard Case",IF(F50="Twist Leather Case","Confirmed: Twist Leather Case",IF(F50="Z-Fold Case","Confirmed: Z-Fold Case",IF(COUNTIF('Cost Overrides'!$A$2:$A$17,B50)&gt;0,"Confirmed: Owner cost override",IF(S50&lt;=0,"Needs cost","Source cost")))))</x:f>
        <x:v>Confirmed: Hard Case</x:v>
      </x:c>
      <x:c r="V50" s="21" t="n">
        <x:v>49.95</x:v>
      </x:c>
      <x:c r="W50" s="21" t="n">
        <x:f>V50</x:f>
        <x:v>49.95</x:v>
      </x:c>
      <x:c r="X50" s="19" t="str">
        <x:v>NO</x:v>
      </x:c>
      <x:c r="Y50" s="19" t="str">
        <x:v>NO</x:v>
      </x:c>
      <x:c r="Z50" s="19" t="str">
        <x:v>42459010</x:v>
      </x:c>
      <x:c r="AA50" s="19" t="str">
        <x:v>50769076</x:v>
      </x:c>
      <x:c r="AB50" s="22" t="str">
        <x:f>IF(OR(M50&lt;&gt;"Approved",U50="Needs cost",O50=""),"Needs review","Ready after approval")</x:f>
        <x:v>Needs review</x:v>
      </x:c>
      <x:c r="AC50" s="22" t="str"/>
    </x:row>
    <x:row r="51">
      <x:c r="A51" s="19" t="str">
        <x:v>9290</x:v>
      </x:c>
      <x:c r="B51" s="19" t="str">
        <x:v>TM8-TAB-9290</x:v>
      </x:c>
      <x:c r="C51" s="19" t="str">
        <x:v>2999000092901</x:v>
      </x:c>
      <x:c r="D51" s="22" t="str">
        <x:v>iPad Pro 13-inch Hard Case Pink</x:v>
      </x:c>
      <x:c r="E51" s="22" t="str">
        <x:v>Hard Case for iPad Pro 13-inch (2024) - Pink</x:v>
      </x:c>
      <x:c r="F51" s="22" t="str">
        <x:v>Hard Case</x:v>
      </x:c>
      <x:c r="G51" s="22" t="str">
        <x:v>Pink</x:v>
      </x:c>
      <x:c r="H51" s="22" t="str">
        <x:v>TM8-GRP-IPAD-PRO13-2024-HDC</x:v>
      </x:c>
      <x:c r="I51" s="22" t="str">
        <x:v>Hard Case for iPad Pro 13-inch (2024)</x:v>
      </x:c>
      <x:c r="J51" s="22" t="str">
        <x:v>iPad Pro 13-inch 2024</x:v>
      </x:c>
      <x:c r="K51" s="22" t="str">
        <x:v>IPAD-PRO13-2024</x:v>
      </x:c>
      <x:c r="L51" s="22" t="str">
        <x:v>iPad Pro 13-inch (2024)</x:v>
      </x:c>
      <x:c r="M51" s="22" t="str">
        <x:v>Proposed</x:v>
      </x:c>
      <x:c r="N51" s="22" t="str">
        <x:v>https://dghyt15qon7us.cloudfront.net/images/productTheme/Inventory/small/0.61017200%201723695505.jpg</x:v>
      </x:c>
      <x:c r="O51" s="22" t="str">
        <x:v>https://dghyt15qon7us.cloudfront.net/images/productTheme/Inventory/small/0.67812600%201719882401.jpg</x:v>
      </x:c>
      <x:c r="P51" s="19" t="str">
        <x:v>park-ridge</x:v>
      </x:c>
      <x:c r="Q51" s="20" t="n">
        <x:v>0</x:v>
      </x:c>
      <x:c r="R51" s="20" t="n">
        <x:f>MAX(0,Q51)</x:f>
        <x:v>0</x:v>
      </x:c>
      <x:c r="S51" s="21" t="n">
        <x:v>15</x:v>
      </x:c>
      <x:c r="T51" s="21" t="n">
        <x:f>IF(OR(F51="Hard Case",F51="Bubble Hard Case"),15,IF(F51="Twist Leather Case",5,IF(F51="Z-Fold Case",4,IFERROR(VLOOKUP(B51,'Cost Overrides'!$A$2:$B$17,2,FALSE),S51))))</x:f>
        <x:v>15</x:v>
      </x:c>
      <x:c r="U51" s="21" t="str">
        <x:f>IF(OR(F51="Hard Case",F51="Bubble Hard Case"),"Confirmed: Hard Case",IF(F51="Twist Leather Case","Confirmed: Twist Leather Case",IF(F51="Z-Fold Case","Confirmed: Z-Fold Case",IF(COUNTIF('Cost Overrides'!$A$2:$A$17,B51)&gt;0,"Confirmed: Owner cost override",IF(S51&lt;=0,"Needs cost","Source cost")))))</x:f>
        <x:v>Confirmed: Hard Case</x:v>
      </x:c>
      <x:c r="V51" s="21" t="n">
        <x:v>49.95</x:v>
      </x:c>
      <x:c r="W51" s="21" t="n">
        <x:f>V51</x:f>
        <x:v>49.95</x:v>
      </x:c>
      <x:c r="X51" s="19" t="str">
        <x:v>NO</x:v>
      </x:c>
      <x:c r="Y51" s="19" t="str">
        <x:v>NO</x:v>
      </x:c>
      <x:c r="Z51" s="19" t="str">
        <x:v>42459009</x:v>
      </x:c>
      <x:c r="AA51" s="19" t="str">
        <x:v>50769073</x:v>
      </x:c>
      <x:c r="AB51" s="22" t="str">
        <x:f>IF(OR(M51&lt;&gt;"Approved",U51="Needs cost",O51=""),"Needs review","Ready after approval")</x:f>
        <x:v>Needs review</x:v>
      </x:c>
      <x:c r="AC51" s="22" t="str"/>
    </x:row>
    <x:row r="52">
      <x:c r="A52" s="19" t="str">
        <x:v>9289</x:v>
      </x:c>
      <x:c r="B52" s="19" t="str">
        <x:v>TM8-TAB-9289</x:v>
      </x:c>
      <x:c r="C52" s="19" t="str">
        <x:v>2999000092895</x:v>
      </x:c>
      <x:c r="D52" s="22" t="str">
        <x:v>iPad Pro 13-inch Hard Case Red</x:v>
      </x:c>
      <x:c r="E52" s="22" t="str">
        <x:v>Hard Case for iPad Pro 13-inch (2024) - Red</x:v>
      </x:c>
      <x:c r="F52" s="22" t="str">
        <x:v>Hard Case</x:v>
      </x:c>
      <x:c r="G52" s="22" t="str">
        <x:v>Red</x:v>
      </x:c>
      <x:c r="H52" s="22" t="str">
        <x:v>TM8-GRP-IPAD-PRO13-2024-HDC</x:v>
      </x:c>
      <x:c r="I52" s="22" t="str">
        <x:v>Hard Case for iPad Pro 13-inch (2024)</x:v>
      </x:c>
      <x:c r="J52" s="22" t="str">
        <x:v>iPad Pro 13-inch 2024</x:v>
      </x:c>
      <x:c r="K52" s="22" t="str">
        <x:v>IPAD-PRO13-2024</x:v>
      </x:c>
      <x:c r="L52" s="22" t="str">
        <x:v>iPad Pro 13-inch (2024)</x:v>
      </x:c>
      <x:c r="M52" s="22" t="str">
        <x:v>Proposed</x:v>
      </x:c>
      <x:c r="N52" s="22" t="str">
        <x:v>https://dghyt15qon7us.cloudfront.net/images/productTheme/Inventory/small/0.51894100%201723695484.jpg</x:v>
      </x:c>
      <x:c r="O52" s="22" t="str">
        <x:v>https://dghyt15qon7us.cloudfront.net/images/productTheme/Inventory/small/0.67812600%201719882401.jpg</x:v>
      </x:c>
      <x:c r="P52" s="19" t="str">
        <x:v>park-ridge</x:v>
      </x:c>
      <x:c r="Q52" s="20" t="n">
        <x:v>2</x:v>
      </x:c>
      <x:c r="R52" s="20" t="n">
        <x:f>MAX(0,Q52)</x:f>
        <x:v>2</x:v>
      </x:c>
      <x:c r="S52" s="21" t="n">
        <x:v>15</x:v>
      </x:c>
      <x:c r="T52" s="21" t="n">
        <x:f>IF(OR(F52="Hard Case",F52="Bubble Hard Case"),15,IF(F52="Twist Leather Case",5,IF(F52="Z-Fold Case",4,IFERROR(VLOOKUP(B52,'Cost Overrides'!$A$2:$B$17,2,FALSE),S52))))</x:f>
        <x:v>15</x:v>
      </x:c>
      <x:c r="U52" s="21" t="str">
        <x:f>IF(OR(F52="Hard Case",F52="Bubble Hard Case"),"Confirmed: Hard Case",IF(F52="Twist Leather Case","Confirmed: Twist Leather Case",IF(F52="Z-Fold Case","Confirmed: Z-Fold Case",IF(COUNTIF('Cost Overrides'!$A$2:$A$17,B52)&gt;0,"Confirmed: Owner cost override",IF(S52&lt;=0,"Needs cost","Source cost")))))</x:f>
        <x:v>Confirmed: Hard Case</x:v>
      </x:c>
      <x:c r="V52" s="21" t="n">
        <x:v>49.95</x:v>
      </x:c>
      <x:c r="W52" s="21" t="n">
        <x:f>V52</x:f>
        <x:v>49.95</x:v>
      </x:c>
      <x:c r="X52" s="19" t="str">
        <x:v>NO</x:v>
      </x:c>
      <x:c r="Y52" s="19" t="str">
        <x:v>NO</x:v>
      </x:c>
      <x:c r="Z52" s="19" t="str">
        <x:v>42459008</x:v>
      </x:c>
      <x:c r="AA52" s="19" t="str">
        <x:v>50769070</x:v>
      </x:c>
      <x:c r="AB52" s="22" t="str">
        <x:f>IF(OR(M52&lt;&gt;"Approved",U52="Needs cost",O52=""),"Needs review","Ready after approval")</x:f>
        <x:v>Needs review</x:v>
      </x:c>
      <x:c r="AC52" s="22" t="str"/>
    </x:row>
    <x:row r="53">
      <x:c r="A53" s="19" t="str">
        <x:v>9288</x:v>
      </x:c>
      <x:c r="B53" s="19" t="str">
        <x:v>TM8-TAB-9288</x:v>
      </x:c>
      <x:c r="C53" s="19" t="str">
        <x:v>2999000092888</x:v>
      </x:c>
      <x:c r="D53" s="22" t="str">
        <x:v>iPad Pro 11 Inch 2024 Hard Case Purple</x:v>
      </x:c>
      <x:c r="E53" s="22" t="str">
        <x:v>Hard Case for iPad Pro 11-inch (2024) - Purple</x:v>
      </x:c>
      <x:c r="F53" s="22" t="str">
        <x:v>Hard Case</x:v>
      </x:c>
      <x:c r="G53" s="22" t="str">
        <x:v>Purple</x:v>
      </x:c>
      <x:c r="H53" s="22" t="str">
        <x:v>TM8-GRP-IPAD-PRO11-2024-HDC</x:v>
      </x:c>
      <x:c r="I53" s="22" t="str">
        <x:v>Hard Case for iPad Pro 11-inch (2024)</x:v>
      </x:c>
      <x:c r="J53" s="22" t="str">
        <x:v>iPad Pro 11-inch 2024</x:v>
      </x:c>
      <x:c r="K53" s="22" t="str">
        <x:v>IPAD-PRO11-2024</x:v>
      </x:c>
      <x:c r="L53" s="22" t="str">
        <x:v>iPad Pro 11-inch (2024)</x:v>
      </x:c>
      <x:c r="M53" s="22" t="str">
        <x:v>Proposed</x:v>
      </x:c>
      <x:c r="N53" s="22" t="str">
        <x:v>https://dghyt15qon7us.cloudfront.net/images/productTheme/Inventory/small/0.53591900%201723695420.jpg</x:v>
      </x:c>
      <x:c r="O53" s="22" t="str">
        <x:v>https://dghyt15qon7us.cloudfront.net/images/productTheme/Inventory/small/0.38465200%201719882266.jpg</x:v>
      </x:c>
      <x:c r="P53" s="19" t="str">
        <x:v>park-ridge</x:v>
      </x:c>
      <x:c r="Q53" s="20" t="n">
        <x:v>0</x:v>
      </x:c>
      <x:c r="R53" s="20" t="n">
        <x:f>MAX(0,Q53)</x:f>
        <x:v>0</x:v>
      </x:c>
      <x:c r="S53" s="21" t="n">
        <x:v>13</x:v>
      </x:c>
      <x:c r="T53" s="21" t="n">
        <x:f>IF(OR(F53="Hard Case",F53="Bubble Hard Case"),15,IF(F53="Twist Leather Case",5,IF(F53="Z-Fold Case",4,IFERROR(VLOOKUP(B53,'Cost Overrides'!$A$2:$B$17,2,FALSE),S53))))</x:f>
        <x:v>15</x:v>
      </x:c>
      <x:c r="U53" s="21" t="str">
        <x:f>IF(OR(F53="Hard Case",F53="Bubble Hard Case"),"Confirmed: Hard Case",IF(F53="Twist Leather Case","Confirmed: Twist Leather Case",IF(F53="Z-Fold Case","Confirmed: Z-Fold Case",IF(COUNTIF('Cost Overrides'!$A$2:$A$17,B53)&gt;0,"Confirmed: Owner cost override",IF(S53&lt;=0,"Needs cost","Source cost")))))</x:f>
        <x:v>Confirmed: Hard Case</x:v>
      </x:c>
      <x:c r="V53" s="21" t="n">
        <x:v>49.95</x:v>
      </x:c>
      <x:c r="W53" s="21" t="n">
        <x:f>V53</x:f>
        <x:v>49.95</x:v>
      </x:c>
      <x:c r="X53" s="19" t="str">
        <x:v>NO</x:v>
      </x:c>
      <x:c r="Y53" s="19" t="str">
        <x:v>NO</x:v>
      </x:c>
      <x:c r="Z53" s="19" t="str">
        <x:v>42459007</x:v>
      </x:c>
      <x:c r="AA53" s="19" t="str">
        <x:v>50769067</x:v>
      </x:c>
      <x:c r="AB53" s="22" t="str">
        <x:f>IF(OR(M53&lt;&gt;"Approved",U53="Needs cost",O53=""),"Needs review","Ready after approval")</x:f>
        <x:v>Needs review</x:v>
      </x:c>
      <x:c r="AC53" s="22" t="str"/>
    </x:row>
    <x:row r="54">
      <x:c r="A54" s="19" t="str">
        <x:v>9287</x:v>
      </x:c>
      <x:c r="B54" s="19" t="str">
        <x:v>TM8-TAB-9287</x:v>
      </x:c>
      <x:c r="C54" s="19" t="str">
        <x:v>2999000092871</x:v>
      </x:c>
      <x:c r="D54" s="22" t="str">
        <x:v>iPad Pro 11 Inch 2024 Hard Case Blue</x:v>
      </x:c>
      <x:c r="E54" s="22" t="str">
        <x:v>Hard Case for iPad Pro 11-inch (2024) - Blue</x:v>
      </x:c>
      <x:c r="F54" s="22" t="str">
        <x:v>Hard Case</x:v>
      </x:c>
      <x:c r="G54" s="22" t="str">
        <x:v>Blue</x:v>
      </x:c>
      <x:c r="H54" s="22" t="str">
        <x:v>TM8-GRP-IPAD-PRO11-2024-HDC</x:v>
      </x:c>
      <x:c r="I54" s="22" t="str">
        <x:v>Hard Case for iPad Pro 11-inch (2024)</x:v>
      </x:c>
      <x:c r="J54" s="22" t="str">
        <x:v>iPad Pro 11-inch 2024</x:v>
      </x:c>
      <x:c r="K54" s="22" t="str">
        <x:v>IPAD-PRO11-2024</x:v>
      </x:c>
      <x:c r="L54" s="22" t="str">
        <x:v>iPad Pro 11-inch (2024)</x:v>
      </x:c>
      <x:c r="M54" s="22" t="str">
        <x:v>Proposed</x:v>
      </x:c>
      <x:c r="N54" s="22" t="str">
        <x:v>https://dghyt15qon7us.cloudfront.net/images/productTheme/Inventory/small/0.16167500%201723695405.jpg</x:v>
      </x:c>
      <x:c r="O54" s="22" t="str">
        <x:v>https://dghyt15qon7us.cloudfront.net/images/productTheme/Inventory/small/0.38465200%201719882266.jpg</x:v>
      </x:c>
      <x:c r="P54" s="19" t="str">
        <x:v>park-ridge</x:v>
      </x:c>
      <x:c r="Q54" s="20" t="n">
        <x:v>1</x:v>
      </x:c>
      <x:c r="R54" s="20" t="n">
        <x:f>MAX(0,Q54)</x:f>
        <x:v>1</x:v>
      </x:c>
      <x:c r="S54" s="21" t="n">
        <x:v>13</x:v>
      </x:c>
      <x:c r="T54" s="21" t="n">
        <x:f>IF(OR(F54="Hard Case",F54="Bubble Hard Case"),15,IF(F54="Twist Leather Case",5,IF(F54="Z-Fold Case",4,IFERROR(VLOOKUP(B54,'Cost Overrides'!$A$2:$B$17,2,FALSE),S54))))</x:f>
        <x:v>15</x:v>
      </x:c>
      <x:c r="U54" s="21" t="str">
        <x:f>IF(OR(F54="Hard Case",F54="Bubble Hard Case"),"Confirmed: Hard Case",IF(F54="Twist Leather Case","Confirmed: Twist Leather Case",IF(F54="Z-Fold Case","Confirmed: Z-Fold Case",IF(COUNTIF('Cost Overrides'!$A$2:$A$17,B54)&gt;0,"Confirmed: Owner cost override",IF(S54&lt;=0,"Needs cost","Source cost")))))</x:f>
        <x:v>Confirmed: Hard Case</x:v>
      </x:c>
      <x:c r="V54" s="21" t="n">
        <x:v>49.95</x:v>
      </x:c>
      <x:c r="W54" s="21" t="n">
        <x:f>V54</x:f>
        <x:v>49.95</x:v>
      </x:c>
      <x:c r="X54" s="19" t="str">
        <x:v>NO</x:v>
      </x:c>
      <x:c r="Y54" s="19" t="str">
        <x:v>NO</x:v>
      </x:c>
      <x:c r="Z54" s="19" t="str">
        <x:v>42459006</x:v>
      </x:c>
      <x:c r="AA54" s="19" t="str">
        <x:v>50769064</x:v>
      </x:c>
      <x:c r="AB54" s="22" t="str">
        <x:f>IF(OR(M54&lt;&gt;"Approved",U54="Needs cost",O54=""),"Needs review","Ready after approval")</x:f>
        <x:v>Needs review</x:v>
      </x:c>
      <x:c r="AC54" s="22" t="str"/>
    </x:row>
    <x:row r="55">
      <x:c r="A55" s="19" t="str">
        <x:v>9286</x:v>
      </x:c>
      <x:c r="B55" s="19" t="str">
        <x:v>TM8-TAB-9286</x:v>
      </x:c>
      <x:c r="C55" s="19" t="str">
        <x:v>2999000092864</x:v>
      </x:c>
      <x:c r="D55" s="22" t="str">
        <x:v>iPad Pro 11 Inch 2024 Hard Case pink</x:v>
      </x:c>
      <x:c r="E55" s="22" t="str">
        <x:v>Hard Case for iPad Pro 11-inch (2024) - Pink</x:v>
      </x:c>
      <x:c r="F55" s="22" t="str">
        <x:v>Hard Case</x:v>
      </x:c>
      <x:c r="G55" s="22" t="str">
        <x:v>Pink</x:v>
      </x:c>
      <x:c r="H55" s="22" t="str">
        <x:v>TM8-GRP-IPAD-PRO11-2024-HDC</x:v>
      </x:c>
      <x:c r="I55" s="22" t="str">
        <x:v>Hard Case for iPad Pro 11-inch (2024)</x:v>
      </x:c>
      <x:c r="J55" s="22" t="str">
        <x:v>iPad Pro 11-inch 2024</x:v>
      </x:c>
      <x:c r="K55" s="22" t="str">
        <x:v>IPAD-PRO11-2024</x:v>
      </x:c>
      <x:c r="L55" s="22" t="str">
        <x:v>iPad Pro 11-inch (2024)</x:v>
      </x:c>
      <x:c r="M55" s="22" t="str">
        <x:v>Proposed</x:v>
      </x:c>
      <x:c r="N55" s="22" t="str">
        <x:v>https://dghyt15qon7us.cloudfront.net/images/productTheme/Inventory/small/0.32941400%201723695388.jpg</x:v>
      </x:c>
      <x:c r="O55" s="22" t="str">
        <x:v>https://dghyt15qon7us.cloudfront.net/images/productTheme/Inventory/small/0.38465200%201719882266.jpg</x:v>
      </x:c>
      <x:c r="P55" s="19" t="str">
        <x:v>park-ridge</x:v>
      </x:c>
      <x:c r="Q55" s="20" t="n">
        <x:v>1</x:v>
      </x:c>
      <x:c r="R55" s="20" t="n">
        <x:f>MAX(0,Q55)</x:f>
        <x:v>1</x:v>
      </x:c>
      <x:c r="S55" s="21" t="n">
        <x:v>13</x:v>
      </x:c>
      <x:c r="T55" s="21" t="n">
        <x:f>IF(OR(F55="Hard Case",F55="Bubble Hard Case"),15,IF(F55="Twist Leather Case",5,IF(F55="Z-Fold Case",4,IFERROR(VLOOKUP(B55,'Cost Overrides'!$A$2:$B$17,2,FALSE),S55))))</x:f>
        <x:v>15</x:v>
      </x:c>
      <x:c r="U55" s="21" t="str">
        <x:f>IF(OR(F55="Hard Case",F55="Bubble Hard Case"),"Confirmed: Hard Case",IF(F55="Twist Leather Case","Confirmed: Twist Leather Case",IF(F55="Z-Fold Case","Confirmed: Z-Fold Case",IF(COUNTIF('Cost Overrides'!$A$2:$A$17,B55)&gt;0,"Confirmed: Owner cost override",IF(S55&lt;=0,"Needs cost","Source cost")))))</x:f>
        <x:v>Confirmed: Hard Case</x:v>
      </x:c>
      <x:c r="V55" s="21" t="n">
        <x:v>49.95</x:v>
      </x:c>
      <x:c r="W55" s="21" t="n">
        <x:f>V55</x:f>
        <x:v>49.95</x:v>
      </x:c>
      <x:c r="X55" s="19" t="str">
        <x:v>NO</x:v>
      </x:c>
      <x:c r="Y55" s="19" t="str">
        <x:v>NO</x:v>
      </x:c>
      <x:c r="Z55" s="19" t="str">
        <x:v>42459005</x:v>
      </x:c>
      <x:c r="AA55" s="19" t="str">
        <x:v>50769061</x:v>
      </x:c>
      <x:c r="AB55" s="22" t="str">
        <x:f>IF(OR(M55&lt;&gt;"Approved",U55="Needs cost",O55=""),"Needs review","Ready after approval")</x:f>
        <x:v>Needs review</x:v>
      </x:c>
      <x:c r="AC55" s="22" t="str"/>
    </x:row>
    <x:row r="56">
      <x:c r="A56" s="19" t="str">
        <x:v>9285</x:v>
      </x:c>
      <x:c r="B56" s="19" t="str">
        <x:v>TM8-TAB-9285</x:v>
      </x:c>
      <x:c r="C56" s="19" t="str">
        <x:v>2999000092857</x:v>
      </x:c>
      <x:c r="D56" s="22" t="str">
        <x:v>iPad Pro 11 Inch 2024 Hard Case red</x:v>
      </x:c>
      <x:c r="E56" s="22" t="str">
        <x:v>Hard Case for iPad Pro 11-inch (2024) - Red</x:v>
      </x:c>
      <x:c r="F56" s="22" t="str">
        <x:v>Hard Case</x:v>
      </x:c>
      <x:c r="G56" s="22" t="str">
        <x:v>Red</x:v>
      </x:c>
      <x:c r="H56" s="22" t="str">
        <x:v>TM8-GRP-IPAD-PRO11-2024-HDC</x:v>
      </x:c>
      <x:c r="I56" s="22" t="str">
        <x:v>Hard Case for iPad Pro 11-inch (2024)</x:v>
      </x:c>
      <x:c r="J56" s="22" t="str">
        <x:v>iPad Pro 11-inch 2024</x:v>
      </x:c>
      <x:c r="K56" s="22" t="str">
        <x:v>IPAD-PRO11-2024</x:v>
      </x:c>
      <x:c r="L56" s="22" t="str">
        <x:v>iPad Pro 11-inch (2024)</x:v>
      </x:c>
      <x:c r="M56" s="22" t="str">
        <x:v>Proposed</x:v>
      </x:c>
      <x:c r="N56" s="22" t="str">
        <x:v>https://dghyt15qon7us.cloudfront.net/images/productTheme/Inventory/small/0.46534400%201723695354.jpg</x:v>
      </x:c>
      <x:c r="O56" s="22" t="str">
        <x:v>https://dghyt15qon7us.cloudfront.net/images/productTheme/Inventory/small/0.38465200%201719882266.jpg</x:v>
      </x:c>
      <x:c r="P56" s="19" t="str">
        <x:v>park-ridge</x:v>
      </x:c>
      <x:c r="Q56" s="20" t="n">
        <x:v>1</x:v>
      </x:c>
      <x:c r="R56" s="20" t="n">
        <x:f>MAX(0,Q56)</x:f>
        <x:v>1</x:v>
      </x:c>
      <x:c r="S56" s="21" t="n">
        <x:v>13</x:v>
      </x:c>
      <x:c r="T56" s="21" t="n">
        <x:f>IF(OR(F56="Hard Case",F56="Bubble Hard Case"),15,IF(F56="Twist Leather Case",5,IF(F56="Z-Fold Case",4,IFERROR(VLOOKUP(B56,'Cost Overrides'!$A$2:$B$17,2,FALSE),S56))))</x:f>
        <x:v>15</x:v>
      </x:c>
      <x:c r="U56" s="21" t="str">
        <x:f>IF(OR(F56="Hard Case",F56="Bubble Hard Case"),"Confirmed: Hard Case",IF(F56="Twist Leather Case","Confirmed: Twist Leather Case",IF(F56="Z-Fold Case","Confirmed: Z-Fold Case",IF(COUNTIF('Cost Overrides'!$A$2:$A$17,B56)&gt;0,"Confirmed: Owner cost override",IF(S56&lt;=0,"Needs cost","Source cost")))))</x:f>
        <x:v>Confirmed: Hard Case</x:v>
      </x:c>
      <x:c r="V56" s="21" t="n">
        <x:v>49.95</x:v>
      </x:c>
      <x:c r="W56" s="21" t="n">
        <x:f>V56</x:f>
        <x:v>49.95</x:v>
      </x:c>
      <x:c r="X56" s="19" t="str">
        <x:v>NO</x:v>
      </x:c>
      <x:c r="Y56" s="19" t="str">
        <x:v>NO</x:v>
      </x:c>
      <x:c r="Z56" s="19" t="str">
        <x:v>42459004</x:v>
      </x:c>
      <x:c r="AA56" s="19" t="str">
        <x:v>50769058</x:v>
      </x:c>
      <x:c r="AB56" s="22" t="str">
        <x:f>IF(OR(M56&lt;&gt;"Approved",U56="Needs cost",O56=""),"Needs review","Ready after approval")</x:f>
        <x:v>Needs review</x:v>
      </x:c>
      <x:c r="AC56" s="22" t="str"/>
    </x:row>
    <x:row r="57">
      <x:c r="A57" s="19" t="str">
        <x:v>9247</x:v>
      </x:c>
      <x:c r="B57" s="19" t="str">
        <x:v>TM8-TAB-9247</x:v>
      </x:c>
      <x:c r="C57" s="19" t="str">
        <x:v>2999000092475</x:v>
      </x:c>
      <x:c r="D57" s="22" t="str">
        <x:v>iPad Pro 13 Inch 2024 Twist Leather Case Red</x:v>
      </x:c>
      <x:c r="E57" s="22" t="str">
        <x:v>Twist Leather Case for iPad Pro 13-inch (2024) - Red</x:v>
      </x:c>
      <x:c r="F57" s="22" t="str">
        <x:v>Twist Leather Case</x:v>
      </x:c>
      <x:c r="G57" s="22" t="str">
        <x:v>Red</x:v>
      </x:c>
      <x:c r="H57" s="22" t="str">
        <x:v>TM8-GRP-IPAD-PRO13-2024-TLC</x:v>
      </x:c>
      <x:c r="I57" s="22" t="str">
        <x:v>Twist Leather Case for iPad Pro 13-inch (2024)</x:v>
      </x:c>
      <x:c r="J57" s="22" t="str">
        <x:v>iPad Pro 13-inch 2024</x:v>
      </x:c>
      <x:c r="K57" s="22" t="str">
        <x:v>IPAD-PRO13-2024</x:v>
      </x:c>
      <x:c r="L57" s="22" t="str">
        <x:v>iPad Pro 13-inch (2024)</x:v>
      </x:c>
      <x:c r="M57" s="22" t="str">
        <x:v>Proposed</x:v>
      </x:c>
      <x:c r="N57" s="22" t="str">
        <x:v>https://dghyt15qon7us.cloudfront.net/images/productTheme/Inventory/small/0.80096800%201721965143.jpg</x:v>
      </x:c>
      <x:c r="O57" s="22" t="str">
        <x:v>https://dghyt15qon7us.cloudfront.net/images/productTheme/Inventory/small/0.26437100%201721965010.jpg</x:v>
      </x:c>
      <x:c r="P57" s="19" t="str">
        <x:v>park-ridge</x:v>
      </x:c>
      <x:c r="Q57" s="20" t="n">
        <x:v>0</x:v>
      </x:c>
      <x:c r="R57" s="20" t="n">
        <x:f>MAX(0,Q57)</x:f>
        <x:v>0</x:v>
      </x:c>
      <x:c r="S57" s="21" t="n">
        <x:v>3</x:v>
      </x:c>
      <x:c r="T57" s="21" t="n">
        <x:f>IF(OR(F57="Hard Case",F57="Bubble Hard Case"),15,IF(F57="Twist Leather Case",5,IF(F57="Z-Fold Case",4,IFERROR(VLOOKUP(B57,'Cost Overrides'!$A$2:$B$17,2,FALSE),S57))))</x:f>
        <x:v>5</x:v>
      </x:c>
      <x:c r="U57" s="21" t="str">
        <x:f>IF(OR(F57="Hard Case",F57="Bubble Hard Case"),"Confirmed: Hard Case",IF(F57="Twist Leather Case","Confirmed: Twist Leather Case",IF(F57="Z-Fold Case","Confirmed: Z-Fold Case",IF(COUNTIF('Cost Overrides'!$A$2:$A$17,B57)&gt;0,"Confirmed: Owner cost override",IF(S57&lt;=0,"Needs cost","Source cost")))))</x:f>
        <x:v>Confirmed: Twist Leather Case</x:v>
      </x:c>
      <x:c r="V57" s="21" t="n">
        <x:v>39.95</x:v>
      </x:c>
      <x:c r="W57" s="21" t="n">
        <x:f>V57</x:f>
        <x:v>39.95</x:v>
      </x:c>
      <x:c r="X57" s="19" t="str">
        <x:v>NO</x:v>
      </x:c>
      <x:c r="Y57" s="19" t="str">
        <x:v>NO</x:v>
      </x:c>
      <x:c r="Z57" s="19" t="str">
        <x:v>42458966</x:v>
      </x:c>
      <x:c r="AA57" s="19" t="str">
        <x:v>50768944</x:v>
      </x:c>
      <x:c r="AB57" s="22" t="str">
        <x:f>IF(OR(M57&lt;&gt;"Approved",U57="Needs cost",O57=""),"Needs review","Ready after approval")</x:f>
        <x:v>Needs review</x:v>
      </x:c>
      <x:c r="AC57" s="22" t="str"/>
    </x:row>
    <x:row r="58">
      <x:c r="A58" s="19" t="str">
        <x:v>9246</x:v>
      </x:c>
      <x:c r="B58" s="19" t="str">
        <x:v>TM8-TAB-9246</x:v>
      </x:c>
      <x:c r="C58" s="19" t="str">
        <x:v>2999000092468</x:v>
      </x:c>
      <x:c r="D58" s="22" t="str">
        <x:v>iPad Pro 13 Inch 2024 Twist Leather Case Purple</x:v>
      </x:c>
      <x:c r="E58" s="22" t="str">
        <x:v>Twist Leather Case for iPad Pro 13-inch (2024) - Purple</x:v>
      </x:c>
      <x:c r="F58" s="22" t="str">
        <x:v>Twist Leather Case</x:v>
      </x:c>
      <x:c r="G58" s="22" t="str">
        <x:v>Purple</x:v>
      </x:c>
      <x:c r="H58" s="22" t="str">
        <x:v>TM8-GRP-IPAD-PRO13-2024-TLC</x:v>
      </x:c>
      <x:c r="I58" s="22" t="str">
        <x:v>Twist Leather Case for iPad Pro 13-inch (2024)</x:v>
      </x:c>
      <x:c r="J58" s="22" t="str">
        <x:v>iPad Pro 13-inch 2024</x:v>
      </x:c>
      <x:c r="K58" s="22" t="str">
        <x:v>IPAD-PRO13-2024</x:v>
      </x:c>
      <x:c r="L58" s="22" t="str">
        <x:v>iPad Pro 13-inch (2024)</x:v>
      </x:c>
      <x:c r="M58" s="22" t="str">
        <x:v>Proposed</x:v>
      </x:c>
      <x:c r="N58" s="22" t="str">
        <x:v>https://dghyt15qon7us.cloudfront.net/images/productTheme/Inventory/small/0.14588500%201721965114.jpg</x:v>
      </x:c>
      <x:c r="O58" s="22" t="str">
        <x:v>https://dghyt15qon7us.cloudfront.net/images/productTheme/Inventory/small/0.26437100%201721965010.jpg</x:v>
      </x:c>
      <x:c r="P58" s="19" t="str">
        <x:v>park-ridge</x:v>
      </x:c>
      <x:c r="Q58" s="20" t="n">
        <x:v>-1</x:v>
      </x:c>
      <x:c r="R58" s="20" t="n">
        <x:f>MAX(0,Q58)</x:f>
        <x:v>0</x:v>
      </x:c>
      <x:c r="S58" s="21" t="n">
        <x:v>3</x:v>
      </x:c>
      <x:c r="T58" s="21" t="n">
        <x:f>IF(OR(F58="Hard Case",F58="Bubble Hard Case"),15,IF(F58="Twist Leather Case",5,IF(F58="Z-Fold Case",4,IFERROR(VLOOKUP(B58,'Cost Overrides'!$A$2:$B$17,2,FALSE),S58))))</x:f>
        <x:v>5</x:v>
      </x:c>
      <x:c r="U58" s="21" t="str">
        <x:f>IF(OR(F58="Hard Case",F58="Bubble Hard Case"),"Confirmed: Hard Case",IF(F58="Twist Leather Case","Confirmed: Twist Leather Case",IF(F58="Z-Fold Case","Confirmed: Z-Fold Case",IF(COUNTIF('Cost Overrides'!$A$2:$A$17,B58)&gt;0,"Confirmed: Owner cost override",IF(S58&lt;=0,"Needs cost","Source cost")))))</x:f>
        <x:v>Confirmed: Twist Leather Case</x:v>
      </x:c>
      <x:c r="V58" s="21" t="n">
        <x:v>39.95</x:v>
      </x:c>
      <x:c r="W58" s="21" t="n">
        <x:f>V58</x:f>
        <x:v>39.95</x:v>
      </x:c>
      <x:c r="X58" s="19" t="str">
        <x:v>NO</x:v>
      </x:c>
      <x:c r="Y58" s="19" t="str">
        <x:v>NO</x:v>
      </x:c>
      <x:c r="Z58" s="19" t="str">
        <x:v>42458965</x:v>
      </x:c>
      <x:c r="AA58" s="19" t="str">
        <x:v>50768941</x:v>
      </x:c>
      <x:c r="AB58" s="22" t="str">
        <x:f>IF(OR(M58&lt;&gt;"Approved",U58="Needs cost",O58=""),"Needs review","Ready after approval")</x:f>
        <x:v>Needs review</x:v>
      </x:c>
      <x:c r="AC58" s="22" t="str">
        <x:v>Negative source stock clipped to zero.</x:v>
      </x:c>
    </x:row>
    <x:row r="59">
      <x:c r="A59" s="19" t="str">
        <x:v>9245</x:v>
      </x:c>
      <x:c r="B59" s="19" t="str">
        <x:v>TM8-TAB-9245</x:v>
      </x:c>
      <x:c r="C59" s="19" t="str">
        <x:v>2999000092451</x:v>
      </x:c>
      <x:c r="D59" s="22" t="str">
        <x:v>iPad Pro 13 inch 2024 Twist Leather Case Pink</x:v>
      </x:c>
      <x:c r="E59" s="22" t="str">
        <x:v>Twist Leather Case for iPad Pro 13-inch (2024) - Pink</x:v>
      </x:c>
      <x:c r="F59" s="22" t="str">
        <x:v>Twist Leather Case</x:v>
      </x:c>
      <x:c r="G59" s="22" t="str">
        <x:v>Pink</x:v>
      </x:c>
      <x:c r="H59" s="22" t="str">
        <x:v>TM8-GRP-IPAD-PRO13-2024-TLC</x:v>
      </x:c>
      <x:c r="I59" s="22" t="str">
        <x:v>Twist Leather Case for iPad Pro 13-inch (2024)</x:v>
      </x:c>
      <x:c r="J59" s="22" t="str">
        <x:v>iPad Pro 13-inch 2024</x:v>
      </x:c>
      <x:c r="K59" s="22" t="str">
        <x:v>IPAD-PRO13-2024</x:v>
      </x:c>
      <x:c r="L59" s="22" t="str">
        <x:v>iPad Pro 13-inch (2024)</x:v>
      </x:c>
      <x:c r="M59" s="22" t="str">
        <x:v>Proposed</x:v>
      </x:c>
      <x:c r="N59" s="22" t="str">
        <x:v>https://dghyt15qon7us.cloudfront.net/images/productTheme/Inventory/small/0.69676400%201721965096.jpg</x:v>
      </x:c>
      <x:c r="O59" s="22" t="str">
        <x:v>https://dghyt15qon7us.cloudfront.net/images/productTheme/Inventory/small/0.26437100%201721965010.jpg</x:v>
      </x:c>
      <x:c r="P59" s="19" t="str">
        <x:v>park-ridge</x:v>
      </x:c>
      <x:c r="Q59" s="20" t="n">
        <x:v>0</x:v>
      </x:c>
      <x:c r="R59" s="20" t="n">
        <x:f>MAX(0,Q59)</x:f>
        <x:v>0</x:v>
      </x:c>
      <x:c r="S59" s="21" t="n">
        <x:v>3</x:v>
      </x:c>
      <x:c r="T59" s="21" t="n">
        <x:f>IF(OR(F59="Hard Case",F59="Bubble Hard Case"),15,IF(F59="Twist Leather Case",5,IF(F59="Z-Fold Case",4,IFERROR(VLOOKUP(B59,'Cost Overrides'!$A$2:$B$17,2,FALSE),S59))))</x:f>
        <x:v>5</x:v>
      </x:c>
      <x:c r="U59" s="21" t="str">
        <x:f>IF(OR(F59="Hard Case",F59="Bubble Hard Case"),"Confirmed: Hard Case",IF(F59="Twist Leather Case","Confirmed: Twist Leather Case",IF(F59="Z-Fold Case","Confirmed: Z-Fold Case",IF(COUNTIF('Cost Overrides'!$A$2:$A$17,B59)&gt;0,"Confirmed: Owner cost override",IF(S59&lt;=0,"Needs cost","Source cost")))))</x:f>
        <x:v>Confirmed: Twist Leather Case</x:v>
      </x:c>
      <x:c r="V59" s="21" t="n">
        <x:v>39.95</x:v>
      </x:c>
      <x:c r="W59" s="21" t="n">
        <x:f>V59</x:f>
        <x:v>39.95</x:v>
      </x:c>
      <x:c r="X59" s="19" t="str">
        <x:v>NO</x:v>
      </x:c>
      <x:c r="Y59" s="19" t="str">
        <x:v>NO</x:v>
      </x:c>
      <x:c r="Z59" s="19" t="str">
        <x:v>42458964</x:v>
      </x:c>
      <x:c r="AA59" s="19" t="str">
        <x:v>50768938</x:v>
      </x:c>
      <x:c r="AB59" s="22" t="str">
        <x:f>IF(OR(M59&lt;&gt;"Approved",U59="Needs cost",O59=""),"Needs review","Ready after approval")</x:f>
        <x:v>Needs review</x:v>
      </x:c>
      <x:c r="AC59" s="22" t="str"/>
    </x:row>
    <x:row r="60">
      <x:c r="A60" s="19" t="str">
        <x:v>9244</x:v>
      </x:c>
      <x:c r="B60" s="19" t="str">
        <x:v>TM8-TAB-9244</x:v>
      </x:c>
      <x:c r="C60" s="19" t="str">
        <x:v>2999000092444</x:v>
      </x:c>
      <x:c r="D60" s="22" t="str">
        <x:v>iPad Pro 13 Inch 2024 Twist Leather Case Gold</x:v>
      </x:c>
      <x:c r="E60" s="22" t="str">
        <x:v>Twist Leather Case for iPad Pro 13-inch (2024) - Gold</x:v>
      </x:c>
      <x:c r="F60" s="22" t="str">
        <x:v>Twist Leather Case</x:v>
      </x:c>
      <x:c r="G60" s="22" t="str">
        <x:v>Gold</x:v>
      </x:c>
      <x:c r="H60" s="22" t="str">
        <x:v>TM8-GRP-IPAD-PRO13-2024-TLC</x:v>
      </x:c>
      <x:c r="I60" s="22" t="str">
        <x:v>Twist Leather Case for iPad Pro 13-inch (2024)</x:v>
      </x:c>
      <x:c r="J60" s="22" t="str">
        <x:v>iPad Pro 13-inch 2024</x:v>
      </x:c>
      <x:c r="K60" s="22" t="str">
        <x:v>IPAD-PRO13-2024</x:v>
      </x:c>
      <x:c r="L60" s="22" t="str">
        <x:v>iPad Pro 13-inch (2024)</x:v>
      </x:c>
      <x:c r="M60" s="22" t="str">
        <x:v>Proposed</x:v>
      </x:c>
      <x:c r="N60" s="22" t="str">
        <x:v>https://dghyt15qon7us.cloudfront.net/images/productTheme/Inventory/small/0.77606500%201721965061.jpg</x:v>
      </x:c>
      <x:c r="O60" s="22" t="str">
        <x:v>https://dghyt15qon7us.cloudfront.net/images/productTheme/Inventory/small/0.26437100%201721965010.jpg</x:v>
      </x:c>
      <x:c r="P60" s="19" t="str">
        <x:v>park-ridge</x:v>
      </x:c>
      <x:c r="Q60" s="20" t="n">
        <x:v>0</x:v>
      </x:c>
      <x:c r="R60" s="20" t="n">
        <x:f>MAX(0,Q60)</x:f>
        <x:v>0</x:v>
      </x:c>
      <x:c r="S60" s="21" t="n">
        <x:v>3</x:v>
      </x:c>
      <x:c r="T60" s="21" t="n">
        <x:f>IF(OR(F60="Hard Case",F60="Bubble Hard Case"),15,IF(F60="Twist Leather Case",5,IF(F60="Z-Fold Case",4,IFERROR(VLOOKUP(B60,'Cost Overrides'!$A$2:$B$17,2,FALSE),S60))))</x:f>
        <x:v>5</x:v>
      </x:c>
      <x:c r="U60" s="21" t="str">
        <x:f>IF(OR(F60="Hard Case",F60="Bubble Hard Case"),"Confirmed: Hard Case",IF(F60="Twist Leather Case","Confirmed: Twist Leather Case",IF(F60="Z-Fold Case","Confirmed: Z-Fold Case",IF(COUNTIF('Cost Overrides'!$A$2:$A$17,B60)&gt;0,"Confirmed: Owner cost override",IF(S60&lt;=0,"Needs cost","Source cost")))))</x:f>
        <x:v>Confirmed: Twist Leather Case</x:v>
      </x:c>
      <x:c r="V60" s="21" t="n">
        <x:v>39.95</x:v>
      </x:c>
      <x:c r="W60" s="21" t="n">
        <x:f>V60</x:f>
        <x:v>39.95</x:v>
      </x:c>
      <x:c r="X60" s="19" t="str">
        <x:v>NO</x:v>
      </x:c>
      <x:c r="Y60" s="19" t="str">
        <x:v>NO</x:v>
      </x:c>
      <x:c r="Z60" s="19" t="str">
        <x:v>42458963</x:v>
      </x:c>
      <x:c r="AA60" s="19" t="str">
        <x:v>50768935</x:v>
      </x:c>
      <x:c r="AB60" s="22" t="str">
        <x:f>IF(OR(M60&lt;&gt;"Approved",U60="Needs cost",O60=""),"Needs review","Ready after approval")</x:f>
        <x:v>Needs review</x:v>
      </x:c>
      <x:c r="AC60" s="22" t="str"/>
    </x:row>
    <x:row r="61">
      <x:c r="A61" s="19" t="str">
        <x:v>9243</x:v>
      </x:c>
      <x:c r="B61" s="19" t="str">
        <x:v>TM8-TAB-9243</x:v>
      </x:c>
      <x:c r="C61" s="19" t="str">
        <x:v>2999000092437</x:v>
      </x:c>
      <x:c r="D61" s="22" t="str">
        <x:v>iPad Pro 13 Inch 2024 Twist Leather Case Blue</x:v>
      </x:c>
      <x:c r="E61" s="22" t="str">
        <x:v>Twist Leather Case for iPad Pro 13-inch (2024) - Blue</x:v>
      </x:c>
      <x:c r="F61" s="22" t="str">
        <x:v>Twist Leather Case</x:v>
      </x:c>
      <x:c r="G61" s="22" t="str">
        <x:v>Blue</x:v>
      </x:c>
      <x:c r="H61" s="22" t="str">
        <x:v>TM8-GRP-IPAD-PRO13-2024-TLC</x:v>
      </x:c>
      <x:c r="I61" s="22" t="str">
        <x:v>Twist Leather Case for iPad Pro 13-inch (2024)</x:v>
      </x:c>
      <x:c r="J61" s="22" t="str">
        <x:v>iPad Pro 13-inch 2024</x:v>
      </x:c>
      <x:c r="K61" s="22" t="str">
        <x:v>IPAD-PRO13-2024</x:v>
      </x:c>
      <x:c r="L61" s="22" t="str">
        <x:v>iPad Pro 13-inch (2024)</x:v>
      </x:c>
      <x:c r="M61" s="22" t="str">
        <x:v>Proposed</x:v>
      </x:c>
      <x:c r="N61" s="22" t="str">
        <x:v>https://dghyt15qon7us.cloudfront.net/images/productTheme/Inventory/small/0.22076000%201721965035.jpg</x:v>
      </x:c>
      <x:c r="O61" s="22" t="str">
        <x:v>https://dghyt15qon7us.cloudfront.net/images/productTheme/Inventory/small/0.26437100%201721965010.jpg</x:v>
      </x:c>
      <x:c r="P61" s="19" t="str">
        <x:v>park-ridge</x:v>
      </x:c>
      <x:c r="Q61" s="20" t="n">
        <x:v>0</x:v>
      </x:c>
      <x:c r="R61" s="20" t="n">
        <x:f>MAX(0,Q61)</x:f>
        <x:v>0</x:v>
      </x:c>
      <x:c r="S61" s="21" t="n">
        <x:v>3</x:v>
      </x:c>
      <x:c r="T61" s="21" t="n">
        <x:f>IF(OR(F61="Hard Case",F61="Bubble Hard Case"),15,IF(F61="Twist Leather Case",5,IF(F61="Z-Fold Case",4,IFERROR(VLOOKUP(B61,'Cost Overrides'!$A$2:$B$17,2,FALSE),S61))))</x:f>
        <x:v>5</x:v>
      </x:c>
      <x:c r="U61" s="21" t="str">
        <x:f>IF(OR(F61="Hard Case",F61="Bubble Hard Case"),"Confirmed: Hard Case",IF(F61="Twist Leather Case","Confirmed: Twist Leather Case",IF(F61="Z-Fold Case","Confirmed: Z-Fold Case",IF(COUNTIF('Cost Overrides'!$A$2:$A$17,B61)&gt;0,"Confirmed: Owner cost override",IF(S61&lt;=0,"Needs cost","Source cost")))))</x:f>
        <x:v>Confirmed: Twist Leather Case</x:v>
      </x:c>
      <x:c r="V61" s="21" t="n">
        <x:v>39.95</x:v>
      </x:c>
      <x:c r="W61" s="21" t="n">
        <x:f>V61</x:f>
        <x:v>39.95</x:v>
      </x:c>
      <x:c r="X61" s="19" t="str">
        <x:v>NO</x:v>
      </x:c>
      <x:c r="Y61" s="19" t="str">
        <x:v>NO</x:v>
      </x:c>
      <x:c r="Z61" s="19" t="str">
        <x:v>42458962</x:v>
      </x:c>
      <x:c r="AA61" s="19" t="str">
        <x:v>50768932</x:v>
      </x:c>
      <x:c r="AB61" s="22" t="str">
        <x:f>IF(OR(M61&lt;&gt;"Approved",U61="Needs cost",O61=""),"Needs review","Ready after approval")</x:f>
        <x:v>Needs review</x:v>
      </x:c>
      <x:c r="AC61" s="22" t="str"/>
    </x:row>
    <x:row r="62">
      <x:c r="A62" s="19" t="str">
        <x:v>9242</x:v>
      </x:c>
      <x:c r="B62" s="19" t="str">
        <x:v>TM8-TAB-9242</x:v>
      </x:c>
      <x:c r="C62" s="19" t="str">
        <x:v>2999000092420</x:v>
      </x:c>
      <x:c r="D62" s="22" t="str">
        <x:v>iPad Pro 13 Inch 2024 Twist Leather Case Black</x:v>
      </x:c>
      <x:c r="E62" s="22" t="str">
        <x:v>Twist Leather Case for iPad Pro 13-inch (2024) - Black</x:v>
      </x:c>
      <x:c r="F62" s="22" t="str">
        <x:v>Twist Leather Case</x:v>
      </x:c>
      <x:c r="G62" s="22" t="str">
        <x:v>Black</x:v>
      </x:c>
      <x:c r="H62" s="22" t="str">
        <x:v>TM8-GRP-IPAD-PRO13-2024-TLC</x:v>
      </x:c>
      <x:c r="I62" s="22" t="str">
        <x:v>Twist Leather Case for iPad Pro 13-inch (2024)</x:v>
      </x:c>
      <x:c r="J62" s="22" t="str">
        <x:v>iPad Pro 13-inch 2024</x:v>
      </x:c>
      <x:c r="K62" s="22" t="str">
        <x:v>IPAD-PRO13-2024</x:v>
      </x:c>
      <x:c r="L62" s="22" t="str">
        <x:v>iPad Pro 13-inch (2024)</x:v>
      </x:c>
      <x:c r="M62" s="22" t="str">
        <x:v>Proposed</x:v>
      </x:c>
      <x:c r="N62" s="22" t="str">
        <x:v>https://dghyt15qon7us.cloudfront.net/images/productTheme/Inventory/small/0.26437100%201721965010.jpg</x:v>
      </x:c>
      <x:c r="O62" s="22" t="str">
        <x:v>https://dghyt15qon7us.cloudfront.net/images/productTheme/Inventory/small/0.26437100%201721965010.jpg</x:v>
      </x:c>
      <x:c r="P62" s="19" t="str">
        <x:v>park-ridge</x:v>
      </x:c>
      <x:c r="Q62" s="20" t="n">
        <x:v>-1</x:v>
      </x:c>
      <x:c r="R62" s="20" t="n">
        <x:f>MAX(0,Q62)</x:f>
        <x:v>0</x:v>
      </x:c>
      <x:c r="S62" s="21" t="n">
        <x:v>3</x:v>
      </x:c>
      <x:c r="T62" s="21" t="n">
        <x:f>IF(OR(F62="Hard Case",F62="Bubble Hard Case"),15,IF(F62="Twist Leather Case",5,IF(F62="Z-Fold Case",4,IFERROR(VLOOKUP(B62,'Cost Overrides'!$A$2:$B$17,2,FALSE),S62))))</x:f>
        <x:v>5</x:v>
      </x:c>
      <x:c r="U62" s="21" t="str">
        <x:f>IF(OR(F62="Hard Case",F62="Bubble Hard Case"),"Confirmed: Hard Case",IF(F62="Twist Leather Case","Confirmed: Twist Leather Case",IF(F62="Z-Fold Case","Confirmed: Z-Fold Case",IF(COUNTIF('Cost Overrides'!$A$2:$A$17,B62)&gt;0,"Confirmed: Owner cost override",IF(S62&lt;=0,"Needs cost","Source cost")))))</x:f>
        <x:v>Confirmed: Twist Leather Case</x:v>
      </x:c>
      <x:c r="V62" s="21" t="n">
        <x:v>39.95</x:v>
      </x:c>
      <x:c r="W62" s="21" t="n">
        <x:f>V62</x:f>
        <x:v>39.95</x:v>
      </x:c>
      <x:c r="X62" s="19" t="str">
        <x:v>NO</x:v>
      </x:c>
      <x:c r="Y62" s="19" t="str">
        <x:v>NO</x:v>
      </x:c>
      <x:c r="Z62" s="19" t="str">
        <x:v>42458961</x:v>
      </x:c>
      <x:c r="AA62" s="19" t="str">
        <x:v>50768929</x:v>
      </x:c>
      <x:c r="AB62" s="22" t="str">
        <x:f>IF(OR(M62&lt;&gt;"Approved",U62="Needs cost",O62=""),"Needs review","Ready after approval")</x:f>
        <x:v>Needs review</x:v>
      </x:c>
      <x:c r="AC62" s="22" t="str">
        <x:v>Negative source stock clipped to zero.</x:v>
      </x:c>
    </x:row>
    <x:row r="63">
      <x:c r="A63" s="19" t="str">
        <x:v>9241</x:v>
      </x:c>
      <x:c r="B63" s="19" t="str">
        <x:v>TM8-TAB-9241</x:v>
      </x:c>
      <x:c r="C63" s="19" t="str">
        <x:v>2999000092413</x:v>
      </x:c>
      <x:c r="D63" s="22" t="str">
        <x:v>iPad Pro 13 Inch 2024 Twist Leather Case Green</x:v>
      </x:c>
      <x:c r="E63" s="22" t="str">
        <x:v>Twist Leather Case for iPad Pro 13-inch (2024) - Green</x:v>
      </x:c>
      <x:c r="F63" s="22" t="str">
        <x:v>Twist Leather Case</x:v>
      </x:c>
      <x:c r="G63" s="22" t="str">
        <x:v>Green</x:v>
      </x:c>
      <x:c r="H63" s="22" t="str">
        <x:v>TM8-GRP-IPAD-PRO13-2024-TLC</x:v>
      </x:c>
      <x:c r="I63" s="22" t="str">
        <x:v>Twist Leather Case for iPad Pro 13-inch (2024)</x:v>
      </x:c>
      <x:c r="J63" s="22" t="str">
        <x:v>iPad Pro 13-inch 2024</x:v>
      </x:c>
      <x:c r="K63" s="22" t="str">
        <x:v>IPAD-PRO13-2024</x:v>
      </x:c>
      <x:c r="L63" s="22" t="str">
        <x:v>iPad Pro 13-inch (2024)</x:v>
      </x:c>
      <x:c r="M63" s="22" t="str">
        <x:v>Proposed</x:v>
      </x:c>
      <x:c r="N63" s="22" t="str">
        <x:v>https://dghyt15qon7us.cloudfront.net/images/productTheme/Inventory/small/0.51692500%201721964979.jpg</x:v>
      </x:c>
      <x:c r="O63" s="22" t="str">
        <x:v>https://dghyt15qon7us.cloudfront.net/images/productTheme/Inventory/small/0.26437100%201721965010.jpg</x:v>
      </x:c>
      <x:c r="P63" s="19" t="str">
        <x:v>park-ridge</x:v>
      </x:c>
      <x:c r="Q63" s="20" t="n">
        <x:v>0</x:v>
      </x:c>
      <x:c r="R63" s="20" t="n">
        <x:f>MAX(0,Q63)</x:f>
        <x:v>0</x:v>
      </x:c>
      <x:c r="S63" s="21" t="n">
        <x:v>3</x:v>
      </x:c>
      <x:c r="T63" s="21" t="n">
        <x:f>IF(OR(F63="Hard Case",F63="Bubble Hard Case"),15,IF(F63="Twist Leather Case",5,IF(F63="Z-Fold Case",4,IFERROR(VLOOKUP(B63,'Cost Overrides'!$A$2:$B$17,2,FALSE),S63))))</x:f>
        <x:v>5</x:v>
      </x:c>
      <x:c r="U63" s="21" t="str">
        <x:f>IF(OR(F63="Hard Case",F63="Bubble Hard Case"),"Confirmed: Hard Case",IF(F63="Twist Leather Case","Confirmed: Twist Leather Case",IF(F63="Z-Fold Case","Confirmed: Z-Fold Case",IF(COUNTIF('Cost Overrides'!$A$2:$A$17,B63)&gt;0,"Confirmed: Owner cost override",IF(S63&lt;=0,"Needs cost","Source cost")))))</x:f>
        <x:v>Confirmed: Twist Leather Case</x:v>
      </x:c>
      <x:c r="V63" s="21" t="n">
        <x:v>39.95</x:v>
      </x:c>
      <x:c r="W63" s="21" t="n">
        <x:f>V63</x:f>
        <x:v>39.95</x:v>
      </x:c>
      <x:c r="X63" s="19" t="str">
        <x:v>NO</x:v>
      </x:c>
      <x:c r="Y63" s="19" t="str">
        <x:v>NO</x:v>
      </x:c>
      <x:c r="Z63" s="19" t="str">
        <x:v>42458960</x:v>
      </x:c>
      <x:c r="AA63" s="19" t="str">
        <x:v>50768926</x:v>
      </x:c>
      <x:c r="AB63" s="22" t="str">
        <x:f>IF(OR(M63&lt;&gt;"Approved",U63="Needs cost",O63=""),"Needs review","Ready after approval")</x:f>
        <x:v>Needs review</x:v>
      </x:c>
      <x:c r="AC63" s="22" t="str"/>
    </x:row>
    <x:row r="64">
      <x:c r="A64" s="19" t="str">
        <x:v>9240</x:v>
      </x:c>
      <x:c r="B64" s="19" t="str">
        <x:v>TM8-TAB-9240</x:v>
      </x:c>
      <x:c r="C64" s="19" t="str">
        <x:v>2999000092406</x:v>
      </x:c>
      <x:c r="D64" s="22" t="str">
        <x:v>iPad Pro 11 Inch 2024 Twist Leather Case Gold</x:v>
      </x:c>
      <x:c r="E64" s="22" t="str">
        <x:v>Twist Leather Case for iPad Pro 11-inch (2024) - Gold</x:v>
      </x:c>
      <x:c r="F64" s="22" t="str">
        <x:v>Twist Leather Case</x:v>
      </x:c>
      <x:c r="G64" s="22" t="str">
        <x:v>Gold</x:v>
      </x:c>
      <x:c r="H64" s="22" t="str">
        <x:v>TM8-GRP-IPAD-PRO11-2024-TLC</x:v>
      </x:c>
      <x:c r="I64" s="22" t="str">
        <x:v>Twist Leather Case for iPad Pro 11-inch (2024)</x:v>
      </x:c>
      <x:c r="J64" s="22" t="str">
        <x:v>iPad Pro 11-inch 2024</x:v>
      </x:c>
      <x:c r="K64" s="22" t="str">
        <x:v>IPAD-PRO11-2024</x:v>
      </x:c>
      <x:c r="L64" s="22" t="str">
        <x:v>iPad Pro 11-inch (2024)</x:v>
      </x:c>
      <x:c r="M64" s="22" t="str">
        <x:v>Proposed</x:v>
      </x:c>
      <x:c r="N64" s="22" t="str">
        <x:v>https://dghyt15qon7us.cloudfront.net/images/productTheme/Inventory/small/0.20731500%201721964909.jpg</x:v>
      </x:c>
      <x:c r="O64" s="22" t="str">
        <x:v>https://dghyt15qon7us.cloudfront.net/images/productTheme/Inventory/small/0.80215600%201719896237.jpg</x:v>
      </x:c>
      <x:c r="P64" s="19" t="str">
        <x:v>park-ridge</x:v>
      </x:c>
      <x:c r="Q64" s="20" t="n">
        <x:v>2</x:v>
      </x:c>
      <x:c r="R64" s="20" t="n">
        <x:f>MAX(0,Q64)</x:f>
        <x:v>2</x:v>
      </x:c>
      <x:c r="S64" s="21" t="n">
        <x:v>3</x:v>
      </x:c>
      <x:c r="T64" s="21" t="n">
        <x:f>IF(OR(F64="Hard Case",F64="Bubble Hard Case"),15,IF(F64="Twist Leather Case",5,IF(F64="Z-Fold Case",4,IFERROR(VLOOKUP(B64,'Cost Overrides'!$A$2:$B$17,2,FALSE),S64))))</x:f>
        <x:v>5</x:v>
      </x:c>
      <x:c r="U64" s="21" t="str">
        <x:f>IF(OR(F64="Hard Case",F64="Bubble Hard Case"),"Confirmed: Hard Case",IF(F64="Twist Leather Case","Confirmed: Twist Leather Case",IF(F64="Z-Fold Case","Confirmed: Z-Fold Case",IF(COUNTIF('Cost Overrides'!$A$2:$A$17,B64)&gt;0,"Confirmed: Owner cost override",IF(S64&lt;=0,"Needs cost","Source cost")))))</x:f>
        <x:v>Confirmed: Twist Leather Case</x:v>
      </x:c>
      <x:c r="V64" s="21" t="n">
        <x:v>39.95</x:v>
      </x:c>
      <x:c r="W64" s="21" t="n">
        <x:f>V64</x:f>
        <x:v>39.95</x:v>
      </x:c>
      <x:c r="X64" s="19" t="str">
        <x:v>NO</x:v>
      </x:c>
      <x:c r="Y64" s="19" t="str">
        <x:v>NO</x:v>
      </x:c>
      <x:c r="Z64" s="19" t="str">
        <x:v>42458959</x:v>
      </x:c>
      <x:c r="AA64" s="19" t="str">
        <x:v>50768923</x:v>
      </x:c>
      <x:c r="AB64" s="22" t="str">
        <x:f>IF(OR(M64&lt;&gt;"Approved",U64="Needs cost",O64=""),"Needs review","Ready after approval")</x:f>
        <x:v>Needs review</x:v>
      </x:c>
      <x:c r="AC64" s="22" t="str"/>
    </x:row>
    <x:row r="65">
      <x:c r="A65" s="19" t="str">
        <x:v>9239</x:v>
      </x:c>
      <x:c r="B65" s="19" t="str">
        <x:v>TM8-TAB-9239</x:v>
      </x:c>
      <x:c r="C65" s="19" t="str">
        <x:v>2999000092390</x:v>
      </x:c>
      <x:c r="D65" s="22" t="str">
        <x:v>iPad Pro 11 Inch 2024 Twist Leather Case Red</x:v>
      </x:c>
      <x:c r="E65" s="22" t="str">
        <x:v>Twist Leather Case for iPad Pro 11-inch (2024) - Red</x:v>
      </x:c>
      <x:c r="F65" s="22" t="str">
        <x:v>Twist Leather Case</x:v>
      </x:c>
      <x:c r="G65" s="22" t="str">
        <x:v>Red</x:v>
      </x:c>
      <x:c r="H65" s="22" t="str">
        <x:v>TM8-GRP-IPAD-PRO11-2024-TLC</x:v>
      </x:c>
      <x:c r="I65" s="22" t="str">
        <x:v>Twist Leather Case for iPad Pro 11-inch (2024)</x:v>
      </x:c>
      <x:c r="J65" s="22" t="str">
        <x:v>iPad Pro 11-inch 2024</x:v>
      </x:c>
      <x:c r="K65" s="22" t="str">
        <x:v>IPAD-PRO11-2024</x:v>
      </x:c>
      <x:c r="L65" s="22" t="str">
        <x:v>iPad Pro 11-inch (2024)</x:v>
      </x:c>
      <x:c r="M65" s="22" t="str">
        <x:v>Proposed</x:v>
      </x:c>
      <x:c r="N65" s="22" t="str">
        <x:v>https://dghyt15qon7us.cloudfront.net/images/productTheme/Inventory/small/0.82996900%201721964880.jpg</x:v>
      </x:c>
      <x:c r="O65" s="22" t="str">
        <x:v>https://dghyt15qon7us.cloudfront.net/images/productTheme/Inventory/small/0.80215600%201719896237.jpg</x:v>
      </x:c>
      <x:c r="P65" s="19" t="str">
        <x:v>park-ridge</x:v>
      </x:c>
      <x:c r="Q65" s="20" t="n">
        <x:v>0</x:v>
      </x:c>
      <x:c r="R65" s="20" t="n">
        <x:f>MAX(0,Q65)</x:f>
        <x:v>0</x:v>
      </x:c>
      <x:c r="S65" s="21" t="n">
        <x:v>3</x:v>
      </x:c>
      <x:c r="T65" s="21" t="n">
        <x:f>IF(OR(F65="Hard Case",F65="Bubble Hard Case"),15,IF(F65="Twist Leather Case",5,IF(F65="Z-Fold Case",4,IFERROR(VLOOKUP(B65,'Cost Overrides'!$A$2:$B$17,2,FALSE),S65))))</x:f>
        <x:v>5</x:v>
      </x:c>
      <x:c r="U65" s="21" t="str">
        <x:f>IF(OR(F65="Hard Case",F65="Bubble Hard Case"),"Confirmed: Hard Case",IF(F65="Twist Leather Case","Confirmed: Twist Leather Case",IF(F65="Z-Fold Case","Confirmed: Z-Fold Case",IF(COUNTIF('Cost Overrides'!$A$2:$A$17,B65)&gt;0,"Confirmed: Owner cost override",IF(S65&lt;=0,"Needs cost","Source cost")))))</x:f>
        <x:v>Confirmed: Twist Leather Case</x:v>
      </x:c>
      <x:c r="V65" s="21" t="n">
        <x:v>39.95</x:v>
      </x:c>
      <x:c r="W65" s="21" t="n">
        <x:f>V65</x:f>
        <x:v>39.95</x:v>
      </x:c>
      <x:c r="X65" s="19" t="str">
        <x:v>NO</x:v>
      </x:c>
      <x:c r="Y65" s="19" t="str">
        <x:v>NO</x:v>
      </x:c>
      <x:c r="Z65" s="19" t="str">
        <x:v>42458958</x:v>
      </x:c>
      <x:c r="AA65" s="19" t="str">
        <x:v>50768920</x:v>
      </x:c>
      <x:c r="AB65" s="22" t="str">
        <x:f>IF(OR(M65&lt;&gt;"Approved",U65="Needs cost",O65=""),"Needs review","Ready after approval")</x:f>
        <x:v>Needs review</x:v>
      </x:c>
      <x:c r="AC65" s="22" t="str"/>
    </x:row>
    <x:row r="66">
      <x:c r="A66" s="19" t="str">
        <x:v>9238</x:v>
      </x:c>
      <x:c r="B66" s="19" t="str">
        <x:v>TM8-TAB-9238</x:v>
      </x:c>
      <x:c r="C66" s="19" t="str">
        <x:v>2999000092383</x:v>
      </x:c>
      <x:c r="D66" s="22" t="str">
        <x:v>iPad Pro 11 Inch 2024 Twist Leather Case Pink</x:v>
      </x:c>
      <x:c r="E66" s="22" t="str">
        <x:v>Twist Leather Case for iPad Pro 11-inch (2024) - Pink</x:v>
      </x:c>
      <x:c r="F66" s="22" t="str">
        <x:v>Twist Leather Case</x:v>
      </x:c>
      <x:c r="G66" s="22" t="str">
        <x:v>Pink</x:v>
      </x:c>
      <x:c r="H66" s="22" t="str">
        <x:v>TM8-GRP-IPAD-PRO11-2024-TLC</x:v>
      </x:c>
      <x:c r="I66" s="22" t="str">
        <x:v>Twist Leather Case for iPad Pro 11-inch (2024)</x:v>
      </x:c>
      <x:c r="J66" s="22" t="str">
        <x:v>iPad Pro 11-inch 2024</x:v>
      </x:c>
      <x:c r="K66" s="22" t="str">
        <x:v>IPAD-PRO11-2024</x:v>
      </x:c>
      <x:c r="L66" s="22" t="str">
        <x:v>iPad Pro 11-inch (2024)</x:v>
      </x:c>
      <x:c r="M66" s="22" t="str">
        <x:v>Proposed</x:v>
      </x:c>
      <x:c r="N66" s="22" t="str">
        <x:v>https://dghyt15qon7us.cloudfront.net/images/productTheme/Inventory/small/0.41013400%201721964862.jpg</x:v>
      </x:c>
      <x:c r="O66" s="22" t="str">
        <x:v>https://dghyt15qon7us.cloudfront.net/images/productTheme/Inventory/small/0.80215600%201719896237.jpg</x:v>
      </x:c>
      <x:c r="P66" s="19" t="str">
        <x:v>park-ridge</x:v>
      </x:c>
      <x:c r="Q66" s="20" t="n">
        <x:v>1</x:v>
      </x:c>
      <x:c r="R66" s="20" t="n">
        <x:f>MAX(0,Q66)</x:f>
        <x:v>1</x:v>
      </x:c>
      <x:c r="S66" s="21" t="n">
        <x:v>3</x:v>
      </x:c>
      <x:c r="T66" s="21" t="n">
        <x:f>IF(OR(F66="Hard Case",F66="Bubble Hard Case"),15,IF(F66="Twist Leather Case",5,IF(F66="Z-Fold Case",4,IFERROR(VLOOKUP(B66,'Cost Overrides'!$A$2:$B$17,2,FALSE),S66))))</x:f>
        <x:v>5</x:v>
      </x:c>
      <x:c r="U66" s="21" t="str">
        <x:f>IF(OR(F66="Hard Case",F66="Bubble Hard Case"),"Confirmed: Hard Case",IF(F66="Twist Leather Case","Confirmed: Twist Leather Case",IF(F66="Z-Fold Case","Confirmed: Z-Fold Case",IF(COUNTIF('Cost Overrides'!$A$2:$A$17,B66)&gt;0,"Confirmed: Owner cost override",IF(S66&lt;=0,"Needs cost","Source cost")))))</x:f>
        <x:v>Confirmed: Twist Leather Case</x:v>
      </x:c>
      <x:c r="V66" s="21" t="n">
        <x:v>39.95</x:v>
      </x:c>
      <x:c r="W66" s="21" t="n">
        <x:f>V66</x:f>
        <x:v>39.95</x:v>
      </x:c>
      <x:c r="X66" s="19" t="str">
        <x:v>NO</x:v>
      </x:c>
      <x:c r="Y66" s="19" t="str">
        <x:v>NO</x:v>
      </x:c>
      <x:c r="Z66" s="19" t="str">
        <x:v>42458957</x:v>
      </x:c>
      <x:c r="AA66" s="19" t="str">
        <x:v>50768917</x:v>
      </x:c>
      <x:c r="AB66" s="22" t="str">
        <x:f>IF(OR(M66&lt;&gt;"Approved",U66="Needs cost",O66=""),"Needs review","Ready after approval")</x:f>
        <x:v>Needs review</x:v>
      </x:c>
      <x:c r="AC66" s="22" t="str"/>
    </x:row>
    <x:row r="67">
      <x:c r="A67" s="19" t="str">
        <x:v>9237</x:v>
      </x:c>
      <x:c r="B67" s="19" t="str">
        <x:v>TM8-TAB-9237</x:v>
      </x:c>
      <x:c r="C67" s="19" t="str">
        <x:v>2999000092376</x:v>
      </x:c>
      <x:c r="D67" s="22" t="str">
        <x:v>iPad Pro 11 Inch 2024 Twist Leather Case Blue</x:v>
      </x:c>
      <x:c r="E67" s="22" t="str">
        <x:v>Twist Leather Case for iPad Pro 11-inch (2024) - Blue</x:v>
      </x:c>
      <x:c r="F67" s="22" t="str">
        <x:v>Twist Leather Case</x:v>
      </x:c>
      <x:c r="G67" s="22" t="str">
        <x:v>Blue</x:v>
      </x:c>
      <x:c r="H67" s="22" t="str">
        <x:v>TM8-GRP-IPAD-PRO11-2024-TLC</x:v>
      </x:c>
      <x:c r="I67" s="22" t="str">
        <x:v>Twist Leather Case for iPad Pro 11-inch (2024)</x:v>
      </x:c>
      <x:c r="J67" s="22" t="str">
        <x:v>iPad Pro 11-inch 2024</x:v>
      </x:c>
      <x:c r="K67" s="22" t="str">
        <x:v>IPAD-PRO11-2024</x:v>
      </x:c>
      <x:c r="L67" s="22" t="str">
        <x:v>iPad Pro 11-inch (2024)</x:v>
      </x:c>
      <x:c r="M67" s="22" t="str">
        <x:v>Proposed</x:v>
      </x:c>
      <x:c r="N67" s="22" t="str">
        <x:v>https://dghyt15qon7us.cloudfront.net/images/productTheme/Inventory/small/0.63357100%201721964843.jpg</x:v>
      </x:c>
      <x:c r="O67" s="22" t="str">
        <x:v>https://dghyt15qon7us.cloudfront.net/images/productTheme/Inventory/small/0.80215600%201719896237.jpg</x:v>
      </x:c>
      <x:c r="P67" s="19" t="str">
        <x:v>park-ridge</x:v>
      </x:c>
      <x:c r="Q67" s="20" t="n">
        <x:v>1</x:v>
      </x:c>
      <x:c r="R67" s="20" t="n">
        <x:f>MAX(0,Q67)</x:f>
        <x:v>1</x:v>
      </x:c>
      <x:c r="S67" s="21" t="n">
        <x:v>3</x:v>
      </x:c>
      <x:c r="T67" s="21" t="n">
        <x:f>IF(OR(F67="Hard Case",F67="Bubble Hard Case"),15,IF(F67="Twist Leather Case",5,IF(F67="Z-Fold Case",4,IFERROR(VLOOKUP(B67,'Cost Overrides'!$A$2:$B$17,2,FALSE),S67))))</x:f>
        <x:v>5</x:v>
      </x:c>
      <x:c r="U67" s="21" t="str">
        <x:f>IF(OR(F67="Hard Case",F67="Bubble Hard Case"),"Confirmed: Hard Case",IF(F67="Twist Leather Case","Confirmed: Twist Leather Case",IF(F67="Z-Fold Case","Confirmed: Z-Fold Case",IF(COUNTIF('Cost Overrides'!$A$2:$A$17,B67)&gt;0,"Confirmed: Owner cost override",IF(S67&lt;=0,"Needs cost","Source cost")))))</x:f>
        <x:v>Confirmed: Twist Leather Case</x:v>
      </x:c>
      <x:c r="V67" s="21" t="n">
        <x:v>39.95</x:v>
      </x:c>
      <x:c r="W67" s="21" t="n">
        <x:f>V67</x:f>
        <x:v>39.95</x:v>
      </x:c>
      <x:c r="X67" s="19" t="str">
        <x:v>NO</x:v>
      </x:c>
      <x:c r="Y67" s="19" t="str">
        <x:v>NO</x:v>
      </x:c>
      <x:c r="Z67" s="19" t="str">
        <x:v>42458956</x:v>
      </x:c>
      <x:c r="AA67" s="19" t="str">
        <x:v>50768914</x:v>
      </x:c>
      <x:c r="AB67" s="22" t="str">
        <x:f>IF(OR(M67&lt;&gt;"Approved",U67="Needs cost",O67=""),"Needs review","Ready after approval")</x:f>
        <x:v>Needs review</x:v>
      </x:c>
      <x:c r="AC67" s="22" t="str"/>
    </x:row>
    <x:row r="68">
      <x:c r="A68" s="19" t="str">
        <x:v>9236</x:v>
      </x:c>
      <x:c r="B68" s="19" t="str">
        <x:v>TM8-TAB-9236</x:v>
      </x:c>
      <x:c r="C68" s="19" t="str">
        <x:v>2999000092369</x:v>
      </x:c>
      <x:c r="D68" s="22" t="str">
        <x:v>iPad Pro 11 Inch 2024 Twist Leather Case Purple</x:v>
      </x:c>
      <x:c r="E68" s="22" t="str">
        <x:v>Twist Leather Case for iPad Pro 11-inch (2024) - Purple</x:v>
      </x:c>
      <x:c r="F68" s="22" t="str">
        <x:v>Twist Leather Case</x:v>
      </x:c>
      <x:c r="G68" s="22" t="str">
        <x:v>Purple</x:v>
      </x:c>
      <x:c r="H68" s="22" t="str">
        <x:v>TM8-GRP-IPAD-PRO11-2024-TLC</x:v>
      </x:c>
      <x:c r="I68" s="22" t="str">
        <x:v>Twist Leather Case for iPad Pro 11-inch (2024)</x:v>
      </x:c>
      <x:c r="J68" s="22" t="str">
        <x:v>iPad Pro 11-inch 2024</x:v>
      </x:c>
      <x:c r="K68" s="22" t="str">
        <x:v>IPAD-PRO11-2024</x:v>
      </x:c>
      <x:c r="L68" s="22" t="str">
        <x:v>iPad Pro 11-inch (2024)</x:v>
      </x:c>
      <x:c r="M68" s="22" t="str">
        <x:v>Proposed</x:v>
      </x:c>
      <x:c r="N68" s="22" t="str">
        <x:v>https://dghyt15qon7us.cloudfront.net/images/productTheme/Inventory/small/0.00181100%201721964804.jpg</x:v>
      </x:c>
      <x:c r="O68" s="22" t="str">
        <x:v>https://dghyt15qon7us.cloudfront.net/images/productTheme/Inventory/small/0.80215600%201719896237.jpg</x:v>
      </x:c>
      <x:c r="P68" s="19" t="str">
        <x:v>park-ridge</x:v>
      </x:c>
      <x:c r="Q68" s="20" t="n">
        <x:v>1</x:v>
      </x:c>
      <x:c r="R68" s="20" t="n">
        <x:f>MAX(0,Q68)</x:f>
        <x:v>1</x:v>
      </x:c>
      <x:c r="S68" s="21" t="n">
        <x:v>3</x:v>
      </x:c>
      <x:c r="T68" s="21" t="n">
        <x:f>IF(OR(F68="Hard Case",F68="Bubble Hard Case"),15,IF(F68="Twist Leather Case",5,IF(F68="Z-Fold Case",4,IFERROR(VLOOKUP(B68,'Cost Overrides'!$A$2:$B$17,2,FALSE),S68))))</x:f>
        <x:v>5</x:v>
      </x:c>
      <x:c r="U68" s="21" t="str">
        <x:f>IF(OR(F68="Hard Case",F68="Bubble Hard Case"),"Confirmed: Hard Case",IF(F68="Twist Leather Case","Confirmed: Twist Leather Case",IF(F68="Z-Fold Case","Confirmed: Z-Fold Case",IF(COUNTIF('Cost Overrides'!$A$2:$A$17,B68)&gt;0,"Confirmed: Owner cost override",IF(S68&lt;=0,"Needs cost","Source cost")))))</x:f>
        <x:v>Confirmed: Twist Leather Case</x:v>
      </x:c>
      <x:c r="V68" s="21" t="n">
        <x:v>39.95</x:v>
      </x:c>
      <x:c r="W68" s="21" t="n">
        <x:f>V68</x:f>
        <x:v>39.95</x:v>
      </x:c>
      <x:c r="X68" s="19" t="str">
        <x:v>NO</x:v>
      </x:c>
      <x:c r="Y68" s="19" t="str">
        <x:v>NO</x:v>
      </x:c>
      <x:c r="Z68" s="19" t="str">
        <x:v>42458955</x:v>
      </x:c>
      <x:c r="AA68" s="19" t="str">
        <x:v>50768911</x:v>
      </x:c>
      <x:c r="AB68" s="22" t="str">
        <x:f>IF(OR(M68&lt;&gt;"Approved",U68="Needs cost",O68=""),"Needs review","Ready after approval")</x:f>
        <x:v>Needs review</x:v>
      </x:c>
      <x:c r="AC68" s="22" t="str"/>
    </x:row>
    <x:row r="69">
      <x:c r="A69" s="19" t="str">
        <x:v>9235</x:v>
      </x:c>
      <x:c r="B69" s="19" t="str">
        <x:v>TM8-TAB-9235</x:v>
      </x:c>
      <x:c r="C69" s="19" t="str">
        <x:v>2999000092352</x:v>
      </x:c>
      <x:c r="D69" s="22" t="str">
        <x:v>iPad Pro 11 Inch 2024 Twist Leather Case Green</x:v>
      </x:c>
      <x:c r="E69" s="22" t="str">
        <x:v>Twist Leather Case for iPad Pro 11-inch (2024) - Green</x:v>
      </x:c>
      <x:c r="F69" s="22" t="str">
        <x:v>Twist Leather Case</x:v>
      </x:c>
      <x:c r="G69" s="22" t="str">
        <x:v>Green</x:v>
      </x:c>
      <x:c r="H69" s="22" t="str">
        <x:v>TM8-GRP-IPAD-PRO11-2024-TLC</x:v>
      </x:c>
      <x:c r="I69" s="22" t="str">
        <x:v>Twist Leather Case for iPad Pro 11-inch (2024)</x:v>
      </x:c>
      <x:c r="J69" s="22" t="str">
        <x:v>iPad Pro 11-inch 2024</x:v>
      </x:c>
      <x:c r="K69" s="22" t="str">
        <x:v>IPAD-PRO11-2024</x:v>
      </x:c>
      <x:c r="L69" s="22" t="str">
        <x:v>iPad Pro 11-inch (2024)</x:v>
      </x:c>
      <x:c r="M69" s="22" t="str">
        <x:v>Proposed</x:v>
      </x:c>
      <x:c r="N69" s="22" t="str">
        <x:v>https://dghyt15qon7us.cloudfront.net/images/productTheme/Inventory/small/0.04242300%20172196475942458954.jpg</x:v>
      </x:c>
      <x:c r="O69" s="22" t="str">
        <x:v>https://dghyt15qon7us.cloudfront.net/images/productTheme/Inventory/small/0.80215600%201719896237.jpg</x:v>
      </x:c>
      <x:c r="P69" s="19" t="str">
        <x:v>park-ridge</x:v>
      </x:c>
      <x:c r="Q69" s="20" t="n">
        <x:v>1</x:v>
      </x:c>
      <x:c r="R69" s="20" t="n">
        <x:f>MAX(0,Q69)</x:f>
        <x:v>1</x:v>
      </x:c>
      <x:c r="S69" s="21" t="n">
        <x:v>3</x:v>
      </x:c>
      <x:c r="T69" s="21" t="n">
        <x:f>IF(OR(F69="Hard Case",F69="Bubble Hard Case"),15,IF(F69="Twist Leather Case",5,IF(F69="Z-Fold Case",4,IFERROR(VLOOKUP(B69,'Cost Overrides'!$A$2:$B$17,2,FALSE),S69))))</x:f>
        <x:v>5</x:v>
      </x:c>
      <x:c r="U69" s="21" t="str">
        <x:f>IF(OR(F69="Hard Case",F69="Bubble Hard Case"),"Confirmed: Hard Case",IF(F69="Twist Leather Case","Confirmed: Twist Leather Case",IF(F69="Z-Fold Case","Confirmed: Z-Fold Case",IF(COUNTIF('Cost Overrides'!$A$2:$A$17,B69)&gt;0,"Confirmed: Owner cost override",IF(S69&lt;=0,"Needs cost","Source cost")))))</x:f>
        <x:v>Confirmed: Twist Leather Case</x:v>
      </x:c>
      <x:c r="V69" s="21" t="n">
        <x:v>39.95</x:v>
      </x:c>
      <x:c r="W69" s="21" t="n">
        <x:f>V69</x:f>
        <x:v>39.95</x:v>
      </x:c>
      <x:c r="X69" s="19" t="str">
        <x:v>NO</x:v>
      </x:c>
      <x:c r="Y69" s="19" t="str">
        <x:v>NO</x:v>
      </x:c>
      <x:c r="Z69" s="19" t="str">
        <x:v>42458954</x:v>
      </x:c>
      <x:c r="AA69" s="19" t="str">
        <x:v>50768908</x:v>
      </x:c>
      <x:c r="AB69" s="22" t="str">
        <x:f>IF(OR(M69&lt;&gt;"Approved",U69="Needs cost",O69=""),"Needs review","Ready after approval")</x:f>
        <x:v>Needs review</x:v>
      </x:c>
      <x:c r="AC69" s="22" t="str"/>
    </x:row>
    <x:row r="70">
      <x:c r="A70" s="19" t="str">
        <x:v>9194</x:v>
      </x:c>
      <x:c r="B70" s="19" t="str">
        <x:v>TM8-TAB-9194</x:v>
      </x:c>
      <x:c r="C70" s="19" t="str">
        <x:v>2999000091942</x:v>
      </x:c>
      <x:c r="D70" s="22" t="str">
        <x:v>iPad Pro 11 Inch 2024 Twist Leather Case Black</x:v>
      </x:c>
      <x:c r="E70" s="22" t="str">
        <x:v>Twist Leather Case for iPad Pro 11-inch (2024) - Black</x:v>
      </x:c>
      <x:c r="F70" s="22" t="str">
        <x:v>Twist Leather Case</x:v>
      </x:c>
      <x:c r="G70" s="22" t="str">
        <x:v>Black</x:v>
      </x:c>
      <x:c r="H70" s="22" t="str">
        <x:v>TM8-GRP-IPAD-PRO11-2024-TLC</x:v>
      </x:c>
      <x:c r="I70" s="22" t="str">
        <x:v>Twist Leather Case for iPad Pro 11-inch (2024)</x:v>
      </x:c>
      <x:c r="J70" s="22" t="str">
        <x:v>iPad Pro 11-inch 2024</x:v>
      </x:c>
      <x:c r="K70" s="22" t="str">
        <x:v>IPAD-PRO11-2024</x:v>
      </x:c>
      <x:c r="L70" s="22" t="str">
        <x:v>iPad Pro 11-inch (2024)</x:v>
      </x:c>
      <x:c r="M70" s="22" t="str">
        <x:v>Proposed</x:v>
      </x:c>
      <x:c r="N70" s="22" t="str">
        <x:v>https://dghyt15qon7us.cloudfront.net/images/productTheme/Inventory/small/0.80215600%201719896237.jpg</x:v>
      </x:c>
      <x:c r="O70" s="22" t="str">
        <x:v>https://dghyt15qon7us.cloudfront.net/images/productTheme/Inventory/small/0.80215600%201719896237.jpg</x:v>
      </x:c>
      <x:c r="P70" s="19" t="str">
        <x:v>park-ridge</x:v>
      </x:c>
      <x:c r="Q70" s="20" t="n">
        <x:v>1</x:v>
      </x:c>
      <x:c r="R70" s="20" t="n">
        <x:f>MAX(0,Q70)</x:f>
        <x:v>1</x:v>
      </x:c>
      <x:c r="S70" s="21" t="n">
        <x:v>10</x:v>
      </x:c>
      <x:c r="T70" s="21" t="n">
        <x:f>IF(OR(F70="Hard Case",F70="Bubble Hard Case"),15,IF(F70="Twist Leather Case",5,IF(F70="Z-Fold Case",4,IFERROR(VLOOKUP(B70,'Cost Overrides'!$A$2:$B$17,2,FALSE),S70))))</x:f>
        <x:v>5</x:v>
      </x:c>
      <x:c r="U70" s="21" t="str">
        <x:f>IF(OR(F70="Hard Case",F70="Bubble Hard Case"),"Confirmed: Hard Case",IF(F70="Twist Leather Case","Confirmed: Twist Leather Case",IF(F70="Z-Fold Case","Confirmed: Z-Fold Case",IF(COUNTIF('Cost Overrides'!$A$2:$A$17,B70)&gt;0,"Confirmed: Owner cost override",IF(S70&lt;=0,"Needs cost","Source cost")))))</x:f>
        <x:v>Confirmed: Twist Leather Case</x:v>
      </x:c>
      <x:c r="V70" s="21" t="n">
        <x:v>39.95</x:v>
      </x:c>
      <x:c r="W70" s="21" t="n">
        <x:f>V70</x:f>
        <x:v>39.95</x:v>
      </x:c>
      <x:c r="X70" s="19" t="str">
        <x:v>NO</x:v>
      </x:c>
      <x:c r="Y70" s="19" t="str">
        <x:v>NO</x:v>
      </x:c>
      <x:c r="Z70" s="19" t="str">
        <x:v>42458913</x:v>
      </x:c>
      <x:c r="AA70" s="19" t="str">
        <x:v>50768785</x:v>
      </x:c>
      <x:c r="AB70" s="22" t="str">
        <x:f>IF(OR(M70&lt;&gt;"Approved",U70="Needs cost",O70=""),"Needs review","Ready after approval")</x:f>
        <x:v>Needs review</x:v>
      </x:c>
      <x:c r="AC70" s="22" t="str"/>
    </x:row>
    <x:row r="71">
      <x:c r="A71" s="19" t="str">
        <x:v>9193</x:v>
      </x:c>
      <x:c r="B71" s="19" t="str">
        <x:v>TM8-TAB-9193</x:v>
      </x:c>
      <x:c r="C71" s="19" t="str">
        <x:v>2999000091935</x:v>
      </x:c>
      <x:c r="D71" s="22" t="str">
        <x:v>iPad Air 6 11-inch Hard Case Black</x:v>
      </x:c>
      <x:c r="E71" s="22" t="str">
        <x:v>Hard Case for iPad Air 11-inch (2024) - Black</x:v>
      </x:c>
      <x:c r="F71" s="22" t="str">
        <x:v>Hard Case</x:v>
      </x:c>
      <x:c r="G71" s="22" t="str">
        <x:v>Black</x:v>
      </x:c>
      <x:c r="H71" s="22" t="str">
        <x:v>TM8-GRP-IPAD-AIR11-2024-HDC</x:v>
      </x:c>
      <x:c r="I71" s="22" t="str">
        <x:v>Hard Case for iPad Air 11-inch (2024)</x:v>
      </x:c>
      <x:c r="J71" s="22" t="str">
        <x:v>iPad Air 11-inch 2024(Air 6</x:v>
      </x:c>
      <x:c r="K71" s="22" t="str">
        <x:v>IPAD-AIR11-2024</x:v>
      </x:c>
      <x:c r="L71" s="22" t="str">
        <x:v>iPad Air 11-inch (2024)</x:v>
      </x:c>
      <x:c r="M71" s="22" t="str">
        <x:v>Proposed</x:v>
      </x:c>
      <x:c r="N71" s="22" t="str">
        <x:v>https://dghyt15qon7us.cloudfront.net/images/productTheme/Inventory/small/0.42545700%201719884073.jpg</x:v>
      </x:c>
      <x:c r="O71" s="22" t="str">
        <x:v>https://dghyt15qon7us.cloudfront.net/images/productTheme/Inventory/small/0.42545700%201719884073.jpg</x:v>
      </x:c>
      <x:c r="P71" s="19" t="str">
        <x:v>park-ridge</x:v>
      </x:c>
      <x:c r="Q71" s="20" t="n">
        <x:v>2</x:v>
      </x:c>
      <x:c r="R71" s="20" t="n">
        <x:f>MAX(0,Q71)</x:f>
        <x:v>2</x:v>
      </x:c>
      <x:c r="S71" s="21" t="n">
        <x:v>15</x:v>
      </x:c>
      <x:c r="T71" s="21" t="n">
        <x:f>IF(OR(F71="Hard Case",F71="Bubble Hard Case"),15,IF(F71="Twist Leather Case",5,IF(F71="Z-Fold Case",4,IFERROR(VLOOKUP(B71,'Cost Overrides'!$A$2:$B$17,2,FALSE),S71))))</x:f>
        <x:v>15</x:v>
      </x:c>
      <x:c r="U71" s="21" t="str">
        <x:f>IF(OR(F71="Hard Case",F71="Bubble Hard Case"),"Confirmed: Hard Case",IF(F71="Twist Leather Case","Confirmed: Twist Leather Case",IF(F71="Z-Fold Case","Confirmed: Z-Fold Case",IF(COUNTIF('Cost Overrides'!$A$2:$A$17,B71)&gt;0,"Confirmed: Owner cost override",IF(S71&lt;=0,"Needs cost","Source cost")))))</x:f>
        <x:v>Confirmed: Hard Case</x:v>
      </x:c>
      <x:c r="V71" s="21" t="n">
        <x:v>49.95</x:v>
      </x:c>
      <x:c r="W71" s="21" t="n">
        <x:f>V71</x:f>
        <x:v>49.95</x:v>
      </x:c>
      <x:c r="X71" s="19" t="str">
        <x:v>NO</x:v>
      </x:c>
      <x:c r="Y71" s="19" t="str">
        <x:v>NO</x:v>
      </x:c>
      <x:c r="Z71" s="19" t="str">
        <x:v>42458912</x:v>
      </x:c>
      <x:c r="AA71" s="19" t="str">
        <x:v>50768782</x:v>
      </x:c>
      <x:c r="AB71" s="22" t="str">
        <x:f>IF(OR(M71&lt;&gt;"Approved",U71="Needs cost",O71=""),"Needs review","Ready after approval")</x:f>
        <x:v>Needs review</x:v>
      </x:c>
      <x:c r="AC71" s="22" t="str"/>
    </x:row>
    <x:row r="72">
      <x:c r="A72" s="19" t="str">
        <x:v>9192</x:v>
      </x:c>
      <x:c r="B72" s="19" t="str">
        <x:v>TM8-TAB-9192</x:v>
      </x:c>
      <x:c r="C72" s="19" t="str">
        <x:v>2999000091928</x:v>
      </x:c>
      <x:c r="D72" s="22" t="str">
        <x:v>iPad Pro 13-inch Hard Case Black</x:v>
      </x:c>
      <x:c r="E72" s="22" t="str">
        <x:v>Hard Case for iPad Pro 13-inch (2024) - Black</x:v>
      </x:c>
      <x:c r="F72" s="22" t="str">
        <x:v>Hard Case</x:v>
      </x:c>
      <x:c r="G72" s="22" t="str">
        <x:v>Black</x:v>
      </x:c>
      <x:c r="H72" s="22" t="str">
        <x:v>TM8-GRP-IPAD-PRO13-2024-HDC</x:v>
      </x:c>
      <x:c r="I72" s="22" t="str">
        <x:v>Hard Case for iPad Pro 13-inch (2024)</x:v>
      </x:c>
      <x:c r="J72" s="22" t="str">
        <x:v>iPad Pro 13-inch 2024</x:v>
      </x:c>
      <x:c r="K72" s="22" t="str">
        <x:v>IPAD-PRO13-2024</x:v>
      </x:c>
      <x:c r="L72" s="22" t="str">
        <x:v>iPad Pro 13-inch (2024)</x:v>
      </x:c>
      <x:c r="M72" s="22" t="str">
        <x:v>Proposed</x:v>
      </x:c>
      <x:c r="N72" s="22" t="str">
        <x:v>https://dghyt15qon7us.cloudfront.net/images/productTheme/Inventory/small/0.67812600%201719882401.jpg</x:v>
      </x:c>
      <x:c r="O72" s="22" t="str">
        <x:v>https://dghyt15qon7us.cloudfront.net/images/productTheme/Inventory/small/0.67812600%201719882401.jpg</x:v>
      </x:c>
      <x:c r="P72" s="19" t="str">
        <x:v>park-ridge</x:v>
      </x:c>
      <x:c r="Q72" s="20" t="n">
        <x:v>0</x:v>
      </x:c>
      <x:c r="R72" s="20" t="n">
        <x:f>MAX(0,Q72)</x:f>
        <x:v>0</x:v>
      </x:c>
      <x:c r="S72" s="21" t="n">
        <x:v>15</x:v>
      </x:c>
      <x:c r="T72" s="21" t="n">
        <x:f>IF(OR(F72="Hard Case",F72="Bubble Hard Case"),15,IF(F72="Twist Leather Case",5,IF(F72="Z-Fold Case",4,IFERROR(VLOOKUP(B72,'Cost Overrides'!$A$2:$B$17,2,FALSE),S72))))</x:f>
        <x:v>15</x:v>
      </x:c>
      <x:c r="U72" s="21" t="str">
        <x:f>IF(OR(F72="Hard Case",F72="Bubble Hard Case"),"Confirmed: Hard Case",IF(F72="Twist Leather Case","Confirmed: Twist Leather Case",IF(F72="Z-Fold Case","Confirmed: Z-Fold Case",IF(COUNTIF('Cost Overrides'!$A$2:$A$17,B72)&gt;0,"Confirmed: Owner cost override",IF(S72&lt;=0,"Needs cost","Source cost")))))</x:f>
        <x:v>Confirmed: Hard Case</x:v>
      </x:c>
      <x:c r="V72" s="21" t="n">
        <x:v>49.95</x:v>
      </x:c>
      <x:c r="W72" s="21" t="n">
        <x:f>V72</x:f>
        <x:v>49.95</x:v>
      </x:c>
      <x:c r="X72" s="19" t="str">
        <x:v>NO</x:v>
      </x:c>
      <x:c r="Y72" s="19" t="str">
        <x:v>NO</x:v>
      </x:c>
      <x:c r="Z72" s="19" t="str">
        <x:v>42458911</x:v>
      </x:c>
      <x:c r="AA72" s="19" t="str">
        <x:v>50768779</x:v>
      </x:c>
      <x:c r="AB72" s="22" t="str">
        <x:f>IF(OR(M72&lt;&gt;"Approved",U72="Needs cost",O72=""),"Needs review","Ready after approval")</x:f>
        <x:v>Needs review</x:v>
      </x:c>
      <x:c r="AC72" s="22" t="str"/>
    </x:row>
    <x:row r="73">
      <x:c r="A73" s="19" t="str">
        <x:v>9191</x:v>
      </x:c>
      <x:c r="B73" s="19" t="str">
        <x:v>TM8-TAB-9191</x:v>
      </x:c>
      <x:c r="C73" s="19" t="str">
        <x:v>2999000091911</x:v>
      </x:c>
      <x:c r="D73" s="22" t="str">
        <x:v>iPad Pro 11 Inch 2024 Hard Case Black</x:v>
      </x:c>
      <x:c r="E73" s="22" t="str">
        <x:v>Hard Case for iPad Pro 11-inch (2024) - Black</x:v>
      </x:c>
      <x:c r="F73" s="22" t="str">
        <x:v>Hard Case</x:v>
      </x:c>
      <x:c r="G73" s="22" t="str">
        <x:v>Black</x:v>
      </x:c>
      <x:c r="H73" s="22" t="str">
        <x:v>TM8-GRP-IPAD-PRO11-2024-HDC</x:v>
      </x:c>
      <x:c r="I73" s="22" t="str">
        <x:v>Hard Case for iPad Pro 11-inch (2024)</x:v>
      </x:c>
      <x:c r="J73" s="22" t="str">
        <x:v>iPad Pro 11-inch 2024</x:v>
      </x:c>
      <x:c r="K73" s="22" t="str">
        <x:v>IPAD-PRO11-2024</x:v>
      </x:c>
      <x:c r="L73" s="22" t="str">
        <x:v>iPad Pro 11-inch (2024)</x:v>
      </x:c>
      <x:c r="M73" s="22" t="str">
        <x:v>Proposed</x:v>
      </x:c>
      <x:c r="N73" s="22" t="str">
        <x:v>https://dghyt15qon7us.cloudfront.net/images/productTheme/Inventory/small/0.38465200%201719882266.jpg</x:v>
      </x:c>
      <x:c r="O73" s="22" t="str">
        <x:v>https://dghyt15qon7us.cloudfront.net/images/productTheme/Inventory/small/0.38465200%201719882266.jpg</x:v>
      </x:c>
      <x:c r="P73" s="19" t="str">
        <x:v>park-ridge</x:v>
      </x:c>
      <x:c r="Q73" s="20" t="n">
        <x:v>0</x:v>
      </x:c>
      <x:c r="R73" s="20" t="n">
        <x:f>MAX(0,Q73)</x:f>
        <x:v>0</x:v>
      </x:c>
      <x:c r="S73" s="21" t="n">
        <x:v>13</x:v>
      </x:c>
      <x:c r="T73" s="21" t="n">
        <x:f>IF(OR(F73="Hard Case",F73="Bubble Hard Case"),15,IF(F73="Twist Leather Case",5,IF(F73="Z-Fold Case",4,IFERROR(VLOOKUP(B73,'Cost Overrides'!$A$2:$B$17,2,FALSE),S73))))</x:f>
        <x:v>15</x:v>
      </x:c>
      <x:c r="U73" s="21" t="str">
        <x:f>IF(OR(F73="Hard Case",F73="Bubble Hard Case"),"Confirmed: Hard Case",IF(F73="Twist Leather Case","Confirmed: Twist Leather Case",IF(F73="Z-Fold Case","Confirmed: Z-Fold Case",IF(COUNTIF('Cost Overrides'!$A$2:$A$17,B73)&gt;0,"Confirmed: Owner cost override",IF(S73&lt;=0,"Needs cost","Source cost")))))</x:f>
        <x:v>Confirmed: Hard Case</x:v>
      </x:c>
      <x:c r="V73" s="21" t="n">
        <x:v>49.95</x:v>
      </x:c>
      <x:c r="W73" s="21" t="n">
        <x:f>V73</x:f>
        <x:v>49.95</x:v>
      </x:c>
      <x:c r="X73" s="19" t="str">
        <x:v>NO</x:v>
      </x:c>
      <x:c r="Y73" s="19" t="str">
        <x:v>NO</x:v>
      </x:c>
      <x:c r="Z73" s="19" t="str">
        <x:v>42458910</x:v>
      </x:c>
      <x:c r="AA73" s="19" t="str">
        <x:v>50768776</x:v>
      </x:c>
      <x:c r="AB73" s="22" t="str">
        <x:f>IF(OR(M73&lt;&gt;"Approved",U73="Needs cost",O73=""),"Needs review","Ready after approval")</x:f>
        <x:v>Needs review</x:v>
      </x:c>
      <x:c r="AC73" s="22" t="str"/>
    </x:row>
    <x:row r="74">
      <x:c r="A74" s="19" t="str">
        <x:v>9079</x:v>
      </x:c>
      <x:c r="B74" s="19" t="str">
        <x:v>TM8-TAB-9079</x:v>
      </x:c>
      <x:c r="C74" s="19" t="str">
        <x:v>2999000090792</x:v>
      </x:c>
      <x:c r="D74" s="22" t="str">
        <x:v>iPad Hard Case Samsung A9 Plus</x:v>
      </x:c>
      <x:c r="E74" s="22" t="str">
        <x:v>Hard Case for Samsung Galaxy Tab A9 Plus</x:v>
      </x:c>
      <x:c r="F74" s="22" t="str">
        <x:v>Hard Case</x:v>
      </x:c>
      <x:c r="G74" s="22" t="str">
        <x:v>Unspecified</x:v>
      </x:c>
      <x:c r="H74" s="22" t="str">
        <x:v>TM8-GRP-SAMSUNG-A9-PLUS-HDC</x:v>
      </x:c>
      <x:c r="I74" s="22" t="str">
        <x:v>Hard Case for Samsung Galaxy Tab A9 Plus</x:v>
      </x:c>
      <x:c r="J74" s="22" t="str">
        <x:v>Samsung Tablet</x:v>
      </x:c>
      <x:c r="K74" s="22" t="str">
        <x:v>SAMSUNG-A9-PLUS</x:v>
      </x:c>
      <x:c r="L74" s="22" t="str">
        <x:v>Samsung Galaxy Tab A9 Plus</x:v>
      </x:c>
      <x:c r="M74" s="22" t="str">
        <x:v>Proposed</x:v>
      </x:c>
      <x:c r="N74" s="22" t="str">
        <x:v>https://dghyt15qon7us.cloudfront.net/images/productTheme/Inventory/small/0.11463000%201712624953.jpg</x:v>
      </x:c>
      <x:c r="O74" s="22" t="str">
        <x:v>https://dghyt15qon7us.cloudfront.net/images/productTheme/Inventory/small/0.11463000%201712624953.jpg</x:v>
      </x:c>
      <x:c r="P74" s="19" t="str">
        <x:v>park-ridge</x:v>
      </x:c>
      <x:c r="Q74" s="20" t="n">
        <x:v>0</x:v>
      </x:c>
      <x:c r="R74" s="20" t="n">
        <x:f>MAX(0,Q74)</x:f>
        <x:v>0</x:v>
      </x:c>
      <x:c r="S74" s="21" t="n">
        <x:v>0</x:v>
      </x:c>
      <x:c r="T74" s="21" t="n">
        <x:f>IF(OR(F74="Hard Case",F74="Bubble Hard Case"),15,IF(F74="Twist Leather Case",5,IF(F74="Z-Fold Case",4,IFERROR(VLOOKUP(B74,'Cost Overrides'!$A$2:$B$17,2,FALSE),S74))))</x:f>
        <x:v>15</x:v>
      </x:c>
      <x:c r="U74" s="21" t="str">
        <x:f>IF(OR(F74="Hard Case",F74="Bubble Hard Case"),"Confirmed: Hard Case",IF(F74="Twist Leather Case","Confirmed: Twist Leather Case",IF(F74="Z-Fold Case","Confirmed: Z-Fold Case",IF(COUNTIF('Cost Overrides'!$A$2:$A$17,B74)&gt;0,"Confirmed: Owner cost override",IF(S74&lt;=0,"Needs cost","Source cost")))))</x:f>
        <x:v>Confirmed: Hard Case</x:v>
      </x:c>
      <x:c r="V74" s="21" t="n">
        <x:v>49.95</x:v>
      </x:c>
      <x:c r="W74" s="21" t="n">
        <x:f>V74</x:f>
        <x:v>49.95</x:v>
      </x:c>
      <x:c r="X74" s="19" t="str">
        <x:v>NO</x:v>
      </x:c>
      <x:c r="Y74" s="19" t="str">
        <x:v>NO</x:v>
      </x:c>
      <x:c r="Z74" s="19" t="str">
        <x:v>42458798</x:v>
      </x:c>
      <x:c r="AA74" s="19" t="str">
        <x:v>50768440</x:v>
      </x:c>
      <x:c r="AB74" s="22" t="str">
        <x:f>IF(OR(M74&lt;&gt;"Approved",U74="Needs cost",O74=""),"Needs review","Ready after approval")</x:f>
        <x:v>Needs review</x:v>
      </x:c>
      <x:c r="AC74" s="22" t="str"/>
    </x:row>
    <x:row r="75">
      <x:c r="A75" s="19" t="str">
        <x:v>8912</x:v>
      </x:c>
      <x:c r="B75" s="19" t="str">
        <x:v>TM8-TAB-8912</x:v>
      </x:c>
      <x:c r="C75" s="19" t="str">
        <x:v>2999000089123</x:v>
      </x:c>
      <x:c r="D75" s="22" t="str">
        <x:v>Twist Leather Case 7 Inch Red</x:v>
      </x:c>
      <x:c r="E75" s="22" t="str">
        <x:v>Twist Leather Case for Universal 7-inch tablet fit - Red</x:v>
      </x:c>
      <x:c r="F75" s="22" t="str">
        <x:v>Twist Leather Case</x:v>
      </x:c>
      <x:c r="G75" s="22" t="str">
        <x:v>Red</x:v>
      </x:c>
      <x:c r="H75" s="22" t="str">
        <x:v>TM8-GRP-UNIVERSAL-7-TLC</x:v>
      </x:c>
      <x:c r="I75" s="22" t="str">
        <x:v>Twist Leather Case for Universal 7-inch tablet fit</x:v>
      </x:c>
      <x:c r="J75" s="22" t="str">
        <x:v>Universal case</x:v>
      </x:c>
      <x:c r="K75" s="22" t="str">
        <x:v>UNIVERSAL-7</x:v>
      </x:c>
      <x:c r="L75" s="22" t="str">
        <x:v>Universal 7-inch tablet fit</x:v>
      </x:c>
      <x:c r="M75" s="22" t="str">
        <x:v>Proposed</x:v>
      </x:c>
      <x:c r="N75" s="22" t="str">
        <x:v>https://dghyt15qon7us.cloudfront.net/images/productTheme/Inventory/small/1704184490.jpg</x:v>
      </x:c>
      <x:c r="O75" s="22" t="str">
        <x:v>https://dghyt15qon7us.cloudfront.net/images/productTheme/Inventory/small/1681610314.jpg</x:v>
      </x:c>
      <x:c r="P75" s="19" t="str">
        <x:v>park-ridge</x:v>
      </x:c>
      <x:c r="Q75" s="20" t="n">
        <x:v>0</x:v>
      </x:c>
      <x:c r="R75" s="20" t="n">
        <x:f>MAX(0,Q75)</x:f>
        <x:v>0</x:v>
      </x:c>
      <x:c r="S75" s="21" t="n">
        <x:v>3</x:v>
      </x:c>
      <x:c r="T75" s="21" t="n">
        <x:f>IF(OR(F75="Hard Case",F75="Bubble Hard Case"),15,IF(F75="Twist Leather Case",5,IF(F75="Z-Fold Case",4,IFERROR(VLOOKUP(B75,'Cost Overrides'!$A$2:$B$17,2,FALSE),S75))))</x:f>
        <x:v>5</x:v>
      </x:c>
      <x:c r="U75" s="21" t="str">
        <x:f>IF(OR(F75="Hard Case",F75="Bubble Hard Case"),"Confirmed: Hard Case",IF(F75="Twist Leather Case","Confirmed: Twist Leather Case",IF(F75="Z-Fold Case","Confirmed: Z-Fold Case",IF(COUNTIF('Cost Overrides'!$A$2:$A$17,B75)&gt;0,"Confirmed: Owner cost override",IF(S75&lt;=0,"Needs cost","Source cost")))))</x:f>
        <x:v>Confirmed: Twist Leather Case</x:v>
      </x:c>
      <x:c r="V75" s="21" t="n">
        <x:v>39.95</x:v>
      </x:c>
      <x:c r="W75" s="21" t="n">
        <x:f>V75</x:f>
        <x:v>39.95</x:v>
      </x:c>
      <x:c r="X75" s="19" t="str">
        <x:v>NO</x:v>
      </x:c>
      <x:c r="Y75" s="19" t="str">
        <x:v>NO</x:v>
      </x:c>
      <x:c r="Z75" s="19" t="str">
        <x:v>42458631</x:v>
      </x:c>
      <x:c r="AA75" s="19" t="str">
        <x:v>50767936</x:v>
      </x:c>
      <x:c r="AB75" s="22" t="str">
        <x:f>IF(OR(M75&lt;&gt;"Approved",U75="Needs cost",O75=""),"Needs review","Ready after approval")</x:f>
        <x:v>Needs review</x:v>
      </x:c>
      <x:c r="AC75" s="22" t="str"/>
    </x:row>
    <x:row r="76">
      <x:c r="A76" s="19" t="str">
        <x:v>8881</x:v>
      </x:c>
      <x:c r="B76" s="19" t="str">
        <x:v>TM8-TAB-8881</x:v>
      </x:c>
      <x:c r="C76" s="19" t="str">
        <x:v>2999000088812</x:v>
      </x:c>
      <x:c r="D76" s="22" t="str">
        <x:v>iPad Survivor mini 4/5 (Any colour)</x:v>
      </x:c>
      <x:c r="E76" s="22" t="str">
        <x:v>Survivor Case for iPad mini 4/5 - Assorted</x:v>
      </x:c>
      <x:c r="F76" s="22" t="str">
        <x:v>Survivor Case</x:v>
      </x:c>
      <x:c r="G76" s="22" t="str">
        <x:v>Assorted</x:v>
      </x:c>
      <x:c r="H76" s="22" t="str">
        <x:v>TM8-GRP-IPAD-MINI45-SUR</x:v>
      </x:c>
      <x:c r="I76" s="22" t="str">
        <x:v>Survivor Case for iPad mini 4/5</x:v>
      </x:c>
      <x:c r="J76" s="22" t="str">
        <x:v>iPad mini 4/5</x:v>
      </x:c>
      <x:c r="K76" s="22" t="str">
        <x:v>IPAD-MINI45</x:v>
      </x:c>
      <x:c r="L76" s="22" t="str">
        <x:v>iPad mini 4/5</x:v>
      </x:c>
      <x:c r="M76" s="22" t="str">
        <x:v>Proposed</x:v>
      </x:c>
      <x:c r="N76" s="22" t="str">
        <x:v>https://dghyt15qon7us.cloudfront.net/images/productTheme/Inventory/small/1703659106.jpg</x:v>
      </x:c>
      <x:c r="O76" s="22" t="str">
        <x:v>https://dghyt15qon7us.cloudfront.net/images/productTheme/Inventory/small/1703659106.jpg</x:v>
      </x:c>
      <x:c r="P76" s="19" t="str">
        <x:v>park-ridge</x:v>
      </x:c>
      <x:c r="Q76" s="20" t="n">
        <x:v>5</x:v>
      </x:c>
      <x:c r="R76" s="20" t="n">
        <x:f>MAX(0,Q76)</x:f>
        <x:v>5</x:v>
      </x:c>
      <x:c r="S76" s="21" t="n">
        <x:v>0</x:v>
      </x:c>
      <x:c r="T76" s="21" t="n">
        <x:f>IF(OR(F76="Hard Case",F76="Bubble Hard Case"),15,IF(F76="Twist Leather Case",5,IF(F76="Z-Fold Case",4,IFERROR(VLOOKUP(B76,'Cost Overrides'!$A$2:$B$17,2,FALSE),S76))))</x:f>
        <x:v>15</x:v>
      </x:c>
      <x:c r="U76" s="21" t="str">
        <x:f>IF(OR(F76="Hard Case",F76="Bubble Hard Case"),"Confirmed: Hard Case",IF(F76="Twist Leather Case","Confirmed: Twist Leather Case",IF(F76="Z-Fold Case","Confirmed: Z-Fold Case",IF(COUNTIF('Cost Overrides'!$A$2:$A$17,B76)&gt;0,"Confirmed: Owner cost override",IF(S76&lt;=0,"Needs cost","Source cost")))))</x:f>
        <x:v>Confirmed: Owner cost override</x:v>
      </x:c>
      <x:c r="V76" s="21" t="n">
        <x:v>49</x:v>
      </x:c>
      <x:c r="W76" s="21" t="n">
        <x:f>V76</x:f>
        <x:v>49</x:v>
      </x:c>
      <x:c r="X76" s="19" t="str">
        <x:v>NO</x:v>
      </x:c>
      <x:c r="Y76" s="19" t="str">
        <x:v>NO</x:v>
      </x:c>
      <x:c r="Z76" s="19" t="str">
        <x:v>42458600</x:v>
      </x:c>
      <x:c r="AA76" s="19" t="str">
        <x:v>50767846</x:v>
      </x:c>
      <x:c r="AB76" s="22" t="str">
        <x:f>IF(OR(M76&lt;&gt;"Approved",U76="Needs cost",O76=""),"Needs review","Ready after approval")</x:f>
        <x:v>Needs review</x:v>
      </x:c>
      <x:c r="AC76" s="22" t="str"/>
    </x:row>
    <x:row r="77">
      <x:c r="A77" s="19" t="str">
        <x:v>8880</x:v>
      </x:c>
      <x:c r="B77" s="19" t="str">
        <x:v>TM8-TAB-8880</x:v>
      </x:c>
      <x:c r="C77" s="19" t="str">
        <x:v>2999000088805</x:v>
      </x:c>
      <x:c r="D77" s="22" t="str">
        <x:v>Case A7 (Any colour)</x:v>
      </x:c>
      <x:c r="E77" s="22" t="str">
        <x:v>Tablet Case for Samsung Galaxy Tab A7 - Assorted</x:v>
      </x:c>
      <x:c r="F77" s="22" t="str">
        <x:v>Tablet Case</x:v>
      </x:c>
      <x:c r="G77" s="22" t="str">
        <x:v>Assorted</x:v>
      </x:c>
      <x:c r="H77" s="22" t="str">
        <x:v>TM8-GRP-SAMSUNG-A7-TBC</x:v>
      </x:c>
      <x:c r="I77" s="22" t="str">
        <x:v>Tablet Case for Samsung Galaxy Tab A7</x:v>
      </x:c>
      <x:c r="J77" s="22" t="str">
        <x:v>Samsung Tablet</x:v>
      </x:c>
      <x:c r="K77" s="22" t="str">
        <x:v>SAMSUNG-A7</x:v>
      </x:c>
      <x:c r="L77" s="22" t="str">
        <x:v>Samsung Galaxy Tab A7</x:v>
      </x:c>
      <x:c r="M77" s="22" t="str">
        <x:v>Proposed</x:v>
      </x:c>
      <x:c r="N77" s="22" t="str">
        <x:v>https://dghyt15qon7us.cloudfront.net/images/productTheme/Inventory/small/1703658867.jpg</x:v>
      </x:c>
      <x:c r="O77" s="22" t="str">
        <x:v>https://dghyt15qon7us.cloudfront.net/images/productTheme/Inventory/small/1703658867.jpg</x:v>
      </x:c>
      <x:c r="P77" s="19" t="str">
        <x:v>park-ridge</x:v>
      </x:c>
      <x:c r="Q77" s="20" t="n">
        <x:v>2</x:v>
      </x:c>
      <x:c r="R77" s="20" t="n">
        <x:f>MAX(0,Q77)</x:f>
        <x:v>2</x:v>
      </x:c>
      <x:c r="S77" s="21" t="n">
        <x:v>0</x:v>
      </x:c>
      <x:c r="T77" s="21" t="n">
        <x:f>IF(OR(F77="Hard Case",F77="Bubble Hard Case"),15,IF(F77="Twist Leather Case",5,IF(F77="Z-Fold Case",4,IFERROR(VLOOKUP(B77,'Cost Overrides'!$A$2:$B$17,2,FALSE),S77))))</x:f>
        <x:v>5</x:v>
      </x:c>
      <x:c r="U77" s="21" t="str">
        <x:f>IF(OR(F77="Hard Case",F77="Bubble Hard Case"),"Confirmed: Hard Case",IF(F77="Twist Leather Case","Confirmed: Twist Leather Case",IF(F77="Z-Fold Case","Confirmed: Z-Fold Case",IF(COUNTIF('Cost Overrides'!$A$2:$A$17,B77)&gt;0,"Confirmed: Owner cost override",IF(S77&lt;=0,"Needs cost","Source cost")))))</x:f>
        <x:v>Confirmed: Owner cost override</x:v>
      </x:c>
      <x:c r="V77" s="21" t="n">
        <x:v>39</x:v>
      </x:c>
      <x:c r="W77" s="21" t="n">
        <x:f>V77</x:f>
        <x:v>39</x:v>
      </x:c>
      <x:c r="X77" s="19" t="str">
        <x:v>NO</x:v>
      </x:c>
      <x:c r="Y77" s="19" t="str">
        <x:v>NO</x:v>
      </x:c>
      <x:c r="Z77" s="19" t="str">
        <x:v>42458599</x:v>
      </x:c>
      <x:c r="AA77" s="19" t="str">
        <x:v>50767843</x:v>
      </x:c>
      <x:c r="AB77" s="22" t="str">
        <x:f>IF(OR(M77&lt;&gt;"Approved",U77="Needs cost",O77=""),"Needs review","Ready after approval")</x:f>
        <x:v>Needs review</x:v>
      </x:c>
      <x:c r="AC77" s="22" t="str"/>
    </x:row>
    <x:row r="78">
      <x:c r="A78" s="19" t="str">
        <x:v>8879</x:v>
      </x:c>
      <x:c r="B78" s="19" t="str">
        <x:v>TM8-TAB-8879</x:v>
      </x:c>
      <x:c r="C78" s="19" t="str">
        <x:v>2999000088799</x:v>
      </x:c>
      <x:c r="D78" s="22" t="str">
        <x:v>iPad Survivor Mini 6  (Any colour)</x:v>
      </x:c>
      <x:c r="E78" s="22" t="str">
        <x:v>Survivor Case for iPad mini 6 - Assorted</x:v>
      </x:c>
      <x:c r="F78" s="22" t="str">
        <x:v>Survivor Case</x:v>
      </x:c>
      <x:c r="G78" s="22" t="str">
        <x:v>Assorted</x:v>
      </x:c>
      <x:c r="H78" s="22" t="str">
        <x:v>TM8-GRP-IPAD-MINI6-SUR</x:v>
      </x:c>
      <x:c r="I78" s="22" t="str">
        <x:v>Survivor Case for iPad mini 6</x:v>
      </x:c>
      <x:c r="J78" s="22" t="str">
        <x:v>iPad mini 6</x:v>
      </x:c>
      <x:c r="K78" s="22" t="str">
        <x:v>IPAD-MINI6</x:v>
      </x:c>
      <x:c r="L78" s="22" t="str">
        <x:v>iPad mini 6</x:v>
      </x:c>
      <x:c r="M78" s="22" t="str">
        <x:v>Proposed</x:v>
      </x:c>
      <x:c r="N78" s="22" t="str">
        <x:v>https://dghyt15qon7us.cloudfront.net/images/productTheme/Inventory/small/1703658763.jpg</x:v>
      </x:c>
      <x:c r="O78" s="22" t="str">
        <x:v>https://dghyt15qon7us.cloudfront.net/images/productTheme/Inventory/small/1703658763.jpg</x:v>
      </x:c>
      <x:c r="P78" s="19" t="str">
        <x:v>park-ridge</x:v>
      </x:c>
      <x:c r="Q78" s="20" t="n">
        <x:v>0</x:v>
      </x:c>
      <x:c r="R78" s="20" t="n">
        <x:f>MAX(0,Q78)</x:f>
        <x:v>0</x:v>
      </x:c>
      <x:c r="S78" s="21" t="n">
        <x:v>0</x:v>
      </x:c>
      <x:c r="T78" s="21" t="n">
        <x:f>IF(OR(F78="Hard Case",F78="Bubble Hard Case"),15,IF(F78="Twist Leather Case",5,IF(F78="Z-Fold Case",4,IFERROR(VLOOKUP(B78,'Cost Overrides'!$A$2:$B$17,2,FALSE),S78))))</x:f>
        <x:v>15</x:v>
      </x:c>
      <x:c r="U78" s="21" t="str">
        <x:f>IF(OR(F78="Hard Case",F78="Bubble Hard Case"),"Confirmed: Hard Case",IF(F78="Twist Leather Case","Confirmed: Twist Leather Case",IF(F78="Z-Fold Case","Confirmed: Z-Fold Case",IF(COUNTIF('Cost Overrides'!$A$2:$A$17,B78)&gt;0,"Confirmed: Owner cost override",IF(S78&lt;=0,"Needs cost","Source cost")))))</x:f>
        <x:v>Confirmed: Owner cost override</x:v>
      </x:c>
      <x:c r="V78" s="21" t="n">
        <x:v>49</x:v>
      </x:c>
      <x:c r="W78" s="21" t="n">
        <x:f>V78</x:f>
        <x:v>49</x:v>
      </x:c>
      <x:c r="X78" s="19" t="str">
        <x:v>NO</x:v>
      </x:c>
      <x:c r="Y78" s="19" t="str">
        <x:v>NO</x:v>
      </x:c>
      <x:c r="Z78" s="19" t="str">
        <x:v>42458598</x:v>
      </x:c>
      <x:c r="AA78" s="19" t="str">
        <x:v>50767840</x:v>
      </x:c>
      <x:c r="AB78" s="22" t="str">
        <x:f>IF(OR(M78&lt;&gt;"Approved",U78="Needs cost",O78=""),"Needs review","Ready after approval")</x:f>
        <x:v>Needs review</x:v>
      </x:c>
      <x:c r="AC78" s="22" t="str"/>
    </x:row>
    <x:row r="79">
      <x:c r="A79" s="19" t="str">
        <x:v>8878</x:v>
      </x:c>
      <x:c r="B79" s="19" t="str">
        <x:v>TM8-TAB-8878</x:v>
      </x:c>
      <x:c r="C79" s="19" t="str">
        <x:v>2999000088782</x:v>
      </x:c>
      <x:c r="D79" s="22" t="str">
        <x:v>iPad Survivor 10.2 Inch (Any colour)</x:v>
      </x:c>
      <x:c r="E79" s="22" t="str">
        <x:v>Survivor Case for iPad 10.2-inch (Gen 7/8/9) - Assorted</x:v>
      </x:c>
      <x:c r="F79" s="22" t="str">
        <x:v>Survivor Case</x:v>
      </x:c>
      <x:c r="G79" s="22" t="str">
        <x:v>Assorted</x:v>
      </x:c>
      <x:c r="H79" s="22" t="str">
        <x:v>TM8-GRP-IPAD-102-GEN789-SUR</x:v>
      </x:c>
      <x:c r="I79" s="22" t="str">
        <x:v>Survivor Case for iPad 10.2-inch (Gen 7/8/9)</x:v>
      </x:c>
      <x:c r="J79" s="22" t="str">
        <x:v>iPad 10.2 Inch</x:v>
      </x:c>
      <x:c r="K79" s="22" t="str">
        <x:v>IPAD-102-GEN789</x:v>
      </x:c>
      <x:c r="L79" s="22" t="str">
        <x:v>iPad 10.2-inch (Gen 7/8/9)</x:v>
      </x:c>
      <x:c r="M79" s="22" t="str">
        <x:v>Proposed</x:v>
      </x:c>
      <x:c r="N79" s="22" t="str">
        <x:v>https://dghyt15qon7us.cloudfront.net/images/productTheme/Inventory/small/1703658008.jpg</x:v>
      </x:c>
      <x:c r="O79" s="22" t="str">
        <x:v>https://dghyt15qon7us.cloudfront.net/images/productTheme/Inventory/small/1703658008.jpg</x:v>
      </x:c>
      <x:c r="P79" s="19" t="str">
        <x:v>park-ridge</x:v>
      </x:c>
      <x:c r="Q79" s="20" t="n">
        <x:v>-1</x:v>
      </x:c>
      <x:c r="R79" s="20" t="n">
        <x:f>MAX(0,Q79)</x:f>
        <x:v>0</x:v>
      </x:c>
      <x:c r="S79" s="21" t="n">
        <x:v>0</x:v>
      </x:c>
      <x:c r="T79" s="21" t="n">
        <x:f>IF(OR(F79="Hard Case",F79="Bubble Hard Case"),15,IF(F79="Twist Leather Case",5,IF(F79="Z-Fold Case",4,IFERROR(VLOOKUP(B79,'Cost Overrides'!$A$2:$B$17,2,FALSE),S79))))</x:f>
        <x:v>15</x:v>
      </x:c>
      <x:c r="U79" s="21" t="str">
        <x:f>IF(OR(F79="Hard Case",F79="Bubble Hard Case"),"Confirmed: Hard Case",IF(F79="Twist Leather Case","Confirmed: Twist Leather Case",IF(F79="Z-Fold Case","Confirmed: Z-Fold Case",IF(COUNTIF('Cost Overrides'!$A$2:$A$17,B79)&gt;0,"Confirmed: Owner cost override",IF(S79&lt;=0,"Needs cost","Source cost")))))</x:f>
        <x:v>Confirmed: Owner cost override</x:v>
      </x:c>
      <x:c r="V79" s="21" t="n">
        <x:v>49</x:v>
      </x:c>
      <x:c r="W79" s="21" t="n">
        <x:f>V79</x:f>
        <x:v>49</x:v>
      </x:c>
      <x:c r="X79" s="19" t="str">
        <x:v>NO</x:v>
      </x:c>
      <x:c r="Y79" s="19" t="str">
        <x:v>NO</x:v>
      </x:c>
      <x:c r="Z79" s="19" t="str">
        <x:v>42458597</x:v>
      </x:c>
      <x:c r="AA79" s="19" t="str">
        <x:v>50767838</x:v>
      </x:c>
      <x:c r="AB79" s="22" t="str">
        <x:f>IF(OR(M79&lt;&gt;"Approved",U79="Needs cost",O79=""),"Needs review","Ready after approval")</x:f>
        <x:v>Needs review</x:v>
      </x:c>
      <x:c r="AC79" s="22" t="str">
        <x:v>Negative source stock clipped to zero.</x:v>
      </x:c>
    </x:row>
    <x:row r="80">
      <x:c r="A80" s="19" t="str">
        <x:v>8877</x:v>
      </x:c>
      <x:c r="B80" s="19" t="str">
        <x:v>TM8-TAB-8877</x:v>
      </x:c>
      <x:c r="C80" s="19" t="str">
        <x:v>2999000088775</x:v>
      </x:c>
      <x:c r="D80" s="22" t="str">
        <x:v>iPad Survivor 9.7 Inch (Any colour)</x:v>
      </x:c>
      <x:c r="E80" s="22" t="str">
        <x:v>Survivor Case for iPad 9.7-inch (Gen 5/6 and Air 1/2) - Assorted</x:v>
      </x:c>
      <x:c r="F80" s="22" t="str">
        <x:v>Survivor Case</x:v>
      </x:c>
      <x:c r="G80" s="22" t="str">
        <x:v>Assorted</x:v>
      </x:c>
      <x:c r="H80" s="22" t="str">
        <x:v>TM8-GRP-IPAD-97-LEGACY-SUR</x:v>
      </x:c>
      <x:c r="I80" s="22" t="str">
        <x:v>Survivor Case for iPad 9.7-inch (Gen 5/6 and Air 1/2)</x:v>
      </x:c>
      <x:c r="J80" s="22" t="str">
        <x:v>iPad 9.7 Inch</x:v>
      </x:c>
      <x:c r="K80" s="22" t="str">
        <x:v>IPAD-97-LEGACY</x:v>
      </x:c>
      <x:c r="L80" s="22" t="str">
        <x:v>iPad 9.7-inch (Gen 5/6 and Air 1/2)</x:v>
      </x:c>
      <x:c r="M80" s="22" t="str">
        <x:v>Approved</x:v>
      </x:c>
      <x:c r="N80" s="22" t="str">
        <x:v>https://dghyt15qon7us.cloudfront.net/images/productTheme/Inventory/small/1703655729.jpg</x:v>
      </x:c>
      <x:c r="O80" s="22" t="str">
        <x:v>https://dghyt15qon7us.cloudfront.net/images/productTheme/Inventory/small/1703655729.jpg</x:v>
      </x:c>
      <x:c r="P80" s="19" t="str">
        <x:v>park-ridge</x:v>
      </x:c>
      <x:c r="Q80" s="20" t="n">
        <x:v>0</x:v>
      </x:c>
      <x:c r="R80" s="20" t="n">
        <x:f>MAX(0,Q80)</x:f>
        <x:v>0</x:v>
      </x:c>
      <x:c r="S80" s="21" t="n">
        <x:v>0</x:v>
      </x:c>
      <x:c r="T80" s="21" t="n">
        <x:f>IF(OR(F80="Hard Case",F80="Bubble Hard Case"),15,IF(F80="Twist Leather Case",5,IF(F80="Z-Fold Case",4,IFERROR(VLOOKUP(B80,'Cost Overrides'!$A$2:$B$17,2,FALSE),S80))))</x:f>
        <x:v>15</x:v>
      </x:c>
      <x:c r="U80" s="21" t="str">
        <x:f>IF(OR(F80="Hard Case",F80="Bubble Hard Case"),"Confirmed: Hard Case",IF(F80="Twist Leather Case","Confirmed: Twist Leather Case",IF(F80="Z-Fold Case","Confirmed: Z-Fold Case",IF(COUNTIF('Cost Overrides'!$A$2:$A$17,B80)&gt;0,"Confirmed: Owner cost override",IF(S80&lt;=0,"Needs cost","Source cost")))))</x:f>
        <x:v>Confirmed: Owner cost override</x:v>
      </x:c>
      <x:c r="V80" s="21" t="n">
        <x:v>49</x:v>
      </x:c>
      <x:c r="W80" s="21" t="n">
        <x:f>V80</x:f>
        <x:v>49</x:v>
      </x:c>
      <x:c r="X80" s="19" t="str">
        <x:v>NO</x:v>
      </x:c>
      <x:c r="Y80" s="19" t="str">
        <x:v>NO</x:v>
      </x:c>
      <x:c r="Z80" s="19" t="str">
        <x:v>42458596</x:v>
      </x:c>
      <x:c r="AA80" s="19" t="str">
        <x:v>50767834</x:v>
      </x:c>
      <x:c r="AB80" s="22" t="str">
        <x:f>IF(OR(M80&lt;&gt;"Approved",U80="Needs cost",O80=""),"Needs review","Ready after approval")</x:f>
        <x:v>Ready after approval</x:v>
      </x:c>
      <x:c r="AC80" s="22" t="str"/>
    </x:row>
    <x:row r="81">
      <x:c r="A81" s="19" t="str">
        <x:v>8876</x:v>
      </x:c>
      <x:c r="B81" s="19" t="str">
        <x:v>TM8-TAB-8876</x:v>
      </x:c>
      <x:c r="C81" s="19" t="str">
        <x:v>2999000088768</x:v>
      </x:c>
      <x:c r="D81" s="22" t="str">
        <x:v>iPad Flip Case 10.2 Inch Mint</x:v>
      </x:c>
      <x:c r="E81" s="22" t="str">
        <x:v>Flip Case for iPad 10.2-inch (Gen 7/8/9) - Mint</x:v>
      </x:c>
      <x:c r="F81" s="22" t="str">
        <x:v>Flip Case</x:v>
      </x:c>
      <x:c r="G81" s="22" t="str">
        <x:v>Mint</x:v>
      </x:c>
      <x:c r="H81" s="22" t="str">
        <x:v>TM8-GRP-IPAD-102-GEN789-FLC</x:v>
      </x:c>
      <x:c r="I81" s="22" t="str">
        <x:v>Flip Case for iPad 10.2-inch (Gen 7/8/9)</x:v>
      </x:c>
      <x:c r="J81" s="22" t="str">
        <x:v>iPad 10.2 Inch</x:v>
      </x:c>
      <x:c r="K81" s="22" t="str">
        <x:v>IPAD-102-GEN789</x:v>
      </x:c>
      <x:c r="L81" s="22" t="str">
        <x:v>iPad 10.2-inch (Gen 7/8/9)</x:v>
      </x:c>
      <x:c r="M81" s="22" t="str">
        <x:v>Proposed</x:v>
      </x:c>
      <x:c r="N81" s="22" t="str">
        <x:v>https://dghyt15qon7us.cloudfront.net/images/productTheme/Inventory/small/1703654827.jpg</x:v>
      </x:c>
      <x:c r="O81" s="22" t="str">
        <x:v>https://dghyt15qon7us.cloudfront.net/images/productTheme/Inventory/small/1703654690.jpg</x:v>
      </x:c>
      <x:c r="P81" s="19" t="str">
        <x:v>park-ridge</x:v>
      </x:c>
      <x:c r="Q81" s="20" t="n">
        <x:v>0</x:v>
      </x:c>
      <x:c r="R81" s="20" t="n">
        <x:f>MAX(0,Q81)</x:f>
        <x:v>0</x:v>
      </x:c>
      <x:c r="S81" s="21" t="n">
        <x:v>0</x:v>
      </x:c>
      <x:c r="T81" s="21" t="n">
        <x:f>IF(OR(F81="Hard Case",F81="Bubble Hard Case"),15,IF(F81="Twist Leather Case",5,IF(F81="Z-Fold Case",4,IFERROR(VLOOKUP(B81,'Cost Overrides'!$A$2:$B$17,2,FALSE),S81))))</x:f>
        <x:v>4</x:v>
      </x:c>
      <x:c r="U81" s="21" t="str">
        <x:f>IF(OR(F81="Hard Case",F81="Bubble Hard Case"),"Confirmed: Hard Case",IF(F81="Twist Leather Case","Confirmed: Twist Leather Case",IF(F81="Z-Fold Case","Confirmed: Z-Fold Case",IF(COUNTIF('Cost Overrides'!$A$2:$A$17,B81)&gt;0,"Confirmed: Owner cost override",IF(S81&lt;=0,"Needs cost","Source cost")))))</x:f>
        <x:v>Confirmed: Owner cost override</x:v>
      </x:c>
      <x:c r="V81" s="21" t="n">
        <x:v>39</x:v>
      </x:c>
      <x:c r="W81" s="21" t="n">
        <x:f>V81</x:f>
        <x:v>39</x:v>
      </x:c>
      <x:c r="X81" s="19" t="str">
        <x:v>NO</x:v>
      </x:c>
      <x:c r="Y81" s="19" t="str">
        <x:v>NO</x:v>
      </x:c>
      <x:c r="Z81" s="19" t="str">
        <x:v>42458595</x:v>
      </x:c>
      <x:c r="AA81" s="19" t="str">
        <x:v>50767831</x:v>
      </x:c>
      <x:c r="AB81" s="22" t="str">
        <x:f>IF(OR(M81&lt;&gt;"Approved",U81="Needs cost",O81=""),"Needs review","Ready after approval")</x:f>
        <x:v>Needs review</x:v>
      </x:c>
      <x:c r="AC81" s="22" t="str"/>
    </x:row>
    <x:row r="82">
      <x:c r="A82" s="19" t="str">
        <x:v>8875</x:v>
      </x:c>
      <x:c r="B82" s="19" t="str">
        <x:v>TM8-TAB-8875</x:v>
      </x:c>
      <x:c r="C82" s="19" t="str">
        <x:v>2999000088751</x:v>
      </x:c>
      <x:c r="D82" s="22" t="str">
        <x:v>iPad Flip Case 10.2 Gen Inch Black</x:v>
      </x:c>
      <x:c r="E82" s="22" t="str">
        <x:v>Flip Case for iPad 10.2-inch (Gen 7/8/9) - Black</x:v>
      </x:c>
      <x:c r="F82" s="22" t="str">
        <x:v>Flip Case</x:v>
      </x:c>
      <x:c r="G82" s="22" t="str">
        <x:v>Black</x:v>
      </x:c>
      <x:c r="H82" s="22" t="str">
        <x:v>TM8-GRP-IPAD-102-GEN789-FLC</x:v>
      </x:c>
      <x:c r="I82" s="22" t="str">
        <x:v>Flip Case for iPad 10.2-inch (Gen 7/8/9)</x:v>
      </x:c>
      <x:c r="J82" s="22" t="str">
        <x:v>iPad 10.2 Inch</x:v>
      </x:c>
      <x:c r="K82" s="22" t="str">
        <x:v>IPAD-102-GEN789</x:v>
      </x:c>
      <x:c r="L82" s="22" t="str">
        <x:v>iPad 10.2-inch (Gen 7/8/9)</x:v>
      </x:c>
      <x:c r="M82" s="22" t="str">
        <x:v>Proposed</x:v>
      </x:c>
      <x:c r="N82" s="22" t="str">
        <x:v>https://dghyt15qon7us.cloudfront.net/images/productTheme/Inventory/small/1703654690.jpg</x:v>
      </x:c>
      <x:c r="O82" s="22" t="str">
        <x:v>https://dghyt15qon7us.cloudfront.net/images/productTheme/Inventory/small/1703654690.jpg</x:v>
      </x:c>
      <x:c r="P82" s="19" t="str">
        <x:v>park-ridge</x:v>
      </x:c>
      <x:c r="Q82" s="20" t="n">
        <x:v>-1</x:v>
      </x:c>
      <x:c r="R82" s="20" t="n">
        <x:f>MAX(0,Q82)</x:f>
        <x:v>0</x:v>
      </x:c>
      <x:c r="S82" s="21" t="n">
        <x:v>0</x:v>
      </x:c>
      <x:c r="T82" s="21" t="n">
        <x:f>IF(OR(F82="Hard Case",F82="Bubble Hard Case"),15,IF(F82="Twist Leather Case",5,IF(F82="Z-Fold Case",4,IFERROR(VLOOKUP(B82,'Cost Overrides'!$A$2:$B$17,2,FALSE),S82))))</x:f>
        <x:v>4</x:v>
      </x:c>
      <x:c r="U82" s="21" t="str">
        <x:f>IF(OR(F82="Hard Case",F82="Bubble Hard Case"),"Confirmed: Hard Case",IF(F82="Twist Leather Case","Confirmed: Twist Leather Case",IF(F82="Z-Fold Case","Confirmed: Z-Fold Case",IF(COUNTIF('Cost Overrides'!$A$2:$A$17,B82)&gt;0,"Confirmed: Owner cost override",IF(S82&lt;=0,"Needs cost","Source cost")))))</x:f>
        <x:v>Confirmed: Owner cost override</x:v>
      </x:c>
      <x:c r="V82" s="21" t="n">
        <x:v>39</x:v>
      </x:c>
      <x:c r="W82" s="21" t="n">
        <x:f>V82</x:f>
        <x:v>39</x:v>
      </x:c>
      <x:c r="X82" s="19" t="str">
        <x:v>NO</x:v>
      </x:c>
      <x:c r="Y82" s="19" t="str">
        <x:v>NO</x:v>
      </x:c>
      <x:c r="Z82" s="19" t="str">
        <x:v>42458594</x:v>
      </x:c>
      <x:c r="AA82" s="19" t="str">
        <x:v>50767828</x:v>
      </x:c>
      <x:c r="AB82" s="22" t="str">
        <x:f>IF(OR(M82&lt;&gt;"Approved",U82="Needs cost",O82=""),"Needs review","Ready after approval")</x:f>
        <x:v>Needs review</x:v>
      </x:c>
      <x:c r="AC82" s="22" t="str">
        <x:v>Negative source stock clipped to zero.</x:v>
      </x:c>
    </x:row>
    <x:row r="83">
      <x:c r="A83" s="19" t="str">
        <x:v>8874</x:v>
      </x:c>
      <x:c r="B83" s="19" t="str">
        <x:v>TM8-TAB-8874</x:v>
      </x:c>
      <x:c r="C83" s="19" t="str">
        <x:v>2999000088744</x:v>
      </x:c>
      <x:c r="D83" s="22" t="str">
        <x:v>iPad Flip Case 10th Gen Black</x:v>
      </x:c>
      <x:c r="E83" s="22" t="str">
        <x:v>Flip Case for iPad 10th Gen 10.9-inch - Black</x:v>
      </x:c>
      <x:c r="F83" s="22" t="str">
        <x:v>Flip Case</x:v>
      </x:c>
      <x:c r="G83" s="22" t="str">
        <x:v>Black</x:v>
      </x:c>
      <x:c r="H83" s="22" t="str">
        <x:v>TM8-GRP-IPAD-10-GEN10-FLC</x:v>
      </x:c>
      <x:c r="I83" s="22" t="str">
        <x:v>Flip Case for iPad 10th Gen 10.9-inch</x:v>
      </x:c>
      <x:c r="J83" s="22" t="str">
        <x:v>iPad 10th Gen 10.9 Inch</x:v>
      </x:c>
      <x:c r="K83" s="22" t="str">
        <x:v>IPAD-10-GEN10</x:v>
      </x:c>
      <x:c r="L83" s="22" t="str">
        <x:v>iPad 10th Gen 10.9-inch</x:v>
      </x:c>
      <x:c r="M83" s="22" t="str">
        <x:v>Proposed</x:v>
      </x:c>
      <x:c r="N83" s="22" t="str">
        <x:v>https://dghyt15qon7us.cloudfront.net/images/productTheme/Inventory/small/1703654044.jpg</x:v>
      </x:c>
      <x:c r="O83" s="22" t="str">
        <x:v>https://dghyt15qon7us.cloudfront.net/images/productTheme/Inventory/small/1703654044.jpg</x:v>
      </x:c>
      <x:c r="P83" s="19" t="str">
        <x:v>park-ridge</x:v>
      </x:c>
      <x:c r="Q83" s="20" t="n">
        <x:v>3</x:v>
      </x:c>
      <x:c r="R83" s="20" t="n">
        <x:f>MAX(0,Q83)</x:f>
        <x:v>3</x:v>
      </x:c>
      <x:c r="S83" s="21" t="n">
        <x:v>0</x:v>
      </x:c>
      <x:c r="T83" s="21" t="n">
        <x:f>IF(OR(F83="Hard Case",F83="Bubble Hard Case"),15,IF(F83="Twist Leather Case",5,IF(F83="Z-Fold Case",4,IFERROR(VLOOKUP(B83,'Cost Overrides'!$A$2:$B$17,2,FALSE),S83))))</x:f>
        <x:v>4</x:v>
      </x:c>
      <x:c r="U83" s="21" t="str">
        <x:f>IF(OR(F83="Hard Case",F83="Bubble Hard Case"),"Confirmed: Hard Case",IF(F83="Twist Leather Case","Confirmed: Twist Leather Case",IF(F83="Z-Fold Case","Confirmed: Z-Fold Case",IF(COUNTIF('Cost Overrides'!$A$2:$A$17,B83)&gt;0,"Confirmed: Owner cost override",IF(S83&lt;=0,"Needs cost","Source cost")))))</x:f>
        <x:v>Confirmed: Owner cost override</x:v>
      </x:c>
      <x:c r="V83" s="21" t="n">
        <x:v>39</x:v>
      </x:c>
      <x:c r="W83" s="21" t="n">
        <x:f>V83</x:f>
        <x:v>39</x:v>
      </x:c>
      <x:c r="X83" s="19" t="str">
        <x:v>NO</x:v>
      </x:c>
      <x:c r="Y83" s="19" t="str">
        <x:v>NO</x:v>
      </x:c>
      <x:c r="Z83" s="19" t="str">
        <x:v>42458593</x:v>
      </x:c>
      <x:c r="AA83" s="19" t="str">
        <x:v>50767824</x:v>
      </x:c>
      <x:c r="AB83" s="22" t="str">
        <x:f>IF(OR(M83&lt;&gt;"Approved",U83="Needs cost",O83=""),"Needs review","Ready after approval")</x:f>
        <x:v>Needs review</x:v>
      </x:c>
      <x:c r="AC83" s="22" t="str"/>
    </x:row>
    <x:row r="84">
      <x:c r="A84" s="19" t="str">
        <x:v>8873</x:v>
      </x:c>
      <x:c r="B84" s="19" t="str">
        <x:v>TM8-TAB-8873</x:v>
      </x:c>
      <x:c r="C84" s="19" t="str">
        <x:v>2999000088737</x:v>
      </x:c>
      <x:c r="D84" s="22" t="str">
        <x:v>iPad Flip Case 10th Gen Rose Gold</x:v>
      </x:c>
      <x:c r="E84" s="22" t="str">
        <x:v>Flip Case for iPad 10th Gen 10.9-inch - Rose Gold</x:v>
      </x:c>
      <x:c r="F84" s="22" t="str">
        <x:v>Flip Case</x:v>
      </x:c>
      <x:c r="G84" s="22" t="str">
        <x:v>Rose Gold</x:v>
      </x:c>
      <x:c r="H84" s="22" t="str">
        <x:v>TM8-GRP-IPAD-10-GEN10-FLC</x:v>
      </x:c>
      <x:c r="I84" s="22" t="str">
        <x:v>Flip Case for iPad 10th Gen 10.9-inch</x:v>
      </x:c>
      <x:c r="J84" s="22" t="str">
        <x:v>iPad 10th Gen 10.9 Inch</x:v>
      </x:c>
      <x:c r="K84" s="22" t="str">
        <x:v>IPAD-10-GEN10</x:v>
      </x:c>
      <x:c r="L84" s="22" t="str">
        <x:v>iPad 10th Gen 10.9-inch</x:v>
      </x:c>
      <x:c r="M84" s="22" t="str">
        <x:v>Proposed</x:v>
      </x:c>
      <x:c r="N84" s="22" t="str">
        <x:v>https://dghyt15qon7us.cloudfront.net/images/productTheme/Inventory/small/1703653916.jpg</x:v>
      </x:c>
      <x:c r="O84" s="22" t="str">
        <x:v>https://dghyt15qon7us.cloudfront.net/images/productTheme/Inventory/small/1703654044.jpg</x:v>
      </x:c>
      <x:c r="P84" s="19" t="str">
        <x:v>park-ridge</x:v>
      </x:c>
      <x:c r="Q84" s="20" t="n">
        <x:v>0</x:v>
      </x:c>
      <x:c r="R84" s="20" t="n">
        <x:f>MAX(0,Q84)</x:f>
        <x:v>0</x:v>
      </x:c>
      <x:c r="S84" s="21" t="n">
        <x:v>0</x:v>
      </x:c>
      <x:c r="T84" s="21" t="n">
        <x:f>IF(OR(F84="Hard Case",F84="Bubble Hard Case"),15,IF(F84="Twist Leather Case",5,IF(F84="Z-Fold Case",4,IFERROR(VLOOKUP(B84,'Cost Overrides'!$A$2:$B$17,2,FALSE),S84))))</x:f>
        <x:v>4</x:v>
      </x:c>
      <x:c r="U84" s="21" t="str">
        <x:f>IF(OR(F84="Hard Case",F84="Bubble Hard Case"),"Confirmed: Hard Case",IF(F84="Twist Leather Case","Confirmed: Twist Leather Case",IF(F84="Z-Fold Case","Confirmed: Z-Fold Case",IF(COUNTIF('Cost Overrides'!$A$2:$A$17,B84)&gt;0,"Confirmed: Owner cost override",IF(S84&lt;=0,"Needs cost","Source cost")))))</x:f>
        <x:v>Confirmed: Owner cost override</x:v>
      </x:c>
      <x:c r="V84" s="21" t="n">
        <x:v>39</x:v>
      </x:c>
      <x:c r="W84" s="21" t="n">
        <x:f>V84</x:f>
        <x:v>39</x:v>
      </x:c>
      <x:c r="X84" s="19" t="str">
        <x:v>NO</x:v>
      </x:c>
      <x:c r="Y84" s="19" t="str">
        <x:v>NO</x:v>
      </x:c>
      <x:c r="Z84" s="19" t="str">
        <x:v>42458592</x:v>
      </x:c>
      <x:c r="AA84" s="19" t="str">
        <x:v>50767821</x:v>
      </x:c>
      <x:c r="AB84" s="22" t="str">
        <x:f>IF(OR(M84&lt;&gt;"Approved",U84="Needs cost",O84=""),"Needs review","Ready after approval")</x:f>
        <x:v>Needs review</x:v>
      </x:c>
      <x:c r="AC84" s="22" t="str"/>
    </x:row>
    <x:row r="85">
      <x:c r="A85" s="19" t="str">
        <x:v>8872</x:v>
      </x:c>
      <x:c r="B85" s="19" t="str">
        <x:v>TM8-TAB-8872</x:v>
      </x:c>
      <x:c r="C85" s="19" t="str">
        <x:v>2999000088720</x:v>
      </x:c>
      <x:c r="D85" s="22" t="str">
        <x:v>Twist Leather Case 10th Gen Purple</x:v>
      </x:c>
      <x:c r="E85" s="22" t="str">
        <x:v>Twist Leather Case for iPad 10th Gen 10.9-inch - Purple</x:v>
      </x:c>
      <x:c r="F85" s="22" t="str">
        <x:v>Twist Leather Case</x:v>
      </x:c>
      <x:c r="G85" s="22" t="str">
        <x:v>Purple</x:v>
      </x:c>
      <x:c r="H85" s="22" t="str">
        <x:v>TM8-GRP-IPAD-10-GEN10-TLC</x:v>
      </x:c>
      <x:c r="I85" s="22" t="str">
        <x:v>Twist Leather Case for iPad 10th Gen 10.9-inch</x:v>
      </x:c>
      <x:c r="J85" s="22" t="str">
        <x:v>iPad 10th Gen 10.9 Inch</x:v>
      </x:c>
      <x:c r="K85" s="22" t="str">
        <x:v>IPAD-10-GEN10</x:v>
      </x:c>
      <x:c r="L85" s="22" t="str">
        <x:v>iPad 10th Gen 10.9-inch</x:v>
      </x:c>
      <x:c r="M85" s="22" t="str">
        <x:v>Proposed</x:v>
      </x:c>
      <x:c r="N85" s="22" t="str">
        <x:v>https://dghyt15qon7us.cloudfront.net/images/productTheme/Inventory/small/1703653286.jpg</x:v>
      </x:c>
      <x:c r="O85" s="22" t="str">
        <x:v>https://dghyt15qon7us.cloudfront.net/images/productTheme/Inventory/small/1669510359.jpg</x:v>
      </x:c>
      <x:c r="P85" s="19" t="str">
        <x:v>park-ridge</x:v>
      </x:c>
      <x:c r="Q85" s="20" t="n">
        <x:v>1</x:v>
      </x:c>
      <x:c r="R85" s="20" t="n">
        <x:f>MAX(0,Q85)</x:f>
        <x:v>1</x:v>
      </x:c>
      <x:c r="S85" s="21" t="n">
        <x:v>3</x:v>
      </x:c>
      <x:c r="T85" s="21" t="n">
        <x:f>IF(OR(F85="Hard Case",F85="Bubble Hard Case"),15,IF(F85="Twist Leather Case",5,IF(F85="Z-Fold Case",4,IFERROR(VLOOKUP(B85,'Cost Overrides'!$A$2:$B$17,2,FALSE),S85))))</x:f>
        <x:v>5</x:v>
      </x:c>
      <x:c r="U85" s="21" t="str">
        <x:f>IF(OR(F85="Hard Case",F85="Bubble Hard Case"),"Confirmed: Hard Case",IF(F85="Twist Leather Case","Confirmed: Twist Leather Case",IF(F85="Z-Fold Case","Confirmed: Z-Fold Case",IF(COUNTIF('Cost Overrides'!$A$2:$A$17,B85)&gt;0,"Confirmed: Owner cost override",IF(S85&lt;=0,"Needs cost","Source cost")))))</x:f>
        <x:v>Confirmed: Twist Leather Case</x:v>
      </x:c>
      <x:c r="V85" s="21" t="n">
        <x:v>39.95</x:v>
      </x:c>
      <x:c r="W85" s="21" t="n">
        <x:f>V85</x:f>
        <x:v>39.95</x:v>
      </x:c>
      <x:c r="X85" s="19" t="str">
        <x:v>NO</x:v>
      </x:c>
      <x:c r="Y85" s="19" t="str">
        <x:v>NO</x:v>
      </x:c>
      <x:c r="Z85" s="19" t="str">
        <x:v>42458591</x:v>
      </x:c>
      <x:c r="AA85" s="19" t="str">
        <x:v>50767819</x:v>
      </x:c>
      <x:c r="AB85" s="22" t="str">
        <x:f>IF(OR(M85&lt;&gt;"Approved",U85="Needs cost",O85=""),"Needs review","Ready after approval")</x:f>
        <x:v>Needs review</x:v>
      </x:c>
      <x:c r="AC85" s="22" t="str"/>
    </x:row>
    <x:row r="86">
      <x:c r="A86" s="19" t="str">
        <x:v>8837</x:v>
      </x:c>
      <x:c r="B86" s="19" t="str">
        <x:v>TM8-TAB-8837</x:v>
      </x:c>
      <x:c r="C86" s="19" t="str">
        <x:v>2999000088379</x:v>
      </x:c>
      <x:c r="D86" s="22" t="str">
        <x:v>Hard Case Samsung S9 Ultra</x:v>
      </x:c>
      <x:c r="E86" s="22" t="str">
        <x:v>Hard Case for Samsung Galaxy Tab S9 Ultra</x:v>
      </x:c>
      <x:c r="F86" s="22" t="str">
        <x:v>Hard Case</x:v>
      </x:c>
      <x:c r="G86" s="22" t="str">
        <x:v>Unspecified</x:v>
      </x:c>
      <x:c r="H86" s="22" t="str">
        <x:v>TM8-GRP-SAMSUNG-S9-ULTRA-HDC</x:v>
      </x:c>
      <x:c r="I86" s="22" t="str">
        <x:v>Hard Case for Samsung Galaxy Tab S9 Ultra</x:v>
      </x:c>
      <x:c r="J86" s="22" t="str">
        <x:v>Samsung Tablet</x:v>
      </x:c>
      <x:c r="K86" s="22" t="str">
        <x:v>SAMSUNG-S9-ULTRA</x:v>
      </x:c>
      <x:c r="L86" s="22" t="str">
        <x:v>Samsung Galaxy Tab S9 Ultra</x:v>
      </x:c>
      <x:c r="M86" s="22" t="str">
        <x:v>Proposed</x:v>
      </x:c>
      <x:c r="N86" s="22" t="str">
        <x:v>https://dghyt15qon7us.cloudfront.net/images/productTheme/Inventory/small/1700608949.jpg</x:v>
      </x:c>
      <x:c r="O86" s="22" t="str">
        <x:v>https://dghyt15qon7us.cloudfront.net/images/productTheme/Inventory/small/1700608949.jpg</x:v>
      </x:c>
      <x:c r="P86" s="19" t="str">
        <x:v>park-ridge</x:v>
      </x:c>
      <x:c r="Q86" s="20" t="n">
        <x:v>1</x:v>
      </x:c>
      <x:c r="R86" s="20" t="n">
        <x:f>MAX(0,Q86)</x:f>
        <x:v>1</x:v>
      </x:c>
      <x:c r="S86" s="21" t="n">
        <x:v>0</x:v>
      </x:c>
      <x:c r="T86" s="21" t="n">
        <x:f>IF(OR(F86="Hard Case",F86="Bubble Hard Case"),15,IF(F86="Twist Leather Case",5,IF(F86="Z-Fold Case",4,IFERROR(VLOOKUP(B86,'Cost Overrides'!$A$2:$B$17,2,FALSE),S86))))</x:f>
        <x:v>15</x:v>
      </x:c>
      <x:c r="U86" s="21" t="str">
        <x:f>IF(OR(F86="Hard Case",F86="Bubble Hard Case"),"Confirmed: Hard Case",IF(F86="Twist Leather Case","Confirmed: Twist Leather Case",IF(F86="Z-Fold Case","Confirmed: Z-Fold Case",IF(COUNTIF('Cost Overrides'!$A$2:$A$17,B86)&gt;0,"Confirmed: Owner cost override",IF(S86&lt;=0,"Needs cost","Source cost")))))</x:f>
        <x:v>Confirmed: Hard Case</x:v>
      </x:c>
      <x:c r="V86" s="21" t="n">
        <x:v>49.95</x:v>
      </x:c>
      <x:c r="W86" s="21" t="n">
        <x:f>V86</x:f>
        <x:v>49.95</x:v>
      </x:c>
      <x:c r="X86" s="19" t="str">
        <x:v>NO</x:v>
      </x:c>
      <x:c r="Y86" s="19" t="str">
        <x:v>NO</x:v>
      </x:c>
      <x:c r="Z86" s="19" t="str">
        <x:v>42458556</x:v>
      </x:c>
      <x:c r="AA86" s="19" t="str">
        <x:v>50767714</x:v>
      </x:c>
      <x:c r="AB86" s="22" t="str">
        <x:f>IF(OR(M86&lt;&gt;"Approved",U86="Needs cost",O86=""),"Needs review","Ready after approval")</x:f>
        <x:v>Needs review</x:v>
      </x:c>
      <x:c r="AC86" s="22" t="str"/>
    </x:row>
    <x:row r="87">
      <x:c r="A87" s="19" t="str">
        <x:v>8836</x:v>
      </x:c>
      <x:c r="B87" s="19" t="str">
        <x:v>TM8-TAB-8836</x:v>
      </x:c>
      <x:c r="C87" s="19" t="str">
        <x:v>2999000088362</x:v>
      </x:c>
      <x:c r="D87" s="22" t="str">
        <x:v>Hard Case Samsung S9 Plus</x:v>
      </x:c>
      <x:c r="E87" s="22" t="str">
        <x:v>Hard Case for Samsung Galaxy Tab S9 Plus</x:v>
      </x:c>
      <x:c r="F87" s="22" t="str">
        <x:v>Hard Case</x:v>
      </x:c>
      <x:c r="G87" s="22" t="str">
        <x:v>Unspecified</x:v>
      </x:c>
      <x:c r="H87" s="22" t="str">
        <x:v>TM8-GRP-SAMSUNG-S9-PLUS-HDC</x:v>
      </x:c>
      <x:c r="I87" s="22" t="str">
        <x:v>Hard Case for Samsung Galaxy Tab S9 Plus</x:v>
      </x:c>
      <x:c r="J87" s="22" t="str">
        <x:v>Samsung Tablet</x:v>
      </x:c>
      <x:c r="K87" s="22" t="str">
        <x:v>SAMSUNG-S9-PLUS</x:v>
      </x:c>
      <x:c r="L87" s="22" t="str">
        <x:v>Samsung Galaxy Tab S9 Plus</x:v>
      </x:c>
      <x:c r="M87" s="22" t="str">
        <x:v>Proposed</x:v>
      </x:c>
      <x:c r="N87" s="22" t="str">
        <x:v>https://dghyt15qon7us.cloudfront.net/images/productTheme/Inventory/small/1700608924.jpg</x:v>
      </x:c>
      <x:c r="O87" s="22" t="str">
        <x:v>https://dghyt15qon7us.cloudfront.net/images/productTheme/Inventory/small/1700608924.jpg</x:v>
      </x:c>
      <x:c r="P87" s="19" t="str">
        <x:v>park-ridge</x:v>
      </x:c>
      <x:c r="Q87" s="20" t="n">
        <x:v>0</x:v>
      </x:c>
      <x:c r="R87" s="20" t="n">
        <x:f>MAX(0,Q87)</x:f>
        <x:v>0</x:v>
      </x:c>
      <x:c r="S87" s="21" t="n">
        <x:v>0</x:v>
      </x:c>
      <x:c r="T87" s="21" t="n">
        <x:f>IF(OR(F87="Hard Case",F87="Bubble Hard Case"),15,IF(F87="Twist Leather Case",5,IF(F87="Z-Fold Case",4,IFERROR(VLOOKUP(B87,'Cost Overrides'!$A$2:$B$17,2,FALSE),S87))))</x:f>
        <x:v>15</x:v>
      </x:c>
      <x:c r="U87" s="21" t="str">
        <x:f>IF(OR(F87="Hard Case",F87="Bubble Hard Case"),"Confirmed: Hard Case",IF(F87="Twist Leather Case","Confirmed: Twist Leather Case",IF(F87="Z-Fold Case","Confirmed: Z-Fold Case",IF(COUNTIF('Cost Overrides'!$A$2:$A$17,B87)&gt;0,"Confirmed: Owner cost override",IF(S87&lt;=0,"Needs cost","Source cost")))))</x:f>
        <x:v>Confirmed: Hard Case</x:v>
      </x:c>
      <x:c r="V87" s="21" t="n">
        <x:v>49.95</x:v>
      </x:c>
      <x:c r="W87" s="21" t="n">
        <x:f>V87</x:f>
        <x:v>49.95</x:v>
      </x:c>
      <x:c r="X87" s="19" t="str">
        <x:v>NO</x:v>
      </x:c>
      <x:c r="Y87" s="19" t="str">
        <x:v>NO</x:v>
      </x:c>
      <x:c r="Z87" s="19" t="str">
        <x:v>42458555</x:v>
      </x:c>
      <x:c r="AA87" s="19" t="str">
        <x:v>50767711</x:v>
      </x:c>
      <x:c r="AB87" s="22" t="str">
        <x:f>IF(OR(M87&lt;&gt;"Approved",U87="Needs cost",O87=""),"Needs review","Ready after approval")</x:f>
        <x:v>Needs review</x:v>
      </x:c>
      <x:c r="AC87" s="22" t="str"/>
    </x:row>
    <x:row r="88">
      <x:c r="A88" s="19" t="str">
        <x:v>8835</x:v>
      </x:c>
      <x:c r="B88" s="19" t="str">
        <x:v>TM8-TAB-8835</x:v>
      </x:c>
      <x:c r="C88" s="19" t="str">
        <x:v>2999000088355</x:v>
      </x:c>
      <x:c r="D88" s="22" t="str">
        <x:v>Hard Case Samsung S9</x:v>
      </x:c>
      <x:c r="E88" s="22" t="str">
        <x:v>Hard Case for Samsung Galaxy Tab S9</x:v>
      </x:c>
      <x:c r="F88" s="22" t="str">
        <x:v>Hard Case</x:v>
      </x:c>
      <x:c r="G88" s="22" t="str">
        <x:v>Unspecified</x:v>
      </x:c>
      <x:c r="H88" s="22" t="str">
        <x:v>TM8-GRP-SAMSUNG-S9-HDC</x:v>
      </x:c>
      <x:c r="I88" s="22" t="str">
        <x:v>Hard Case for Samsung Galaxy Tab S9</x:v>
      </x:c>
      <x:c r="J88" s="22" t="str">
        <x:v>Samsung Tablet</x:v>
      </x:c>
      <x:c r="K88" s="22" t="str">
        <x:v>SAMSUNG-S9</x:v>
      </x:c>
      <x:c r="L88" s="22" t="str">
        <x:v>Samsung Galaxy Tab S9</x:v>
      </x:c>
      <x:c r="M88" s="22" t="str">
        <x:v>Proposed</x:v>
      </x:c>
      <x:c r="N88" s="22" t="str">
        <x:v>https://dghyt15qon7us.cloudfront.net/images/productTheme/Inventory/small/1700608890.jpg</x:v>
      </x:c>
      <x:c r="O88" s="22" t="str">
        <x:v>https://dghyt15qon7us.cloudfront.net/images/productTheme/Inventory/small/1700608890.jpg</x:v>
      </x:c>
      <x:c r="P88" s="19" t="str">
        <x:v>park-ridge</x:v>
      </x:c>
      <x:c r="Q88" s="20" t="n">
        <x:v>0</x:v>
      </x:c>
      <x:c r="R88" s="20" t="n">
        <x:f>MAX(0,Q88)</x:f>
        <x:v>0</x:v>
      </x:c>
      <x:c r="S88" s="21" t="n">
        <x:v>0</x:v>
      </x:c>
      <x:c r="T88" s="21" t="n">
        <x:f>IF(OR(F88="Hard Case",F88="Bubble Hard Case"),15,IF(F88="Twist Leather Case",5,IF(F88="Z-Fold Case",4,IFERROR(VLOOKUP(B88,'Cost Overrides'!$A$2:$B$17,2,FALSE),S88))))</x:f>
        <x:v>15</x:v>
      </x:c>
      <x:c r="U88" s="21" t="str">
        <x:f>IF(OR(F88="Hard Case",F88="Bubble Hard Case"),"Confirmed: Hard Case",IF(F88="Twist Leather Case","Confirmed: Twist Leather Case",IF(F88="Z-Fold Case","Confirmed: Z-Fold Case",IF(COUNTIF('Cost Overrides'!$A$2:$A$17,B88)&gt;0,"Confirmed: Owner cost override",IF(S88&lt;=0,"Needs cost","Source cost")))))</x:f>
        <x:v>Confirmed: Hard Case</x:v>
      </x:c>
      <x:c r="V88" s="21" t="n">
        <x:v>49.95</x:v>
      </x:c>
      <x:c r="W88" s="21" t="n">
        <x:f>V88</x:f>
        <x:v>49.95</x:v>
      </x:c>
      <x:c r="X88" s="19" t="str">
        <x:v>NO</x:v>
      </x:c>
      <x:c r="Y88" s="19" t="str">
        <x:v>NO</x:v>
      </x:c>
      <x:c r="Z88" s="19" t="str">
        <x:v>42458554</x:v>
      </x:c>
      <x:c r="AA88" s="19" t="str">
        <x:v>50767708</x:v>
      </x:c>
      <x:c r="AB88" s="22" t="str">
        <x:f>IF(OR(M88&lt;&gt;"Approved",U88="Needs cost",O88=""),"Needs review","Ready after approval")</x:f>
        <x:v>Needs review</x:v>
      </x:c>
      <x:c r="AC88" s="22" t="str"/>
    </x:row>
    <x:row r="89">
      <x:c r="A89" s="19" t="str">
        <x:v>8275</x:v>
      </x:c>
      <x:c r="B89" s="19" t="str">
        <x:v>TM8-TAB-8275</x:v>
      </x:c>
      <x:c r="C89" s="19" t="str">
        <x:v>2999000082759</x:v>
      </x:c>
      <x:c r="D89" s="22" t="str">
        <x:v>Twist Leather Case 10 Inch Navy Blue</x:v>
      </x:c>
      <x:c r="E89" s="22" t="str">
        <x:v>Twist Leather Case for Universal 10-inch tablet fit - Navy Blue</x:v>
      </x:c>
      <x:c r="F89" s="22" t="str">
        <x:v>Twist Leather Case</x:v>
      </x:c>
      <x:c r="G89" s="22" t="str">
        <x:v>Navy Blue</x:v>
      </x:c>
      <x:c r="H89" s="22" t="str">
        <x:v>TM8-GRP-UNIVERSAL-10-TLC</x:v>
      </x:c>
      <x:c r="I89" s="22" t="str">
        <x:v>Twist Leather Case for Universal 10-inch tablet fit</x:v>
      </x:c>
      <x:c r="J89" s="22" t="str">
        <x:v>Universal case</x:v>
      </x:c>
      <x:c r="K89" s="22" t="str">
        <x:v>UNIVERSAL-10</x:v>
      </x:c>
      <x:c r="L89" s="22" t="str">
        <x:v>Universal 10-inch tablet fit</x:v>
      </x:c>
      <x:c r="M89" s="22" t="str">
        <x:v>Proposed</x:v>
      </x:c>
      <x:c r="N89" s="22" t="str">
        <x:v>https://dghyt15qon7us.cloudfront.net/images/productTheme/Inventory/small/1685143528.jpg</x:v>
      </x:c>
      <x:c r="O89" s="22" t="str">
        <x:v>https://dghyt15qon7us.cloudfront.net/images/productTheme/Inventory/small/1681610233.jpg</x:v>
      </x:c>
      <x:c r="P89" s="19" t="str">
        <x:v>park-ridge</x:v>
      </x:c>
      <x:c r="Q89" s="20" t="n">
        <x:v>5</x:v>
      </x:c>
      <x:c r="R89" s="20" t="n">
        <x:f>MAX(0,Q89)</x:f>
        <x:v>5</x:v>
      </x:c>
      <x:c r="S89" s="21" t="n">
        <x:v>35</x:v>
      </x:c>
      <x:c r="T89" s="21" t="n">
        <x:f>IF(OR(F89="Hard Case",F89="Bubble Hard Case"),15,IF(F89="Twist Leather Case",5,IF(F89="Z-Fold Case",4,IFERROR(VLOOKUP(B89,'Cost Overrides'!$A$2:$B$17,2,FALSE),S89))))</x:f>
        <x:v>5</x:v>
      </x:c>
      <x:c r="U89" s="21" t="str">
        <x:f>IF(OR(F89="Hard Case",F89="Bubble Hard Case"),"Confirmed: Hard Case",IF(F89="Twist Leather Case","Confirmed: Twist Leather Case",IF(F89="Z-Fold Case","Confirmed: Z-Fold Case",IF(COUNTIF('Cost Overrides'!$A$2:$A$17,B89)&gt;0,"Confirmed: Owner cost override",IF(S89&lt;=0,"Needs cost","Source cost")))))</x:f>
        <x:v>Confirmed: Twist Leather Case</x:v>
      </x:c>
      <x:c r="V89" s="21" t="n">
        <x:v>39.95</x:v>
      </x:c>
      <x:c r="W89" s="21" t="n">
        <x:f>V89</x:f>
        <x:v>39.95</x:v>
      </x:c>
      <x:c r="X89" s="19" t="str">
        <x:v>NO</x:v>
      </x:c>
      <x:c r="Y89" s="19" t="str">
        <x:v>NO</x:v>
      </x:c>
      <x:c r="Z89" s="19" t="str">
        <x:v>42457994</x:v>
      </x:c>
      <x:c r="AA89" s="19" t="str">
        <x:v>50766028</x:v>
      </x:c>
      <x:c r="AB89" s="22" t="str">
        <x:f>IF(OR(M89&lt;&gt;"Approved",U89="Needs cost",O89=""),"Needs review","Ready after approval")</x:f>
        <x:v>Needs review</x:v>
      </x:c>
      <x:c r="AC89" s="22" t="str"/>
    </x:row>
    <x:row r="90">
      <x:c r="A90" s="19" t="str">
        <x:v>8274</x:v>
      </x:c>
      <x:c r="B90" s="19" t="str">
        <x:v>TM8-TAB-8274</x:v>
      </x:c>
      <x:c r="C90" s="19" t="str">
        <x:v>2999000082742</x:v>
      </x:c>
      <x:c r="D90" s="22" t="str">
        <x:v>Twist Leather Case 10.2 Inch Navy Blue</x:v>
      </x:c>
      <x:c r="E90" s="22" t="str">
        <x:v>Twist Leather Case for iPad 10.2-inch (Gen 7/8/9) - Navy Blue</x:v>
      </x:c>
      <x:c r="F90" s="22" t="str">
        <x:v>Twist Leather Case</x:v>
      </x:c>
      <x:c r="G90" s="22" t="str">
        <x:v>Navy Blue</x:v>
      </x:c>
      <x:c r="H90" s="22" t="str">
        <x:v>TM8-GRP-IPAD-102-GEN789-TLC</x:v>
      </x:c>
      <x:c r="I90" s="22" t="str">
        <x:v>Twist Leather Case for iPad 10.2-inch (Gen 7/8/9)</x:v>
      </x:c>
      <x:c r="J90" s="22" t="str">
        <x:v>iPad 10.2 Inch</x:v>
      </x:c>
      <x:c r="K90" s="22" t="str">
        <x:v>IPAD-102-GEN789</x:v>
      </x:c>
      <x:c r="L90" s="22" t="str">
        <x:v>iPad 10.2-inch (Gen 7/8/9)</x:v>
      </x:c>
      <x:c r="M90" s="22" t="str">
        <x:v>Proposed</x:v>
      </x:c>
      <x:c r="N90" s="22" t="str">
        <x:v>https://dghyt15qon7us.cloudfront.net/images/productTheme/Inventory/small/1685143476.jpg</x:v>
      </x:c>
      <x:c r="O90" s="22" t="str">
        <x:v>https://dghyt15qon7us.cloudfront.net/images/productTheme/Inventory/small/1651290060.jpg</x:v>
      </x:c>
      <x:c r="P90" s="19" t="str">
        <x:v>park-ridge</x:v>
      </x:c>
      <x:c r="Q90" s="20" t="n">
        <x:v>0</x:v>
      </x:c>
      <x:c r="R90" s="20" t="n">
        <x:f>MAX(0,Q90)</x:f>
        <x:v>0</x:v>
      </x:c>
      <x:c r="S90" s="21" t="n">
        <x:v>3</x:v>
      </x:c>
      <x:c r="T90" s="21" t="n">
        <x:f>IF(OR(F90="Hard Case",F90="Bubble Hard Case"),15,IF(F90="Twist Leather Case",5,IF(F90="Z-Fold Case",4,IFERROR(VLOOKUP(B90,'Cost Overrides'!$A$2:$B$17,2,FALSE),S90))))</x:f>
        <x:v>5</x:v>
      </x:c>
      <x:c r="U90" s="21" t="str">
        <x:f>IF(OR(F90="Hard Case",F90="Bubble Hard Case"),"Confirmed: Hard Case",IF(F90="Twist Leather Case","Confirmed: Twist Leather Case",IF(F90="Z-Fold Case","Confirmed: Z-Fold Case",IF(COUNTIF('Cost Overrides'!$A$2:$A$17,B90)&gt;0,"Confirmed: Owner cost override",IF(S90&lt;=0,"Needs cost","Source cost")))))</x:f>
        <x:v>Confirmed: Twist Leather Case</x:v>
      </x:c>
      <x:c r="V90" s="21" t="n">
        <x:v>39.95</x:v>
      </x:c>
      <x:c r="W90" s="21" t="n">
        <x:f>V90</x:f>
        <x:v>39.95</x:v>
      </x:c>
      <x:c r="X90" s="19" t="str">
        <x:v>NO</x:v>
      </x:c>
      <x:c r="Y90" s="19" t="str">
        <x:v>NO</x:v>
      </x:c>
      <x:c r="Z90" s="19" t="str">
        <x:v>42457993</x:v>
      </x:c>
      <x:c r="AA90" s="19" t="str">
        <x:v>50766025</x:v>
      </x:c>
      <x:c r="AB90" s="22" t="str">
        <x:f>IF(OR(M90&lt;&gt;"Approved",U90="Needs cost",O90=""),"Needs review","Ready after approval")</x:f>
        <x:v>Needs review</x:v>
      </x:c>
      <x:c r="AC90" s="22" t="str"/>
    </x:row>
    <x:row r="91">
      <x:c r="A91" s="19" t="str">
        <x:v>8061</x:v>
      </x:c>
      <x:c r="B91" s="19" t="str">
        <x:v>TM8-TAB-8061</x:v>
      </x:c>
      <x:c r="C91" s="19" t="str">
        <x:v>2999000080618</x:v>
      </x:c>
      <x:c r="D91" s="22" t="str">
        <x:v>Twist Leather Case 8 Inch Red</x:v>
      </x:c>
      <x:c r="E91" s="22" t="str">
        <x:v>Twist Leather Case for Universal 8-inch tablet fit - Red</x:v>
      </x:c>
      <x:c r="F91" s="22" t="str">
        <x:v>Twist Leather Case</x:v>
      </x:c>
      <x:c r="G91" s="22" t="str">
        <x:v>Red</x:v>
      </x:c>
      <x:c r="H91" s="22" t="str">
        <x:v>TM8-GRP-UNIVERSAL-8-TLC</x:v>
      </x:c>
      <x:c r="I91" s="22" t="str">
        <x:v>Twist Leather Case for Universal 8-inch tablet fit</x:v>
      </x:c>
      <x:c r="J91" s="22" t="str">
        <x:v>Universal case</x:v>
      </x:c>
      <x:c r="K91" s="22" t="str">
        <x:v>UNIVERSAL-8</x:v>
      </x:c>
      <x:c r="L91" s="22" t="str">
        <x:v>Universal 8-inch tablet fit</x:v>
      </x:c>
      <x:c r="M91" s="22" t="str">
        <x:v>Proposed</x:v>
      </x:c>
      <x:c r="N91" s="22" t="str">
        <x:v>https://dghyt15qon7us.cloudfront.net/images/productTheme/Inventory/small/1681610446.jpg</x:v>
      </x:c>
      <x:c r="O91" s="22" t="str">
        <x:v>https://dghyt15qon7us.cloudfront.net/images/productTheme/Inventory/small/1681610101.jpg</x:v>
      </x:c>
      <x:c r="P91" s="19" t="str">
        <x:v>park-ridge</x:v>
      </x:c>
      <x:c r="Q91" s="20" t="n">
        <x:v>4</x:v>
      </x:c>
      <x:c r="R91" s="20" t="n">
        <x:f>MAX(0,Q91)</x:f>
        <x:v>4</x:v>
      </x:c>
      <x:c r="S91" s="21" t="n">
        <x:v>3</x:v>
      </x:c>
      <x:c r="T91" s="21" t="n">
        <x:f>IF(OR(F91="Hard Case",F91="Bubble Hard Case"),15,IF(F91="Twist Leather Case",5,IF(F91="Z-Fold Case",4,IFERROR(VLOOKUP(B91,'Cost Overrides'!$A$2:$B$17,2,FALSE),S91))))</x:f>
        <x:v>5</x:v>
      </x:c>
      <x:c r="U91" s="21" t="str">
        <x:f>IF(OR(F91="Hard Case",F91="Bubble Hard Case"),"Confirmed: Hard Case",IF(F91="Twist Leather Case","Confirmed: Twist Leather Case",IF(F91="Z-Fold Case","Confirmed: Z-Fold Case",IF(COUNTIF('Cost Overrides'!$A$2:$A$17,B91)&gt;0,"Confirmed: Owner cost override",IF(S91&lt;=0,"Needs cost","Source cost")))))</x:f>
        <x:v>Confirmed: Twist Leather Case</x:v>
      </x:c>
      <x:c r="V91" s="21" t="n">
        <x:v>39.95</x:v>
      </x:c>
      <x:c r="W91" s="21" t="n">
        <x:f>V91</x:f>
        <x:v>39.95</x:v>
      </x:c>
      <x:c r="X91" s="19" t="str">
        <x:v>NO</x:v>
      </x:c>
      <x:c r="Y91" s="19" t="str">
        <x:v>NO</x:v>
      </x:c>
      <x:c r="Z91" s="19" t="str">
        <x:v>42457779</x:v>
      </x:c>
      <x:c r="AA91" s="19" t="str">
        <x:v>50765386</x:v>
      </x:c>
      <x:c r="AB91" s="22" t="str">
        <x:f>IF(OR(M91&lt;&gt;"Approved",U91="Needs cost",O91=""),"Needs review","Ready after approval")</x:f>
        <x:v>Needs review</x:v>
      </x:c>
      <x:c r="AC91" s="22" t="str"/>
    </x:row>
    <x:row r="92">
      <x:c r="A92" s="19" t="str">
        <x:v>8060</x:v>
      </x:c>
      <x:c r="B92" s="19" t="str">
        <x:v>TM8-TAB-8060</x:v>
      </x:c>
      <x:c r="C92" s="19" t="str">
        <x:v>2999000080601</x:v>
      </x:c>
      <x:c r="D92" s="22" t="str">
        <x:v>Twist Leather Case 8 Inch Pink</x:v>
      </x:c>
      <x:c r="E92" s="22" t="str">
        <x:v>Twist Leather Case for Universal 8-inch tablet fit - Pink</x:v>
      </x:c>
      <x:c r="F92" s="22" t="str">
        <x:v>Twist Leather Case</x:v>
      </x:c>
      <x:c r="G92" s="22" t="str">
        <x:v>Pink</x:v>
      </x:c>
      <x:c r="H92" s="22" t="str">
        <x:v>TM8-GRP-UNIVERSAL-8-TLC</x:v>
      </x:c>
      <x:c r="I92" s="22" t="str">
        <x:v>Twist Leather Case for Universal 8-inch tablet fit</x:v>
      </x:c>
      <x:c r="J92" s="22" t="str">
        <x:v>Universal case</x:v>
      </x:c>
      <x:c r="K92" s="22" t="str">
        <x:v>UNIVERSAL-8</x:v>
      </x:c>
      <x:c r="L92" s="22" t="str">
        <x:v>Universal 8-inch tablet fit</x:v>
      </x:c>
      <x:c r="M92" s="22" t="str">
        <x:v>Proposed</x:v>
      </x:c>
      <x:c r="N92" s="22" t="str">
        <x:v>https://dghyt15qon7us.cloudfront.net/images/productTheme/Inventory/small/1681610414.jpg</x:v>
      </x:c>
      <x:c r="O92" s="22" t="str">
        <x:v>https://dghyt15qon7us.cloudfront.net/images/productTheme/Inventory/small/1681610101.jpg</x:v>
      </x:c>
      <x:c r="P92" s="19" t="str">
        <x:v>park-ridge</x:v>
      </x:c>
      <x:c r="Q92" s="20" t="n">
        <x:v>3</x:v>
      </x:c>
      <x:c r="R92" s="20" t="n">
        <x:f>MAX(0,Q92)</x:f>
        <x:v>3</x:v>
      </x:c>
      <x:c r="S92" s="21" t="n">
        <x:v>3</x:v>
      </x:c>
      <x:c r="T92" s="21" t="n">
        <x:f>IF(OR(F92="Hard Case",F92="Bubble Hard Case"),15,IF(F92="Twist Leather Case",5,IF(F92="Z-Fold Case",4,IFERROR(VLOOKUP(B92,'Cost Overrides'!$A$2:$B$17,2,FALSE),S92))))</x:f>
        <x:v>5</x:v>
      </x:c>
      <x:c r="U92" s="21" t="str">
        <x:f>IF(OR(F92="Hard Case",F92="Bubble Hard Case"),"Confirmed: Hard Case",IF(F92="Twist Leather Case","Confirmed: Twist Leather Case",IF(F92="Z-Fold Case","Confirmed: Z-Fold Case",IF(COUNTIF('Cost Overrides'!$A$2:$A$17,B92)&gt;0,"Confirmed: Owner cost override",IF(S92&lt;=0,"Needs cost","Source cost")))))</x:f>
        <x:v>Confirmed: Twist Leather Case</x:v>
      </x:c>
      <x:c r="V92" s="21" t="n">
        <x:v>39.95</x:v>
      </x:c>
      <x:c r="W92" s="21" t="n">
        <x:f>V92</x:f>
        <x:v>39.95</x:v>
      </x:c>
      <x:c r="X92" s="19" t="str">
        <x:v>NO</x:v>
      </x:c>
      <x:c r="Y92" s="19" t="str">
        <x:v>NO</x:v>
      </x:c>
      <x:c r="Z92" s="19" t="str">
        <x:v>42457778</x:v>
      </x:c>
      <x:c r="AA92" s="19" t="str">
        <x:v>50765383</x:v>
      </x:c>
      <x:c r="AB92" s="22" t="str">
        <x:f>IF(OR(M92&lt;&gt;"Approved",U92="Needs cost",O92=""),"Needs review","Ready after approval")</x:f>
        <x:v>Needs review</x:v>
      </x:c>
      <x:c r="AC92" s="22" t="str"/>
    </x:row>
    <x:row r="93">
      <x:c r="A93" s="19" t="str">
        <x:v>8059</x:v>
      </x:c>
      <x:c r="B93" s="19" t="str">
        <x:v>TM8-TAB-8059</x:v>
      </x:c>
      <x:c r="C93" s="19" t="str">
        <x:v>2999000080595</x:v>
      </x:c>
      <x:c r="D93" s="22" t="str">
        <x:v>Twist Leather Case 7 Inch Purple</x:v>
      </x:c>
      <x:c r="E93" s="22" t="str">
        <x:v>Twist Leather Case for Universal 7-inch tablet fit - Purple</x:v>
      </x:c>
      <x:c r="F93" s="22" t="str">
        <x:v>Twist Leather Case</x:v>
      </x:c>
      <x:c r="G93" s="22" t="str">
        <x:v>Purple</x:v>
      </x:c>
      <x:c r="H93" s="22" t="str">
        <x:v>TM8-GRP-UNIVERSAL-7-TLC</x:v>
      </x:c>
      <x:c r="I93" s="22" t="str">
        <x:v>Twist Leather Case for Universal 7-inch tablet fit</x:v>
      </x:c>
      <x:c r="J93" s="22" t="str">
        <x:v>Universal case</x:v>
      </x:c>
      <x:c r="K93" s="22" t="str">
        <x:v>UNIVERSAL-7</x:v>
      </x:c>
      <x:c r="L93" s="22" t="str">
        <x:v>Universal 7-inch tablet fit</x:v>
      </x:c>
      <x:c r="M93" s="22" t="str">
        <x:v>Proposed</x:v>
      </x:c>
      <x:c r="N93" s="22" t="str">
        <x:v>https://dghyt15qon7us.cloudfront.net/images/productTheme/Inventory/small/1681610382.jpg</x:v>
      </x:c>
      <x:c r="O93" s="22" t="str">
        <x:v>https://dghyt15qon7us.cloudfront.net/images/productTheme/Inventory/small/1681610314.jpg</x:v>
      </x:c>
      <x:c r="P93" s="19" t="str">
        <x:v>park-ridge</x:v>
      </x:c>
      <x:c r="Q93" s="20" t="n">
        <x:v>0</x:v>
      </x:c>
      <x:c r="R93" s="20" t="n">
        <x:f>MAX(0,Q93)</x:f>
        <x:v>0</x:v>
      </x:c>
      <x:c r="S93" s="21" t="n">
        <x:v>3</x:v>
      </x:c>
      <x:c r="T93" s="21" t="n">
        <x:f>IF(OR(F93="Hard Case",F93="Bubble Hard Case"),15,IF(F93="Twist Leather Case",5,IF(F93="Z-Fold Case",4,IFERROR(VLOOKUP(B93,'Cost Overrides'!$A$2:$B$17,2,FALSE),S93))))</x:f>
        <x:v>5</x:v>
      </x:c>
      <x:c r="U93" s="21" t="str">
        <x:f>IF(OR(F93="Hard Case",F93="Bubble Hard Case"),"Confirmed: Hard Case",IF(F93="Twist Leather Case","Confirmed: Twist Leather Case",IF(F93="Z-Fold Case","Confirmed: Z-Fold Case",IF(COUNTIF('Cost Overrides'!$A$2:$A$17,B93)&gt;0,"Confirmed: Owner cost override",IF(S93&lt;=0,"Needs cost","Source cost")))))</x:f>
        <x:v>Confirmed: Twist Leather Case</x:v>
      </x:c>
      <x:c r="V93" s="21" t="n">
        <x:v>39.95</x:v>
      </x:c>
      <x:c r="W93" s="21" t="n">
        <x:f>V93</x:f>
        <x:v>39.95</x:v>
      </x:c>
      <x:c r="X93" s="19" t="str">
        <x:v>NO</x:v>
      </x:c>
      <x:c r="Y93" s="19" t="str">
        <x:v>NO</x:v>
      </x:c>
      <x:c r="Z93" s="19" t="str">
        <x:v>42457777</x:v>
      </x:c>
      <x:c r="AA93" s="19" t="str">
        <x:v>50765380</x:v>
      </x:c>
      <x:c r="AB93" s="22" t="str">
        <x:f>IF(OR(M93&lt;&gt;"Approved",U93="Needs cost",O93=""),"Needs review","Ready after approval")</x:f>
        <x:v>Needs review</x:v>
      </x:c>
      <x:c r="AC93" s="22" t="str"/>
    </x:row>
    <x:row r="94">
      <x:c r="A94" s="19" t="str">
        <x:v>8058</x:v>
      </x:c>
      <x:c r="B94" s="19" t="str">
        <x:v>TM8-TAB-8058</x:v>
      </x:c>
      <x:c r="C94" s="19" t="str">
        <x:v>2999000080588</x:v>
      </x:c>
      <x:c r="D94" s="22" t="str">
        <x:v>Twist Leather Case 7 Inch Pink</x:v>
      </x:c>
      <x:c r="E94" s="22" t="str">
        <x:v>Twist Leather Case for Universal 7-inch tablet fit - Pink</x:v>
      </x:c>
      <x:c r="F94" s="22" t="str">
        <x:v>Twist Leather Case</x:v>
      </x:c>
      <x:c r="G94" s="22" t="str">
        <x:v>Pink</x:v>
      </x:c>
      <x:c r="H94" s="22" t="str">
        <x:v>TM8-GRP-UNIVERSAL-7-TLC</x:v>
      </x:c>
      <x:c r="I94" s="22" t="str">
        <x:v>Twist Leather Case for Universal 7-inch tablet fit</x:v>
      </x:c>
      <x:c r="J94" s="22" t="str">
        <x:v>Universal case</x:v>
      </x:c>
      <x:c r="K94" s="22" t="str">
        <x:v>UNIVERSAL-7</x:v>
      </x:c>
      <x:c r="L94" s="22" t="str">
        <x:v>Universal 7-inch tablet fit</x:v>
      </x:c>
      <x:c r="M94" s="22" t="str">
        <x:v>Proposed</x:v>
      </x:c>
      <x:c r="N94" s="22" t="str">
        <x:v>https://dghyt15qon7us.cloudfront.net/images/productTheme/Inventory/small/1681610357.jpg</x:v>
      </x:c>
      <x:c r="O94" s="22" t="str">
        <x:v>https://dghyt15qon7us.cloudfront.net/images/productTheme/Inventory/small/1681610314.jpg</x:v>
      </x:c>
      <x:c r="P94" s="19" t="str">
        <x:v>park-ridge</x:v>
      </x:c>
      <x:c r="Q94" s="20" t="n">
        <x:v>1</x:v>
      </x:c>
      <x:c r="R94" s="20" t="n">
        <x:f>MAX(0,Q94)</x:f>
        <x:v>1</x:v>
      </x:c>
      <x:c r="S94" s="21" t="n">
        <x:v>3</x:v>
      </x:c>
      <x:c r="T94" s="21" t="n">
        <x:f>IF(OR(F94="Hard Case",F94="Bubble Hard Case"),15,IF(F94="Twist Leather Case",5,IF(F94="Z-Fold Case",4,IFERROR(VLOOKUP(B94,'Cost Overrides'!$A$2:$B$17,2,FALSE),S94))))</x:f>
        <x:v>5</x:v>
      </x:c>
      <x:c r="U94" s="21" t="str">
        <x:f>IF(OR(F94="Hard Case",F94="Bubble Hard Case"),"Confirmed: Hard Case",IF(F94="Twist Leather Case","Confirmed: Twist Leather Case",IF(F94="Z-Fold Case","Confirmed: Z-Fold Case",IF(COUNTIF('Cost Overrides'!$A$2:$A$17,B94)&gt;0,"Confirmed: Owner cost override",IF(S94&lt;=0,"Needs cost","Source cost")))))</x:f>
        <x:v>Confirmed: Twist Leather Case</x:v>
      </x:c>
      <x:c r="V94" s="21" t="n">
        <x:v>39.95</x:v>
      </x:c>
      <x:c r="W94" s="21" t="n">
        <x:f>V94</x:f>
        <x:v>39.95</x:v>
      </x:c>
      <x:c r="X94" s="19" t="str">
        <x:v>NO</x:v>
      </x:c>
      <x:c r="Y94" s="19" t="str">
        <x:v>NO</x:v>
      </x:c>
      <x:c r="Z94" s="19" t="str">
        <x:v>42457776</x:v>
      </x:c>
      <x:c r="AA94" s="19" t="str">
        <x:v>50765377</x:v>
      </x:c>
      <x:c r="AB94" s="22" t="str">
        <x:f>IF(OR(M94&lt;&gt;"Approved",U94="Needs cost",O94=""),"Needs review","Ready after approval")</x:f>
        <x:v>Needs review</x:v>
      </x:c>
      <x:c r="AC94" s="22" t="str"/>
    </x:row>
    <x:row r="95">
      <x:c r="A95" s="19" t="str">
        <x:v>8057</x:v>
      </x:c>
      <x:c r="B95" s="19" t="str">
        <x:v>TM8-TAB-8057</x:v>
      </x:c>
      <x:c r="C95" s="19" t="str">
        <x:v>2999000080571</x:v>
      </x:c>
      <x:c r="D95" s="22" t="str">
        <x:v>Twist Leather Case 7 Inch Blue</x:v>
      </x:c>
      <x:c r="E95" s="22" t="str">
        <x:v>Twist Leather Case for Universal 7-inch tablet fit - Blue</x:v>
      </x:c>
      <x:c r="F95" s="22" t="str">
        <x:v>Twist Leather Case</x:v>
      </x:c>
      <x:c r="G95" s="22" t="str">
        <x:v>Blue</x:v>
      </x:c>
      <x:c r="H95" s="22" t="str">
        <x:v>TM8-GRP-UNIVERSAL-7-TLC</x:v>
      </x:c>
      <x:c r="I95" s="22" t="str">
        <x:v>Twist Leather Case for Universal 7-inch tablet fit</x:v>
      </x:c>
      <x:c r="J95" s="22" t="str">
        <x:v>Universal case</x:v>
      </x:c>
      <x:c r="K95" s="22" t="str">
        <x:v>UNIVERSAL-7</x:v>
      </x:c>
      <x:c r="L95" s="22" t="str">
        <x:v>Universal 7-inch tablet fit</x:v>
      </x:c>
      <x:c r="M95" s="22" t="str">
        <x:v>Proposed</x:v>
      </x:c>
      <x:c r="N95" s="22" t="str">
        <x:v>https://dghyt15qon7us.cloudfront.net/images/productTheme/Inventory/small/1681610333.jpg</x:v>
      </x:c>
      <x:c r="O95" s="22" t="str">
        <x:v>https://dghyt15qon7us.cloudfront.net/images/productTheme/Inventory/small/1681610314.jpg</x:v>
      </x:c>
      <x:c r="P95" s="19" t="str">
        <x:v>park-ridge</x:v>
      </x:c>
      <x:c r="Q95" s="20" t="n">
        <x:v>2</x:v>
      </x:c>
      <x:c r="R95" s="20" t="n">
        <x:f>MAX(0,Q95)</x:f>
        <x:v>2</x:v>
      </x:c>
      <x:c r="S95" s="21" t="n">
        <x:v>3</x:v>
      </x:c>
      <x:c r="T95" s="21" t="n">
        <x:f>IF(OR(F95="Hard Case",F95="Bubble Hard Case"),15,IF(F95="Twist Leather Case",5,IF(F95="Z-Fold Case",4,IFERROR(VLOOKUP(B95,'Cost Overrides'!$A$2:$B$17,2,FALSE),S95))))</x:f>
        <x:v>5</x:v>
      </x:c>
      <x:c r="U95" s="21" t="str">
        <x:f>IF(OR(F95="Hard Case",F95="Bubble Hard Case"),"Confirmed: Hard Case",IF(F95="Twist Leather Case","Confirmed: Twist Leather Case",IF(F95="Z-Fold Case","Confirmed: Z-Fold Case",IF(COUNTIF('Cost Overrides'!$A$2:$A$17,B95)&gt;0,"Confirmed: Owner cost override",IF(S95&lt;=0,"Needs cost","Source cost")))))</x:f>
        <x:v>Confirmed: Twist Leather Case</x:v>
      </x:c>
      <x:c r="V95" s="21" t="n">
        <x:v>39.95</x:v>
      </x:c>
      <x:c r="W95" s="21" t="n">
        <x:f>V95</x:f>
        <x:v>39.95</x:v>
      </x:c>
      <x:c r="X95" s="19" t="str">
        <x:v>NO</x:v>
      </x:c>
      <x:c r="Y95" s="19" t="str">
        <x:v>NO</x:v>
      </x:c>
      <x:c r="Z95" s="19" t="str">
        <x:v>42457775</x:v>
      </x:c>
      <x:c r="AA95" s="19" t="str">
        <x:v>50765374</x:v>
      </x:c>
      <x:c r="AB95" s="22" t="str">
        <x:f>IF(OR(M95&lt;&gt;"Approved",U95="Needs cost",O95=""),"Needs review","Ready after approval")</x:f>
        <x:v>Needs review</x:v>
      </x:c>
      <x:c r="AC95" s="22" t="str"/>
    </x:row>
    <x:row r="96">
      <x:c r="A96" s="19" t="str">
        <x:v>8056</x:v>
      </x:c>
      <x:c r="B96" s="19" t="str">
        <x:v>TM8-TAB-8056</x:v>
      </x:c>
      <x:c r="C96" s="19" t="str">
        <x:v>2999000080564</x:v>
      </x:c>
      <x:c r="D96" s="22" t="str">
        <x:v>Twist Leather Case 7 Inch Black</x:v>
      </x:c>
      <x:c r="E96" s="22" t="str">
        <x:v>Twist Leather Case for Universal 7-inch tablet fit - Black</x:v>
      </x:c>
      <x:c r="F96" s="22" t="str">
        <x:v>Twist Leather Case</x:v>
      </x:c>
      <x:c r="G96" s="22" t="str">
        <x:v>Black</x:v>
      </x:c>
      <x:c r="H96" s="22" t="str">
        <x:v>TM8-GRP-UNIVERSAL-7-TLC</x:v>
      </x:c>
      <x:c r="I96" s="22" t="str">
        <x:v>Twist Leather Case for Universal 7-inch tablet fit</x:v>
      </x:c>
      <x:c r="J96" s="22" t="str">
        <x:v>Universal case</x:v>
      </x:c>
      <x:c r="K96" s="22" t="str">
        <x:v>UNIVERSAL-7</x:v>
      </x:c>
      <x:c r="L96" s="22" t="str">
        <x:v>Universal 7-inch tablet fit</x:v>
      </x:c>
      <x:c r="M96" s="22" t="str">
        <x:v>Proposed</x:v>
      </x:c>
      <x:c r="N96" s="22" t="str">
        <x:v>https://dghyt15qon7us.cloudfront.net/images/productTheme/Inventory/small/1681610314.jpg</x:v>
      </x:c>
      <x:c r="O96" s="22" t="str">
        <x:v>https://dghyt15qon7us.cloudfront.net/images/productTheme/Inventory/small/1681610314.jpg</x:v>
      </x:c>
      <x:c r="P96" s="19" t="str">
        <x:v>park-ridge</x:v>
      </x:c>
      <x:c r="Q96" s="20" t="n">
        <x:v>2</x:v>
      </x:c>
      <x:c r="R96" s="20" t="n">
        <x:f>MAX(0,Q96)</x:f>
        <x:v>2</x:v>
      </x:c>
      <x:c r="S96" s="21" t="n">
        <x:v>3</x:v>
      </x:c>
      <x:c r="T96" s="21" t="n">
        <x:f>IF(OR(F96="Hard Case",F96="Bubble Hard Case"),15,IF(F96="Twist Leather Case",5,IF(F96="Z-Fold Case",4,IFERROR(VLOOKUP(B96,'Cost Overrides'!$A$2:$B$17,2,FALSE),S96))))</x:f>
        <x:v>5</x:v>
      </x:c>
      <x:c r="U96" s="21" t="str">
        <x:f>IF(OR(F96="Hard Case",F96="Bubble Hard Case"),"Confirmed: Hard Case",IF(F96="Twist Leather Case","Confirmed: Twist Leather Case",IF(F96="Z-Fold Case","Confirmed: Z-Fold Case",IF(COUNTIF('Cost Overrides'!$A$2:$A$17,B96)&gt;0,"Confirmed: Owner cost override",IF(S96&lt;=0,"Needs cost","Source cost")))))</x:f>
        <x:v>Confirmed: Twist Leather Case</x:v>
      </x:c>
      <x:c r="V96" s="21" t="n">
        <x:v>39.95</x:v>
      </x:c>
      <x:c r="W96" s="21" t="n">
        <x:f>V96</x:f>
        <x:v>39.95</x:v>
      </x:c>
      <x:c r="X96" s="19" t="str">
        <x:v>NO</x:v>
      </x:c>
      <x:c r="Y96" s="19" t="str">
        <x:v>NO</x:v>
      </x:c>
      <x:c r="Z96" s="19" t="str">
        <x:v>42457774</x:v>
      </x:c>
      <x:c r="AA96" s="19" t="str">
        <x:v>50765371</x:v>
      </x:c>
      <x:c r="AB96" s="22" t="str">
        <x:f>IF(OR(M96&lt;&gt;"Approved",U96="Needs cost",O96=""),"Needs review","Ready after approval")</x:f>
        <x:v>Needs review</x:v>
      </x:c>
      <x:c r="AC96" s="22" t="str"/>
    </x:row>
    <x:row r="97">
      <x:c r="A97" s="19" t="str">
        <x:v>8055</x:v>
      </x:c>
      <x:c r="B97" s="19" t="str">
        <x:v>TM8-TAB-8055</x:v>
      </x:c>
      <x:c r="C97" s="19" t="str">
        <x:v>2999000080557</x:v>
      </x:c>
      <x:c r="D97" s="22" t="str">
        <x:v>Twist Leather Case 10 Inch Pink</x:v>
      </x:c>
      <x:c r="E97" s="22" t="str">
        <x:v>Twist Leather Case for Universal 10-inch tablet fit - Pink</x:v>
      </x:c>
      <x:c r="F97" s="22" t="str">
        <x:v>Twist Leather Case</x:v>
      </x:c>
      <x:c r="G97" s="22" t="str">
        <x:v>Pink</x:v>
      </x:c>
      <x:c r="H97" s="22" t="str">
        <x:v>TM8-GRP-UNIVERSAL-10-TLC</x:v>
      </x:c>
      <x:c r="I97" s="22" t="str">
        <x:v>Twist Leather Case for Universal 10-inch tablet fit</x:v>
      </x:c>
      <x:c r="J97" s="22" t="str">
        <x:v>Universal case</x:v>
      </x:c>
      <x:c r="K97" s="22" t="str">
        <x:v>UNIVERSAL-10</x:v>
      </x:c>
      <x:c r="L97" s="22" t="str">
        <x:v>Universal 10-inch tablet fit</x:v>
      </x:c>
      <x:c r="M97" s="22" t="str">
        <x:v>Proposed</x:v>
      </x:c>
      <x:c r="N97" s="22" t="str">
        <x:v>https://dghyt15qon7us.cloudfront.net/images/productTheme/Inventory/small/1681610284.jpg</x:v>
      </x:c>
      <x:c r="O97" s="22" t="str">
        <x:v>https://dghyt15qon7us.cloudfront.net/images/productTheme/Inventory/small/1681610233.jpg</x:v>
      </x:c>
      <x:c r="P97" s="19" t="str">
        <x:v>park-ridge</x:v>
      </x:c>
      <x:c r="Q97" s="20" t="n">
        <x:v>5</x:v>
      </x:c>
      <x:c r="R97" s="20" t="n">
        <x:f>MAX(0,Q97)</x:f>
        <x:v>5</x:v>
      </x:c>
      <x:c r="S97" s="21" t="n">
        <x:v>35</x:v>
      </x:c>
      <x:c r="T97" s="21" t="n">
        <x:f>IF(OR(F97="Hard Case",F97="Bubble Hard Case"),15,IF(F97="Twist Leather Case",5,IF(F97="Z-Fold Case",4,IFERROR(VLOOKUP(B97,'Cost Overrides'!$A$2:$B$17,2,FALSE),S97))))</x:f>
        <x:v>5</x:v>
      </x:c>
      <x:c r="U97" s="21" t="str">
        <x:f>IF(OR(F97="Hard Case",F97="Bubble Hard Case"),"Confirmed: Hard Case",IF(F97="Twist Leather Case","Confirmed: Twist Leather Case",IF(F97="Z-Fold Case","Confirmed: Z-Fold Case",IF(COUNTIF('Cost Overrides'!$A$2:$A$17,B97)&gt;0,"Confirmed: Owner cost override",IF(S97&lt;=0,"Needs cost","Source cost")))))</x:f>
        <x:v>Confirmed: Twist Leather Case</x:v>
      </x:c>
      <x:c r="V97" s="21" t="n">
        <x:v>39.95</x:v>
      </x:c>
      <x:c r="W97" s="21" t="n">
        <x:f>V97</x:f>
        <x:v>39.95</x:v>
      </x:c>
      <x:c r="X97" s="19" t="str">
        <x:v>NO</x:v>
      </x:c>
      <x:c r="Y97" s="19" t="str">
        <x:v>NO</x:v>
      </x:c>
      <x:c r="Z97" s="19" t="str">
        <x:v>42457773</x:v>
      </x:c>
      <x:c r="AA97" s="19" t="str">
        <x:v>50765368</x:v>
      </x:c>
      <x:c r="AB97" s="22" t="str">
        <x:f>IF(OR(M97&lt;&gt;"Approved",U97="Needs cost",O97=""),"Needs review","Ready after approval")</x:f>
        <x:v>Needs review</x:v>
      </x:c>
      <x:c r="AC97" s="22" t="str"/>
    </x:row>
    <x:row r="98">
      <x:c r="A98" s="19" t="str">
        <x:v>8054</x:v>
      </x:c>
      <x:c r="B98" s="19" t="str">
        <x:v>TM8-TAB-8054</x:v>
      </x:c>
      <x:c r="C98" s="19" t="str">
        <x:v>2999000080540</x:v>
      </x:c>
      <x:c r="D98" s="22" t="str">
        <x:v>Twist Leather Case 10 Inch Blue</x:v>
      </x:c>
      <x:c r="E98" s="22" t="str">
        <x:v>Twist Leather Case for Universal 10-inch tablet fit - Blue</x:v>
      </x:c>
      <x:c r="F98" s="22" t="str">
        <x:v>Twist Leather Case</x:v>
      </x:c>
      <x:c r="G98" s="22" t="str">
        <x:v>Blue</x:v>
      </x:c>
      <x:c r="H98" s="22" t="str">
        <x:v>TM8-GRP-UNIVERSAL-10-TLC</x:v>
      </x:c>
      <x:c r="I98" s="22" t="str">
        <x:v>Twist Leather Case for Universal 10-inch tablet fit</x:v>
      </x:c>
      <x:c r="J98" s="22" t="str">
        <x:v>Universal case</x:v>
      </x:c>
      <x:c r="K98" s="22" t="str">
        <x:v>UNIVERSAL-10</x:v>
      </x:c>
      <x:c r="L98" s="22" t="str">
        <x:v>Universal 10-inch tablet fit</x:v>
      </x:c>
      <x:c r="M98" s="22" t="str">
        <x:v>Proposed</x:v>
      </x:c>
      <x:c r="N98" s="22" t="str">
        <x:v>https://dghyt15qon7us.cloudfront.net/images/productTheme/Inventory/small/1681610264.jpg</x:v>
      </x:c>
      <x:c r="O98" s="22" t="str">
        <x:v>https://dghyt15qon7us.cloudfront.net/images/productTheme/Inventory/small/1681610233.jpg</x:v>
      </x:c>
      <x:c r="P98" s="19" t="str">
        <x:v>park-ridge</x:v>
      </x:c>
      <x:c r="Q98" s="20" t="n">
        <x:v>2</x:v>
      </x:c>
      <x:c r="R98" s="20" t="n">
        <x:f>MAX(0,Q98)</x:f>
        <x:v>2</x:v>
      </x:c>
      <x:c r="S98" s="21" t="n">
        <x:v>3</x:v>
      </x:c>
      <x:c r="T98" s="21" t="n">
        <x:f>IF(OR(F98="Hard Case",F98="Bubble Hard Case"),15,IF(F98="Twist Leather Case",5,IF(F98="Z-Fold Case",4,IFERROR(VLOOKUP(B98,'Cost Overrides'!$A$2:$B$17,2,FALSE),S98))))</x:f>
        <x:v>5</x:v>
      </x:c>
      <x:c r="U98" s="21" t="str">
        <x:f>IF(OR(F98="Hard Case",F98="Bubble Hard Case"),"Confirmed: Hard Case",IF(F98="Twist Leather Case","Confirmed: Twist Leather Case",IF(F98="Z-Fold Case","Confirmed: Z-Fold Case",IF(COUNTIF('Cost Overrides'!$A$2:$A$17,B98)&gt;0,"Confirmed: Owner cost override",IF(S98&lt;=0,"Needs cost","Source cost")))))</x:f>
        <x:v>Confirmed: Twist Leather Case</x:v>
      </x:c>
      <x:c r="V98" s="21" t="n">
        <x:v>39.95</x:v>
      </x:c>
      <x:c r="W98" s="21" t="n">
        <x:f>V98</x:f>
        <x:v>39.95</x:v>
      </x:c>
      <x:c r="X98" s="19" t="str">
        <x:v>NO</x:v>
      </x:c>
      <x:c r="Y98" s="19" t="str">
        <x:v>NO</x:v>
      </x:c>
      <x:c r="Z98" s="19" t="str">
        <x:v>42457772</x:v>
      </x:c>
      <x:c r="AA98" s="19" t="str">
        <x:v>50765365</x:v>
      </x:c>
      <x:c r="AB98" s="22" t="str">
        <x:f>IF(OR(M98&lt;&gt;"Approved",U98="Needs cost",O98=""),"Needs review","Ready after approval")</x:f>
        <x:v>Needs review</x:v>
      </x:c>
      <x:c r="AC98" s="22" t="str"/>
    </x:row>
    <x:row r="99">
      <x:c r="A99" s="19" t="str">
        <x:v>8053</x:v>
      </x:c>
      <x:c r="B99" s="19" t="str">
        <x:v>TM8-TAB-8053</x:v>
      </x:c>
      <x:c r="C99" s="19" t="str">
        <x:v>2999000080533</x:v>
      </x:c>
      <x:c r="D99" s="22" t="str">
        <x:v>Twist Leather Case 10 Inch Black</x:v>
      </x:c>
      <x:c r="E99" s="22" t="str">
        <x:v>Twist Leather Case for Universal 10-inch tablet fit - Black</x:v>
      </x:c>
      <x:c r="F99" s="22" t="str">
        <x:v>Twist Leather Case</x:v>
      </x:c>
      <x:c r="G99" s="22" t="str">
        <x:v>Black</x:v>
      </x:c>
      <x:c r="H99" s="22" t="str">
        <x:v>TM8-GRP-UNIVERSAL-10-TLC</x:v>
      </x:c>
      <x:c r="I99" s="22" t="str">
        <x:v>Twist Leather Case for Universal 10-inch tablet fit</x:v>
      </x:c>
      <x:c r="J99" s="22" t="str">
        <x:v>Universal case</x:v>
      </x:c>
      <x:c r="K99" s="22" t="str">
        <x:v>UNIVERSAL-10</x:v>
      </x:c>
      <x:c r="L99" s="22" t="str">
        <x:v>Universal 10-inch tablet fit</x:v>
      </x:c>
      <x:c r="M99" s="22" t="str">
        <x:v>Proposed</x:v>
      </x:c>
      <x:c r="N99" s="22" t="str">
        <x:v>https://dghyt15qon7us.cloudfront.net/images/productTheme/Inventory/small/1681610233.jpg</x:v>
      </x:c>
      <x:c r="O99" s="22" t="str">
        <x:v>https://dghyt15qon7us.cloudfront.net/images/productTheme/Inventory/small/1681610233.jpg</x:v>
      </x:c>
      <x:c r="P99" s="19" t="str">
        <x:v>park-ridge</x:v>
      </x:c>
      <x:c r="Q99" s="20" t="n">
        <x:v>3</x:v>
      </x:c>
      <x:c r="R99" s="20" t="n">
        <x:f>MAX(0,Q99)</x:f>
        <x:v>3</x:v>
      </x:c>
      <x:c r="S99" s="21" t="n">
        <x:v>3</x:v>
      </x:c>
      <x:c r="T99" s="21" t="n">
        <x:f>IF(OR(F99="Hard Case",F99="Bubble Hard Case"),15,IF(F99="Twist Leather Case",5,IF(F99="Z-Fold Case",4,IFERROR(VLOOKUP(B99,'Cost Overrides'!$A$2:$B$17,2,FALSE),S99))))</x:f>
        <x:v>5</x:v>
      </x:c>
      <x:c r="U99" s="21" t="str">
        <x:f>IF(OR(F99="Hard Case",F99="Bubble Hard Case"),"Confirmed: Hard Case",IF(F99="Twist Leather Case","Confirmed: Twist Leather Case",IF(F99="Z-Fold Case","Confirmed: Z-Fold Case",IF(COUNTIF('Cost Overrides'!$A$2:$A$17,B99)&gt;0,"Confirmed: Owner cost override",IF(S99&lt;=0,"Needs cost","Source cost")))))</x:f>
        <x:v>Confirmed: Twist Leather Case</x:v>
      </x:c>
      <x:c r="V99" s="21" t="n">
        <x:v>39.95</x:v>
      </x:c>
      <x:c r="W99" s="21" t="n">
        <x:f>V99</x:f>
        <x:v>39.95</x:v>
      </x:c>
      <x:c r="X99" s="19" t="str">
        <x:v>NO</x:v>
      </x:c>
      <x:c r="Y99" s="19" t="str">
        <x:v>NO</x:v>
      </x:c>
      <x:c r="Z99" s="19" t="str">
        <x:v>42457771</x:v>
      </x:c>
      <x:c r="AA99" s="19" t="str">
        <x:v>50765362</x:v>
      </x:c>
      <x:c r="AB99" s="22" t="str">
        <x:f>IF(OR(M99&lt;&gt;"Approved",U99="Needs cost",O99=""),"Needs review","Ready after approval")</x:f>
        <x:v>Needs review</x:v>
      </x:c>
      <x:c r="AC99" s="22" t="str"/>
    </x:row>
    <x:row r="100">
      <x:c r="A100" s="19" t="str">
        <x:v>8052</x:v>
      </x:c>
      <x:c r="B100" s="19" t="str">
        <x:v>TM8-TAB-8052</x:v>
      </x:c>
      <x:c r="C100" s="19" t="str">
        <x:v>2999000080526</x:v>
      </x:c>
      <x:c r="D100" s="22" t="str">
        <x:v>Twist Leather Case 8 Inch Purple</x:v>
      </x:c>
      <x:c r="E100" s="22" t="str">
        <x:v>Twist Leather Case for Universal 8-inch tablet fit - Purple</x:v>
      </x:c>
      <x:c r="F100" s="22" t="str">
        <x:v>Twist Leather Case</x:v>
      </x:c>
      <x:c r="G100" s="22" t="str">
        <x:v>Purple</x:v>
      </x:c>
      <x:c r="H100" s="22" t="str">
        <x:v>TM8-GRP-UNIVERSAL-8-TLC</x:v>
      </x:c>
      <x:c r="I100" s="22" t="str">
        <x:v>Twist Leather Case for Universal 8-inch tablet fit</x:v>
      </x:c>
      <x:c r="J100" s="22" t="str">
        <x:v>Universal case</x:v>
      </x:c>
      <x:c r="K100" s="22" t="str">
        <x:v>UNIVERSAL-8</x:v>
      </x:c>
      <x:c r="L100" s="22" t="str">
        <x:v>Universal 8-inch tablet fit</x:v>
      </x:c>
      <x:c r="M100" s="22" t="str">
        <x:v>Proposed</x:v>
      </x:c>
      <x:c r="N100" s="22" t="str">
        <x:v>https://dghyt15qon7us.cloudfront.net/images/productTheme/Inventory/small/1681610200.jpg</x:v>
      </x:c>
      <x:c r="O100" s="22" t="str">
        <x:v>https://dghyt15qon7us.cloudfront.net/images/productTheme/Inventory/small/1681610101.jpg</x:v>
      </x:c>
      <x:c r="P100" s="19" t="str">
        <x:v>park-ridge</x:v>
      </x:c>
      <x:c r="Q100" s="20" t="n">
        <x:v>2</x:v>
      </x:c>
      <x:c r="R100" s="20" t="n">
        <x:f>MAX(0,Q100)</x:f>
        <x:v>2</x:v>
      </x:c>
      <x:c r="S100" s="21" t="n">
        <x:v>3</x:v>
      </x:c>
      <x:c r="T100" s="21" t="n">
        <x:f>IF(OR(F100="Hard Case",F100="Bubble Hard Case"),15,IF(F100="Twist Leather Case",5,IF(F100="Z-Fold Case",4,IFERROR(VLOOKUP(B100,'Cost Overrides'!$A$2:$B$17,2,FALSE),S100))))</x:f>
        <x:v>5</x:v>
      </x:c>
      <x:c r="U100" s="21" t="str">
        <x:f>IF(OR(F100="Hard Case",F100="Bubble Hard Case"),"Confirmed: Hard Case",IF(F100="Twist Leather Case","Confirmed: Twist Leather Case",IF(F100="Z-Fold Case","Confirmed: Z-Fold Case",IF(COUNTIF('Cost Overrides'!$A$2:$A$17,B100)&gt;0,"Confirmed: Owner cost override",IF(S100&lt;=0,"Needs cost","Source cost")))))</x:f>
        <x:v>Confirmed: Twist Leather Case</x:v>
      </x:c>
      <x:c r="V100" s="21" t="n">
        <x:v>39.95</x:v>
      </x:c>
      <x:c r="W100" s="21" t="n">
        <x:f>V100</x:f>
        <x:v>39.95</x:v>
      </x:c>
      <x:c r="X100" s="19" t="str">
        <x:v>NO</x:v>
      </x:c>
      <x:c r="Y100" s="19" t="str">
        <x:v>NO</x:v>
      </x:c>
      <x:c r="Z100" s="19" t="str">
        <x:v>42457770</x:v>
      </x:c>
      <x:c r="AA100" s="19" t="str">
        <x:v>50765359</x:v>
      </x:c>
      <x:c r="AB100" s="22" t="str">
        <x:f>IF(OR(M100&lt;&gt;"Approved",U100="Needs cost",O100=""),"Needs review","Ready after approval")</x:f>
        <x:v>Needs review</x:v>
      </x:c>
      <x:c r="AC100" s="22" t="str"/>
    </x:row>
    <x:row r="101">
      <x:c r="A101" s="19" t="str">
        <x:v>8051</x:v>
      </x:c>
      <x:c r="B101" s="19" t="str">
        <x:v>TM8-TAB-8051</x:v>
      </x:c>
      <x:c r="C101" s="19" t="str">
        <x:v>2999000080519</x:v>
      </x:c>
      <x:c r="D101" s="22" t="str">
        <x:v>Twist Leather Case 8 Inch Blue</x:v>
      </x:c>
      <x:c r="E101" s="22" t="str">
        <x:v>Twist Leather Case for Universal 8-inch tablet fit - Blue</x:v>
      </x:c>
      <x:c r="F101" s="22" t="str">
        <x:v>Twist Leather Case</x:v>
      </x:c>
      <x:c r="G101" s="22" t="str">
        <x:v>Blue</x:v>
      </x:c>
      <x:c r="H101" s="22" t="str">
        <x:v>TM8-GRP-UNIVERSAL-8-TLC</x:v>
      </x:c>
      <x:c r="I101" s="22" t="str">
        <x:v>Twist Leather Case for Universal 8-inch tablet fit</x:v>
      </x:c>
      <x:c r="J101" s="22" t="str">
        <x:v>Universal case</x:v>
      </x:c>
      <x:c r="K101" s="22" t="str">
        <x:v>UNIVERSAL-8</x:v>
      </x:c>
      <x:c r="L101" s="22" t="str">
        <x:v>Universal 8-inch tablet fit</x:v>
      </x:c>
      <x:c r="M101" s="22" t="str">
        <x:v>Proposed</x:v>
      </x:c>
      <x:c r="N101" s="22" t="str">
        <x:v>https://dghyt15qon7us.cloudfront.net/images/productTheme/Inventory/small/1681610186.jpg</x:v>
      </x:c>
      <x:c r="O101" s="22" t="str">
        <x:v>https://dghyt15qon7us.cloudfront.net/images/productTheme/Inventory/small/1681610101.jpg</x:v>
      </x:c>
      <x:c r="P101" s="19" t="str">
        <x:v>park-ridge</x:v>
      </x:c>
      <x:c r="Q101" s="20" t="n">
        <x:v>2</x:v>
      </x:c>
      <x:c r="R101" s="20" t="n">
        <x:f>MAX(0,Q101)</x:f>
        <x:v>2</x:v>
      </x:c>
      <x:c r="S101" s="21" t="n">
        <x:v>3</x:v>
      </x:c>
      <x:c r="T101" s="21" t="n">
        <x:f>IF(OR(F101="Hard Case",F101="Bubble Hard Case"),15,IF(F101="Twist Leather Case",5,IF(F101="Z-Fold Case",4,IFERROR(VLOOKUP(B101,'Cost Overrides'!$A$2:$B$17,2,FALSE),S101))))</x:f>
        <x:v>5</x:v>
      </x:c>
      <x:c r="U101" s="21" t="str">
        <x:f>IF(OR(F101="Hard Case",F101="Bubble Hard Case"),"Confirmed: Hard Case",IF(F101="Twist Leather Case","Confirmed: Twist Leather Case",IF(F101="Z-Fold Case","Confirmed: Z-Fold Case",IF(COUNTIF('Cost Overrides'!$A$2:$A$17,B101)&gt;0,"Confirmed: Owner cost override",IF(S101&lt;=0,"Needs cost","Source cost")))))</x:f>
        <x:v>Confirmed: Twist Leather Case</x:v>
      </x:c>
      <x:c r="V101" s="21" t="n">
        <x:v>39.95</x:v>
      </x:c>
      <x:c r="W101" s="21" t="n">
        <x:f>V101</x:f>
        <x:v>39.95</x:v>
      </x:c>
      <x:c r="X101" s="19" t="str">
        <x:v>NO</x:v>
      </x:c>
      <x:c r="Y101" s="19" t="str">
        <x:v>NO</x:v>
      </x:c>
      <x:c r="Z101" s="19" t="str">
        <x:v>42457769</x:v>
      </x:c>
      <x:c r="AA101" s="19" t="str">
        <x:v>50765356</x:v>
      </x:c>
      <x:c r="AB101" s="22" t="str">
        <x:f>IF(OR(M101&lt;&gt;"Approved",U101="Needs cost",O101=""),"Needs review","Ready after approval")</x:f>
        <x:v>Needs review</x:v>
      </x:c>
      <x:c r="AC101" s="22" t="str"/>
    </x:row>
    <x:row r="102">
      <x:c r="A102" s="19" t="str">
        <x:v>8050</x:v>
      </x:c>
      <x:c r="B102" s="19" t="str">
        <x:v>TM8-TAB-8050</x:v>
      </x:c>
      <x:c r="C102" s="19" t="str">
        <x:v>2999000080502</x:v>
      </x:c>
      <x:c r="D102" s="22" t="str">
        <x:v>Twist Leather Case 8 Inch Black</x:v>
      </x:c>
      <x:c r="E102" s="22" t="str">
        <x:v>Twist Leather Case for Universal 8-inch tablet fit - Black</x:v>
      </x:c>
      <x:c r="F102" s="22" t="str">
        <x:v>Twist Leather Case</x:v>
      </x:c>
      <x:c r="G102" s="22" t="str">
        <x:v>Black</x:v>
      </x:c>
      <x:c r="H102" s="22" t="str">
        <x:v>TM8-GRP-UNIVERSAL-8-TLC</x:v>
      </x:c>
      <x:c r="I102" s="22" t="str">
        <x:v>Twist Leather Case for Universal 8-inch tablet fit</x:v>
      </x:c>
      <x:c r="J102" s="22" t="str">
        <x:v>Universal case</x:v>
      </x:c>
      <x:c r="K102" s="22" t="str">
        <x:v>UNIVERSAL-8</x:v>
      </x:c>
      <x:c r="L102" s="22" t="str">
        <x:v>Universal 8-inch tablet fit</x:v>
      </x:c>
      <x:c r="M102" s="22" t="str">
        <x:v>Proposed</x:v>
      </x:c>
      <x:c r="N102" s="22" t="str">
        <x:v>https://dghyt15qon7us.cloudfront.net/images/productTheme/Inventory/small/1681610101.jpg</x:v>
      </x:c>
      <x:c r="O102" s="22" t="str">
        <x:v>https://dghyt15qon7us.cloudfront.net/images/productTheme/Inventory/small/1681610101.jpg</x:v>
      </x:c>
      <x:c r="P102" s="19" t="str">
        <x:v>park-ridge</x:v>
      </x:c>
      <x:c r="Q102" s="20" t="n">
        <x:v>3</x:v>
      </x:c>
      <x:c r="R102" s="20" t="n">
        <x:f>MAX(0,Q102)</x:f>
        <x:v>3</x:v>
      </x:c>
      <x:c r="S102" s="21" t="n">
        <x:v>3</x:v>
      </x:c>
      <x:c r="T102" s="21" t="n">
        <x:f>IF(OR(F102="Hard Case",F102="Bubble Hard Case"),15,IF(F102="Twist Leather Case",5,IF(F102="Z-Fold Case",4,IFERROR(VLOOKUP(B102,'Cost Overrides'!$A$2:$B$17,2,FALSE),S102))))</x:f>
        <x:v>5</x:v>
      </x:c>
      <x:c r="U102" s="21" t="str">
        <x:f>IF(OR(F102="Hard Case",F102="Bubble Hard Case"),"Confirmed: Hard Case",IF(F102="Twist Leather Case","Confirmed: Twist Leather Case",IF(F102="Z-Fold Case","Confirmed: Z-Fold Case",IF(COUNTIF('Cost Overrides'!$A$2:$A$17,B102)&gt;0,"Confirmed: Owner cost override",IF(S102&lt;=0,"Needs cost","Source cost")))))</x:f>
        <x:v>Confirmed: Twist Leather Case</x:v>
      </x:c>
      <x:c r="V102" s="21" t="n">
        <x:v>39.95</x:v>
      </x:c>
      <x:c r="W102" s="21" t="n">
        <x:f>V102</x:f>
        <x:v>39.95</x:v>
      </x:c>
      <x:c r="X102" s="19" t="str">
        <x:v>NO</x:v>
      </x:c>
      <x:c r="Y102" s="19" t="str">
        <x:v>NO</x:v>
      </x:c>
      <x:c r="Z102" s="19" t="str">
        <x:v>42457768</x:v>
      </x:c>
      <x:c r="AA102" s="19" t="str">
        <x:v>50765353</x:v>
      </x:c>
      <x:c r="AB102" s="22" t="str">
        <x:f>IF(OR(M102&lt;&gt;"Approved",U102="Needs cost",O102=""),"Needs review","Ready after approval")</x:f>
        <x:v>Needs review</x:v>
      </x:c>
      <x:c r="AC102" s="22" t="str"/>
    </x:row>
    <x:row r="103">
      <x:c r="A103" s="19" t="str">
        <x:v>8049</x:v>
      </x:c>
      <x:c r="B103" s="19" t="str">
        <x:v>TM8-TAB-8049</x:v>
      </x:c>
      <x:c r="C103" s="19" t="str">
        <x:v>2999000080496</x:v>
      </x:c>
      <x:c r="D103" s="22" t="str">
        <x:v>Twist Leather Case 7 Inch Green</x:v>
      </x:c>
      <x:c r="E103" s="22" t="str">
        <x:v>Twist Leather Case for Universal 7-inch tablet fit - Green</x:v>
      </x:c>
      <x:c r="F103" s="22" t="str">
        <x:v>Twist Leather Case</x:v>
      </x:c>
      <x:c r="G103" s="22" t="str">
        <x:v>Green</x:v>
      </x:c>
      <x:c r="H103" s="22" t="str">
        <x:v>TM8-GRP-UNIVERSAL-7-TLC</x:v>
      </x:c>
      <x:c r="I103" s="22" t="str">
        <x:v>Twist Leather Case for Universal 7-inch tablet fit</x:v>
      </x:c>
      <x:c r="J103" s="22" t="str">
        <x:v>Universal case</x:v>
      </x:c>
      <x:c r="K103" s="22" t="str">
        <x:v>UNIVERSAL-7</x:v>
      </x:c>
      <x:c r="L103" s="22" t="str">
        <x:v>Universal 7-inch tablet fit</x:v>
      </x:c>
      <x:c r="M103" s="22" t="str">
        <x:v>Proposed</x:v>
      </x:c>
      <x:c r="N103" s="22" t="str">
        <x:v>https://dghyt15qon7us.cloudfront.net/images/productTheme/Inventory/small/1681610068.jpg</x:v>
      </x:c>
      <x:c r="O103" s="22" t="str">
        <x:v>https://dghyt15qon7us.cloudfront.net/images/productTheme/Inventory/small/1681610314.jpg</x:v>
      </x:c>
      <x:c r="P103" s="19" t="str">
        <x:v>park-ridge</x:v>
      </x:c>
      <x:c r="Q103" s="20" t="n">
        <x:v>1</x:v>
      </x:c>
      <x:c r="R103" s="20" t="n">
        <x:f>MAX(0,Q103)</x:f>
        <x:v>1</x:v>
      </x:c>
      <x:c r="S103" s="21" t="n">
        <x:v>3</x:v>
      </x:c>
      <x:c r="T103" s="21" t="n">
        <x:f>IF(OR(F103="Hard Case",F103="Bubble Hard Case"),15,IF(F103="Twist Leather Case",5,IF(F103="Z-Fold Case",4,IFERROR(VLOOKUP(B103,'Cost Overrides'!$A$2:$B$17,2,FALSE),S103))))</x:f>
        <x:v>5</x:v>
      </x:c>
      <x:c r="U103" s="21" t="str">
        <x:f>IF(OR(F103="Hard Case",F103="Bubble Hard Case"),"Confirmed: Hard Case",IF(F103="Twist Leather Case","Confirmed: Twist Leather Case",IF(F103="Z-Fold Case","Confirmed: Z-Fold Case",IF(COUNTIF('Cost Overrides'!$A$2:$A$17,B103)&gt;0,"Confirmed: Owner cost override",IF(S103&lt;=0,"Needs cost","Source cost")))))</x:f>
        <x:v>Confirmed: Twist Leather Case</x:v>
      </x:c>
      <x:c r="V103" s="21" t="n">
        <x:v>39.95</x:v>
      </x:c>
      <x:c r="W103" s="21" t="n">
        <x:f>V103</x:f>
        <x:v>39.95</x:v>
      </x:c>
      <x:c r="X103" s="19" t="str">
        <x:v>NO</x:v>
      </x:c>
      <x:c r="Y103" s="19" t="str">
        <x:v>NO</x:v>
      </x:c>
      <x:c r="Z103" s="19" t="str">
        <x:v>42457767</x:v>
      </x:c>
      <x:c r="AA103" s="19" t="str">
        <x:v>50765350</x:v>
      </x:c>
      <x:c r="AB103" s="22" t="str">
        <x:f>IF(OR(M103&lt;&gt;"Approved",U103="Needs cost",O103=""),"Needs review","Ready after approval")</x:f>
        <x:v>Needs review</x:v>
      </x:c>
      <x:c r="AC103" s="22" t="str"/>
    </x:row>
    <x:row r="104">
      <x:c r="A104" s="19" t="str">
        <x:v>8048</x:v>
      </x:c>
      <x:c r="B104" s="19" t="str">
        <x:v>TM8-TAB-8048</x:v>
      </x:c>
      <x:c r="C104" s="19" t="str">
        <x:v>2999000080489</x:v>
      </x:c>
      <x:c r="D104" s="22" t="str">
        <x:v>Twist Leather Case 8 Inch Green</x:v>
      </x:c>
      <x:c r="E104" s="22" t="str">
        <x:v>Twist Leather Case for Universal 8-inch tablet fit - Green</x:v>
      </x:c>
      <x:c r="F104" s="22" t="str">
        <x:v>Twist Leather Case</x:v>
      </x:c>
      <x:c r="G104" s="22" t="str">
        <x:v>Green</x:v>
      </x:c>
      <x:c r="H104" s="22" t="str">
        <x:v>TM8-GRP-UNIVERSAL-8-TLC</x:v>
      </x:c>
      <x:c r="I104" s="22" t="str">
        <x:v>Twist Leather Case for Universal 8-inch tablet fit</x:v>
      </x:c>
      <x:c r="J104" s="22" t="str">
        <x:v>Universal case</x:v>
      </x:c>
      <x:c r="K104" s="22" t="str">
        <x:v>UNIVERSAL-8</x:v>
      </x:c>
      <x:c r="L104" s="22" t="str">
        <x:v>Universal 8-inch tablet fit</x:v>
      </x:c>
      <x:c r="M104" s="22" t="str">
        <x:v>Proposed</x:v>
      </x:c>
      <x:c r="N104" s="22" t="str">
        <x:v>https://dghyt15qon7us.cloudfront.net/images/productTheme/Inventory/small/170418437442457766.jpg</x:v>
      </x:c>
      <x:c r="O104" s="22" t="str">
        <x:v>https://dghyt15qon7us.cloudfront.net/images/productTheme/Inventory/small/1681610101.jpg</x:v>
      </x:c>
      <x:c r="P104" s="19" t="str">
        <x:v>park-ridge</x:v>
      </x:c>
      <x:c r="Q104" s="20" t="n">
        <x:v>2</x:v>
      </x:c>
      <x:c r="R104" s="20" t="n">
        <x:f>MAX(0,Q104)</x:f>
        <x:v>2</x:v>
      </x:c>
      <x:c r="S104" s="21" t="n">
        <x:v>3</x:v>
      </x:c>
      <x:c r="T104" s="21" t="n">
        <x:f>IF(OR(F104="Hard Case",F104="Bubble Hard Case"),15,IF(F104="Twist Leather Case",5,IF(F104="Z-Fold Case",4,IFERROR(VLOOKUP(B104,'Cost Overrides'!$A$2:$B$17,2,FALSE),S104))))</x:f>
        <x:v>5</x:v>
      </x:c>
      <x:c r="U104" s="21" t="str">
        <x:f>IF(OR(F104="Hard Case",F104="Bubble Hard Case"),"Confirmed: Hard Case",IF(F104="Twist Leather Case","Confirmed: Twist Leather Case",IF(F104="Z-Fold Case","Confirmed: Z-Fold Case",IF(COUNTIF('Cost Overrides'!$A$2:$A$17,B104)&gt;0,"Confirmed: Owner cost override",IF(S104&lt;=0,"Needs cost","Source cost")))))</x:f>
        <x:v>Confirmed: Twist Leather Case</x:v>
      </x:c>
      <x:c r="V104" s="21" t="n">
        <x:v>39.95</x:v>
      </x:c>
      <x:c r="W104" s="21" t="n">
        <x:f>V104</x:f>
        <x:v>39.95</x:v>
      </x:c>
      <x:c r="X104" s="19" t="str">
        <x:v>NO</x:v>
      </x:c>
      <x:c r="Y104" s="19" t="str">
        <x:v>NO</x:v>
      </x:c>
      <x:c r="Z104" s="19" t="str">
        <x:v>42457766</x:v>
      </x:c>
      <x:c r="AA104" s="19" t="str">
        <x:v>50765347</x:v>
      </x:c>
      <x:c r="AB104" s="22" t="str">
        <x:f>IF(OR(M104&lt;&gt;"Approved",U104="Needs cost",O104=""),"Needs review","Ready after approval")</x:f>
        <x:v>Needs review</x:v>
      </x:c>
      <x:c r="AC104" s="22" t="str"/>
    </x:row>
    <x:row r="105">
      <x:c r="A105" s="19" t="str">
        <x:v>8047</x:v>
      </x:c>
      <x:c r="B105" s="19" t="str">
        <x:v>TM8-TAB-8047</x:v>
      </x:c>
      <x:c r="C105" s="19" t="str">
        <x:v>2999000080472</x:v>
      </x:c>
      <x:c r="D105" s="22" t="str">
        <x:v>Twist Leather Case 10 Inch Red</x:v>
      </x:c>
      <x:c r="E105" s="22" t="str">
        <x:v>Twist Leather Case for Universal 10-inch tablet fit - Red</x:v>
      </x:c>
      <x:c r="F105" s="22" t="str">
        <x:v>Twist Leather Case</x:v>
      </x:c>
      <x:c r="G105" s="22" t="str">
        <x:v>Red</x:v>
      </x:c>
      <x:c r="H105" s="22" t="str">
        <x:v>TM8-GRP-UNIVERSAL-10-TLC</x:v>
      </x:c>
      <x:c r="I105" s="22" t="str">
        <x:v>Twist Leather Case for Universal 10-inch tablet fit</x:v>
      </x:c>
      <x:c r="J105" s="22" t="str">
        <x:v>Universal case</x:v>
      </x:c>
      <x:c r="K105" s="22" t="str">
        <x:v>UNIVERSAL-10</x:v>
      </x:c>
      <x:c r="L105" s="22" t="str">
        <x:v>Universal 10-inch tablet fit</x:v>
      </x:c>
      <x:c r="M105" s="22" t="str">
        <x:v>Proposed</x:v>
      </x:c>
      <x:c r="N105" s="22" t="str">
        <x:v>https://dghyt15qon7us.cloudfront.net/images/productTheme/Inventory/small/1681610017.jpg</x:v>
      </x:c>
      <x:c r="O105" s="22" t="str">
        <x:v>https://dghyt15qon7us.cloudfront.net/images/productTheme/Inventory/small/1681610233.jpg</x:v>
      </x:c>
      <x:c r="P105" s="19" t="str">
        <x:v>park-ridge</x:v>
      </x:c>
      <x:c r="Q105" s="20" t="n">
        <x:v>5</x:v>
      </x:c>
      <x:c r="R105" s="20" t="n">
        <x:f>MAX(0,Q105)</x:f>
        <x:v>5</x:v>
      </x:c>
      <x:c r="S105" s="21" t="n">
        <x:v>3</x:v>
      </x:c>
      <x:c r="T105" s="21" t="n">
        <x:f>IF(OR(F105="Hard Case",F105="Bubble Hard Case"),15,IF(F105="Twist Leather Case",5,IF(F105="Z-Fold Case",4,IFERROR(VLOOKUP(B105,'Cost Overrides'!$A$2:$B$17,2,FALSE),S105))))</x:f>
        <x:v>5</x:v>
      </x:c>
      <x:c r="U105" s="21" t="str">
        <x:f>IF(OR(F105="Hard Case",F105="Bubble Hard Case"),"Confirmed: Hard Case",IF(F105="Twist Leather Case","Confirmed: Twist Leather Case",IF(F105="Z-Fold Case","Confirmed: Z-Fold Case",IF(COUNTIF('Cost Overrides'!$A$2:$A$17,B105)&gt;0,"Confirmed: Owner cost override",IF(S105&lt;=0,"Needs cost","Source cost")))))</x:f>
        <x:v>Confirmed: Twist Leather Case</x:v>
      </x:c>
      <x:c r="V105" s="21" t="n">
        <x:v>39.95</x:v>
      </x:c>
      <x:c r="W105" s="21" t="n">
        <x:f>V105</x:f>
        <x:v>39.95</x:v>
      </x:c>
      <x:c r="X105" s="19" t="str">
        <x:v>NO</x:v>
      </x:c>
      <x:c r="Y105" s="19" t="str">
        <x:v>NO</x:v>
      </x:c>
      <x:c r="Z105" s="19" t="str">
        <x:v>42457765</x:v>
      </x:c>
      <x:c r="AA105" s="19" t="str">
        <x:v>50765344</x:v>
      </x:c>
      <x:c r="AB105" s="22" t="str">
        <x:f>IF(OR(M105&lt;&gt;"Approved",U105="Needs cost",O105=""),"Needs review","Ready after approval")</x:f>
        <x:v>Needs review</x:v>
      </x:c>
      <x:c r="AC105" s="22" t="str"/>
    </x:row>
    <x:row r="106">
      <x:c r="A106" s="19" t="str">
        <x:v>8046</x:v>
      </x:c>
      <x:c r="B106" s="19" t="str">
        <x:v>TM8-TAB-8046</x:v>
      </x:c>
      <x:c r="C106" s="19" t="str">
        <x:v>2999000080465</x:v>
      </x:c>
      <x:c r="D106" s="22" t="str">
        <x:v>Twist Leather Case 10 Inch Purple</x:v>
      </x:c>
      <x:c r="E106" s="22" t="str">
        <x:v>Twist Leather Case for Universal 10-inch tablet fit - Purple</x:v>
      </x:c>
      <x:c r="F106" s="22" t="str">
        <x:v>Twist Leather Case</x:v>
      </x:c>
      <x:c r="G106" s="22" t="str">
        <x:v>Purple</x:v>
      </x:c>
      <x:c r="H106" s="22" t="str">
        <x:v>TM8-GRP-UNIVERSAL-10-TLC</x:v>
      </x:c>
      <x:c r="I106" s="22" t="str">
        <x:v>Twist Leather Case for Universal 10-inch tablet fit</x:v>
      </x:c>
      <x:c r="J106" s="22" t="str">
        <x:v>Universal case</x:v>
      </x:c>
      <x:c r="K106" s="22" t="str">
        <x:v>UNIVERSAL-10</x:v>
      </x:c>
      <x:c r="L106" s="22" t="str">
        <x:v>Universal 10-inch tablet fit</x:v>
      </x:c>
      <x:c r="M106" s="22" t="str">
        <x:v>Proposed</x:v>
      </x:c>
      <x:c r="N106" s="22" t="str">
        <x:v>https://dghyt15qon7us.cloudfront.net/images/productTheme/Inventory/small/1681609983.jpg</x:v>
      </x:c>
      <x:c r="O106" s="22" t="str">
        <x:v>https://dghyt15qon7us.cloudfront.net/images/productTheme/Inventory/small/1681610233.jpg</x:v>
      </x:c>
      <x:c r="P106" s="19" t="str">
        <x:v>park-ridge</x:v>
      </x:c>
      <x:c r="Q106" s="20" t="n">
        <x:v>0</x:v>
      </x:c>
      <x:c r="R106" s="20" t="n">
        <x:f>MAX(0,Q106)</x:f>
        <x:v>0</x:v>
      </x:c>
      <x:c r="S106" s="21" t="n">
        <x:v>3</x:v>
      </x:c>
      <x:c r="T106" s="21" t="n">
        <x:f>IF(OR(F106="Hard Case",F106="Bubble Hard Case"),15,IF(F106="Twist Leather Case",5,IF(F106="Z-Fold Case",4,IFERROR(VLOOKUP(B106,'Cost Overrides'!$A$2:$B$17,2,FALSE),S106))))</x:f>
        <x:v>5</x:v>
      </x:c>
      <x:c r="U106" s="21" t="str">
        <x:f>IF(OR(F106="Hard Case",F106="Bubble Hard Case"),"Confirmed: Hard Case",IF(F106="Twist Leather Case","Confirmed: Twist Leather Case",IF(F106="Z-Fold Case","Confirmed: Z-Fold Case",IF(COUNTIF('Cost Overrides'!$A$2:$A$17,B106)&gt;0,"Confirmed: Owner cost override",IF(S106&lt;=0,"Needs cost","Source cost")))))</x:f>
        <x:v>Confirmed: Twist Leather Case</x:v>
      </x:c>
      <x:c r="V106" s="21" t="n">
        <x:v>39.95</x:v>
      </x:c>
      <x:c r="W106" s="21" t="n">
        <x:f>V106</x:f>
        <x:v>39.95</x:v>
      </x:c>
      <x:c r="X106" s="19" t="str">
        <x:v>NO</x:v>
      </x:c>
      <x:c r="Y106" s="19" t="str">
        <x:v>NO</x:v>
      </x:c>
      <x:c r="Z106" s="19" t="str">
        <x:v>42457764</x:v>
      </x:c>
      <x:c r="AA106" s="19" t="str">
        <x:v>50765341</x:v>
      </x:c>
      <x:c r="AB106" s="22" t="str">
        <x:f>IF(OR(M106&lt;&gt;"Approved",U106="Needs cost",O106=""),"Needs review","Ready after approval")</x:f>
        <x:v>Needs review</x:v>
      </x:c>
      <x:c r="AC106" s="22" t="str"/>
    </x:row>
    <x:row r="107">
      <x:c r="A107" s="19" t="str">
        <x:v>8045</x:v>
      </x:c>
      <x:c r="B107" s="19" t="str">
        <x:v>TM8-TAB-8045</x:v>
      </x:c>
      <x:c r="C107" s="19" t="str">
        <x:v>2999000080458</x:v>
      </x:c>
      <x:c r="D107" s="22" t="str">
        <x:v>Twist Leather Case 10 Inch Green</x:v>
      </x:c>
      <x:c r="E107" s="22" t="str">
        <x:v>Twist Leather Case for Universal 10-inch tablet fit - Green</x:v>
      </x:c>
      <x:c r="F107" s="22" t="str">
        <x:v>Twist Leather Case</x:v>
      </x:c>
      <x:c r="G107" s="22" t="str">
        <x:v>Green</x:v>
      </x:c>
      <x:c r="H107" s="22" t="str">
        <x:v>TM8-GRP-UNIVERSAL-10-TLC</x:v>
      </x:c>
      <x:c r="I107" s="22" t="str">
        <x:v>Twist Leather Case for Universal 10-inch tablet fit</x:v>
      </x:c>
      <x:c r="J107" s="22" t="str">
        <x:v>Universal case</x:v>
      </x:c>
      <x:c r="K107" s="22" t="str">
        <x:v>UNIVERSAL-10</x:v>
      </x:c>
      <x:c r="L107" s="22" t="str">
        <x:v>Universal 10-inch tablet fit</x:v>
      </x:c>
      <x:c r="M107" s="22" t="str">
        <x:v>Proposed</x:v>
      </x:c>
      <x:c r="N107" s="22" t="str">
        <x:v>https://dghyt15qon7us.cloudfront.net/images/productTheme/Inventory/small/1681609956.jpg</x:v>
      </x:c>
      <x:c r="O107" s="22" t="str">
        <x:v>https://dghyt15qon7us.cloudfront.net/images/productTheme/Inventory/small/1681610233.jpg</x:v>
      </x:c>
      <x:c r="P107" s="19" t="str">
        <x:v>park-ridge</x:v>
      </x:c>
      <x:c r="Q107" s="20" t="n">
        <x:v>6</x:v>
      </x:c>
      <x:c r="R107" s="20" t="n">
        <x:f>MAX(0,Q107)</x:f>
        <x:v>6</x:v>
      </x:c>
      <x:c r="S107" s="21" t="n">
        <x:v>3</x:v>
      </x:c>
      <x:c r="T107" s="21" t="n">
        <x:f>IF(OR(F107="Hard Case",F107="Bubble Hard Case"),15,IF(F107="Twist Leather Case",5,IF(F107="Z-Fold Case",4,IFERROR(VLOOKUP(B107,'Cost Overrides'!$A$2:$B$17,2,FALSE),S107))))</x:f>
        <x:v>5</x:v>
      </x:c>
      <x:c r="U107" s="21" t="str">
        <x:f>IF(OR(F107="Hard Case",F107="Bubble Hard Case"),"Confirmed: Hard Case",IF(F107="Twist Leather Case","Confirmed: Twist Leather Case",IF(F107="Z-Fold Case","Confirmed: Z-Fold Case",IF(COUNTIF('Cost Overrides'!$A$2:$A$17,B107)&gt;0,"Confirmed: Owner cost override",IF(S107&lt;=0,"Needs cost","Source cost")))))</x:f>
        <x:v>Confirmed: Twist Leather Case</x:v>
      </x:c>
      <x:c r="V107" s="21" t="n">
        <x:v>39.95</x:v>
      </x:c>
      <x:c r="W107" s="21" t="n">
        <x:f>V107</x:f>
        <x:v>39.95</x:v>
      </x:c>
      <x:c r="X107" s="19" t="str">
        <x:v>NO</x:v>
      </x:c>
      <x:c r="Y107" s="19" t="str">
        <x:v>NO</x:v>
      </x:c>
      <x:c r="Z107" s="19" t="str">
        <x:v>42457763</x:v>
      </x:c>
      <x:c r="AA107" s="19" t="str">
        <x:v>50765338</x:v>
      </x:c>
      <x:c r="AB107" s="22" t="str">
        <x:f>IF(OR(M107&lt;&gt;"Approved",U107="Needs cost",O107=""),"Needs review","Ready after approval")</x:f>
        <x:v>Needs review</x:v>
      </x:c>
      <x:c r="AC107" s="22" t="str"/>
    </x:row>
    <x:row r="108">
      <x:c r="A108" s="19" t="str">
        <x:v>8044</x:v>
      </x:c>
      <x:c r="B108" s="19" t="str">
        <x:v>TM8-TAB-8044</x:v>
      </x:c>
      <x:c r="C108" s="19" t="str">
        <x:v>2999000080441</x:v>
      </x:c>
      <x:c r="D108" s="22" t="str">
        <x:v>Twist Leather Case 10 Inch Brown</x:v>
      </x:c>
      <x:c r="E108" s="22" t="str">
        <x:v>Twist Leather Case for Universal 10-inch tablet fit - Brown</x:v>
      </x:c>
      <x:c r="F108" s="22" t="str">
        <x:v>Twist Leather Case</x:v>
      </x:c>
      <x:c r="G108" s="22" t="str">
        <x:v>Brown</x:v>
      </x:c>
      <x:c r="H108" s="22" t="str">
        <x:v>TM8-GRP-UNIVERSAL-10-TLC</x:v>
      </x:c>
      <x:c r="I108" s="22" t="str">
        <x:v>Twist Leather Case for Universal 10-inch tablet fit</x:v>
      </x:c>
      <x:c r="J108" s="22" t="str">
        <x:v>Universal case</x:v>
      </x:c>
      <x:c r="K108" s="22" t="str">
        <x:v>UNIVERSAL-10</x:v>
      </x:c>
      <x:c r="L108" s="22" t="str">
        <x:v>Universal 10-inch tablet fit</x:v>
      </x:c>
      <x:c r="M108" s="22" t="str">
        <x:v>Proposed</x:v>
      </x:c>
      <x:c r="N108" s="22" t="str">
        <x:v>https://dghyt15qon7us.cloudfront.net/images/productTheme/Inventory/small/1681609917.jpg</x:v>
      </x:c>
      <x:c r="O108" s="22" t="str">
        <x:v>https://dghyt15qon7us.cloudfront.net/images/productTheme/Inventory/small/1681610233.jpg</x:v>
      </x:c>
      <x:c r="P108" s="19" t="str">
        <x:v>park-ridge</x:v>
      </x:c>
      <x:c r="Q108" s="20" t="n">
        <x:v>0</x:v>
      </x:c>
      <x:c r="R108" s="20" t="n">
        <x:f>MAX(0,Q108)</x:f>
        <x:v>0</x:v>
      </x:c>
      <x:c r="S108" s="21" t="n">
        <x:v>3</x:v>
      </x:c>
      <x:c r="T108" s="21" t="n">
        <x:f>IF(OR(F108="Hard Case",F108="Bubble Hard Case"),15,IF(F108="Twist Leather Case",5,IF(F108="Z-Fold Case",4,IFERROR(VLOOKUP(B108,'Cost Overrides'!$A$2:$B$17,2,FALSE),S108))))</x:f>
        <x:v>5</x:v>
      </x:c>
      <x:c r="U108" s="21" t="str">
        <x:f>IF(OR(F108="Hard Case",F108="Bubble Hard Case"),"Confirmed: Hard Case",IF(F108="Twist Leather Case","Confirmed: Twist Leather Case",IF(F108="Z-Fold Case","Confirmed: Z-Fold Case",IF(COUNTIF('Cost Overrides'!$A$2:$A$17,B108)&gt;0,"Confirmed: Owner cost override",IF(S108&lt;=0,"Needs cost","Source cost")))))</x:f>
        <x:v>Confirmed: Twist Leather Case</x:v>
      </x:c>
      <x:c r="V108" s="21" t="n">
        <x:v>39.95</x:v>
      </x:c>
      <x:c r="W108" s="21" t="n">
        <x:f>V108</x:f>
        <x:v>39.95</x:v>
      </x:c>
      <x:c r="X108" s="19" t="str">
        <x:v>NO</x:v>
      </x:c>
      <x:c r="Y108" s="19" t="str">
        <x:v>NO</x:v>
      </x:c>
      <x:c r="Z108" s="19" t="str">
        <x:v>42457762</x:v>
      </x:c>
      <x:c r="AA108" s="19" t="str">
        <x:v>50765335</x:v>
      </x:c>
      <x:c r="AB108" s="22" t="str">
        <x:f>IF(OR(M108&lt;&gt;"Approved",U108="Needs cost",O108=""),"Needs review","Ready after approval")</x:f>
        <x:v>Needs review</x:v>
      </x:c>
      <x:c r="AC108" s="22" t="str"/>
    </x:row>
    <x:row r="109">
      <x:c r="A109" s="19" t="str">
        <x:v>8043</x:v>
      </x:c>
      <x:c r="B109" s="19" t="str">
        <x:v>TM8-TAB-8043</x:v>
      </x:c>
      <x:c r="C109" s="19" t="str">
        <x:v>2999000080434</x:v>
      </x:c>
      <x:c r="D109" s="22" t="str">
        <x:v>Twist Leather Case 8 Inch Brown</x:v>
      </x:c>
      <x:c r="E109" s="22" t="str">
        <x:v>Twist Leather Case for Universal 8-inch tablet fit - Brown</x:v>
      </x:c>
      <x:c r="F109" s="22" t="str">
        <x:v>Twist Leather Case</x:v>
      </x:c>
      <x:c r="G109" s="22" t="str">
        <x:v>Brown</x:v>
      </x:c>
      <x:c r="H109" s="22" t="str">
        <x:v>TM8-GRP-UNIVERSAL-8-TLC</x:v>
      </x:c>
      <x:c r="I109" s="22" t="str">
        <x:v>Twist Leather Case for Universal 8-inch tablet fit</x:v>
      </x:c>
      <x:c r="J109" s="22" t="str">
        <x:v>Universal case</x:v>
      </x:c>
      <x:c r="K109" s="22" t="str">
        <x:v>UNIVERSAL-8</x:v>
      </x:c>
      <x:c r="L109" s="22" t="str">
        <x:v>Universal 8-inch tablet fit</x:v>
      </x:c>
      <x:c r="M109" s="22" t="str">
        <x:v>Proposed</x:v>
      </x:c>
      <x:c r="N109" s="22" t="str">
        <x:v>https://dghyt15qon7us.cloudfront.net/images/productTheme/Inventory/small/1681609887.jpg</x:v>
      </x:c>
      <x:c r="O109" s="22" t="str">
        <x:v>https://dghyt15qon7us.cloudfront.net/images/productTheme/Inventory/small/1681610101.jpg</x:v>
      </x:c>
      <x:c r="P109" s="19" t="str">
        <x:v>park-ridge</x:v>
      </x:c>
      <x:c r="Q109" s="20" t="n">
        <x:v>2</x:v>
      </x:c>
      <x:c r="R109" s="20" t="n">
        <x:f>MAX(0,Q109)</x:f>
        <x:v>2</x:v>
      </x:c>
      <x:c r="S109" s="21" t="n">
        <x:v>3</x:v>
      </x:c>
      <x:c r="T109" s="21" t="n">
        <x:f>IF(OR(F109="Hard Case",F109="Bubble Hard Case"),15,IF(F109="Twist Leather Case",5,IF(F109="Z-Fold Case",4,IFERROR(VLOOKUP(B109,'Cost Overrides'!$A$2:$B$17,2,FALSE),S109))))</x:f>
        <x:v>5</x:v>
      </x:c>
      <x:c r="U109" s="21" t="str">
        <x:f>IF(OR(F109="Hard Case",F109="Bubble Hard Case"),"Confirmed: Hard Case",IF(F109="Twist Leather Case","Confirmed: Twist Leather Case",IF(F109="Z-Fold Case","Confirmed: Z-Fold Case",IF(COUNTIF('Cost Overrides'!$A$2:$A$17,B109)&gt;0,"Confirmed: Owner cost override",IF(S109&lt;=0,"Needs cost","Source cost")))))</x:f>
        <x:v>Confirmed: Twist Leather Case</x:v>
      </x:c>
      <x:c r="V109" s="21" t="n">
        <x:v>39.95</x:v>
      </x:c>
      <x:c r="W109" s="21" t="n">
        <x:f>V109</x:f>
        <x:v>39.95</x:v>
      </x:c>
      <x:c r="X109" s="19" t="str">
        <x:v>NO</x:v>
      </x:c>
      <x:c r="Y109" s="19" t="str">
        <x:v>NO</x:v>
      </x:c>
      <x:c r="Z109" s="19" t="str">
        <x:v>42457761</x:v>
      </x:c>
      <x:c r="AA109" s="19" t="str">
        <x:v>50765332</x:v>
      </x:c>
      <x:c r="AB109" s="22" t="str">
        <x:f>IF(OR(M109&lt;&gt;"Approved",U109="Needs cost",O109=""),"Needs review","Ready after approval")</x:f>
        <x:v>Needs review</x:v>
      </x:c>
      <x:c r="AC109" s="22" t="str"/>
    </x:row>
    <x:row r="110">
      <x:c r="A110" s="19" t="str">
        <x:v>7844</x:v>
      </x:c>
      <x:c r="B110" s="19" t="str">
        <x:v>TM8-TAB-7844</x:v>
      </x:c>
      <x:c r="C110" s="19" t="str">
        <x:v>2999000078448</x:v>
      </x:c>
      <x:c r="D110" s="22" t="str">
        <x:v>Twist Leather Case 10th Gen Gold</x:v>
      </x:c>
      <x:c r="E110" s="22" t="str">
        <x:v>Twist Leather Case for iPad 10th Gen 10.9-inch - Gold</x:v>
      </x:c>
      <x:c r="F110" s="22" t="str">
        <x:v>Twist Leather Case</x:v>
      </x:c>
      <x:c r="G110" s="22" t="str">
        <x:v>Gold</x:v>
      </x:c>
      <x:c r="H110" s="22" t="str">
        <x:v>TM8-GRP-IPAD-10-GEN10-TLC</x:v>
      </x:c>
      <x:c r="I110" s="22" t="str">
        <x:v>Twist Leather Case for iPad 10th Gen 10.9-inch</x:v>
      </x:c>
      <x:c r="J110" s="22" t="str">
        <x:v>iPad 10th Gen 10.9 Inch</x:v>
      </x:c>
      <x:c r="K110" s="22" t="str">
        <x:v>IPAD-10-GEN10</x:v>
      </x:c>
      <x:c r="L110" s="22" t="str">
        <x:v>iPad 10th Gen 10.9-inch</x:v>
      </x:c>
      <x:c r="M110" s="22" t="str">
        <x:v>Proposed</x:v>
      </x:c>
      <x:c r="N110" s="22" t="str">
        <x:v>https://dghyt15qon7us.cloudfront.net/images/productTheme/Inventory/small/1675745918.jpg</x:v>
      </x:c>
      <x:c r="O110" s="22" t="str">
        <x:v>https://dghyt15qon7us.cloudfront.net/images/productTheme/Inventory/small/1669510359.jpg</x:v>
      </x:c>
      <x:c r="P110" s="19" t="str">
        <x:v>park-ridge</x:v>
      </x:c>
      <x:c r="Q110" s="20" t="n">
        <x:v>6</x:v>
      </x:c>
      <x:c r="R110" s="20" t="n">
        <x:f>MAX(0,Q110)</x:f>
        <x:v>6</x:v>
      </x:c>
      <x:c r="S110" s="21" t="n">
        <x:v>0</x:v>
      </x:c>
      <x:c r="T110" s="21" t="n">
        <x:f>IF(OR(F110="Hard Case",F110="Bubble Hard Case"),15,IF(F110="Twist Leather Case",5,IF(F110="Z-Fold Case",4,IFERROR(VLOOKUP(B110,'Cost Overrides'!$A$2:$B$17,2,FALSE),S110))))</x:f>
        <x:v>5</x:v>
      </x:c>
      <x:c r="U110" s="21" t="str">
        <x:f>IF(OR(F110="Hard Case",F110="Bubble Hard Case"),"Confirmed: Hard Case",IF(F110="Twist Leather Case","Confirmed: Twist Leather Case",IF(F110="Z-Fold Case","Confirmed: Z-Fold Case",IF(COUNTIF('Cost Overrides'!$A$2:$A$17,B110)&gt;0,"Confirmed: Owner cost override",IF(S110&lt;=0,"Needs cost","Source cost")))))</x:f>
        <x:v>Confirmed: Twist Leather Case</x:v>
      </x:c>
      <x:c r="V110" s="21" t="n">
        <x:v>39.95</x:v>
      </x:c>
      <x:c r="W110" s="21" t="n">
        <x:f>V110</x:f>
        <x:v>39.95</x:v>
      </x:c>
      <x:c r="X110" s="19" t="str">
        <x:v>NO</x:v>
      </x:c>
      <x:c r="Y110" s="19" t="str">
        <x:v>NO</x:v>
      </x:c>
      <x:c r="Z110" s="19" t="str">
        <x:v>42457562</x:v>
      </x:c>
      <x:c r="AA110" s="19" t="str">
        <x:v>50764735</x:v>
      </x:c>
      <x:c r="AB110" s="22" t="str">
        <x:f>IF(OR(M110&lt;&gt;"Approved",U110="Needs cost",O110=""),"Needs review","Ready after approval")</x:f>
        <x:v>Needs review</x:v>
      </x:c>
      <x:c r="AC110" s="22" t="str"/>
    </x:row>
    <x:row r="111">
      <x:c r="A111" s="19" t="str">
        <x:v>7838</x:v>
      </x:c>
      <x:c r="B111" s="19" t="str">
        <x:v>TM8-TAB-7838</x:v>
      </x:c>
      <x:c r="C111" s="19" t="str">
        <x:v>2999000078387</x:v>
      </x:c>
      <x:c r="D111" s="22" t="str">
        <x:v>iPad Hard Case Air 4/5, Por 11 inch Bubble Pink</x:v>
      </x:c>
      <x:c r="E111" s="22" t="str">
        <x:v>Bubble Hard Case for iPad Air 4/5 and iPad Pro 11 (2018-2022) - Pink</x:v>
      </x:c>
      <x:c r="F111" s="22" t="str">
        <x:v>Bubble Hard Case</x:v>
      </x:c>
      <x:c r="G111" s="22" t="str">
        <x:v>Pink</x:v>
      </x:c>
      <x:c r="H111" s="22" t="str">
        <x:v>TM8-GRP-IPAD-AIR45-PRO11-BHC</x:v>
      </x:c>
      <x:c r="I111" s="22" t="str">
        <x:v>Bubble Hard Case for iPad Air 4/5 and iPad Pro 11 (2018-2022)</x:v>
      </x:c>
      <x:c r="J111" s="22" t="str">
        <x:v>iPad Air 4/5, Pro 11</x:v>
      </x:c>
      <x:c r="K111" s="22" t="str">
        <x:v>IPAD-AIR45-PRO11</x:v>
      </x:c>
      <x:c r="L111" s="22" t="str">
        <x:v>iPad Air 4/5 and iPad Pro 11 (2018-2022)</x:v>
      </x:c>
      <x:c r="M111" s="22" t="str">
        <x:v>Approved</x:v>
      </x:c>
      <x:c r="N111" s="22" t="str">
        <x:v>https://dghyt15qon7us.cloudfront.net/images/productTheme/Inventory/small/1675670719.jpg</x:v>
      </x:c>
      <x:c r="O111" s="22" t="str">
        <x:v>https://dghyt15qon7us.cloudfront.net/images/productTheme/Inventory/small/1675670488.jpg</x:v>
      </x:c>
      <x:c r="P111" s="19" t="str">
        <x:v>park-ridge</x:v>
      </x:c>
      <x:c r="Q111" s="20" t="n">
        <x:v>3</x:v>
      </x:c>
      <x:c r="R111" s="20" t="n">
        <x:f>MAX(0,Q111)</x:f>
        <x:v>3</x:v>
      </x:c>
      <x:c r="S111" s="21" t="n">
        <x:v>49</x:v>
      </x:c>
      <x:c r="T111" s="21" t="n">
        <x:f>IF(OR(F111="Hard Case",F111="Bubble Hard Case"),15,IF(F111="Twist Leather Case",5,IF(F111="Z-Fold Case",4,IFERROR(VLOOKUP(B111,'Cost Overrides'!$A$2:$B$17,2,FALSE),S111))))</x:f>
        <x:v>15</x:v>
      </x:c>
      <x:c r="U111" s="21" t="str">
        <x:f>IF(OR(F111="Hard Case",F111="Bubble Hard Case"),"Confirmed: Hard Case",IF(F111="Twist Leather Case","Confirmed: Twist Leather Case",IF(F111="Z-Fold Case","Confirmed: Z-Fold Case",IF(COUNTIF('Cost Overrides'!$A$2:$A$17,B111)&gt;0,"Confirmed: Owner cost override",IF(S111&lt;=0,"Needs cost","Source cost")))))</x:f>
        <x:v>Confirmed: Hard Case</x:v>
      </x:c>
      <x:c r="V111" s="21" t="n">
        <x:v>49.95</x:v>
      </x:c>
      <x:c r="W111" s="21" t="n">
        <x:f>V111</x:f>
        <x:v>49.95</x:v>
      </x:c>
      <x:c r="X111" s="19" t="str">
        <x:v>NO</x:v>
      </x:c>
      <x:c r="Y111" s="19" t="str">
        <x:v>NO</x:v>
      </x:c>
      <x:c r="Z111" s="19" t="str">
        <x:v>42457556</x:v>
      </x:c>
      <x:c r="AA111" s="19" t="str">
        <x:v>50764718</x:v>
      </x:c>
      <x:c r="AB111" s="22" t="str">
        <x:f>IF(OR(M111&lt;&gt;"Approved",U111="Needs cost",O111=""),"Needs review","Ready after approval")</x:f>
        <x:v>Ready after approval</x:v>
      </x:c>
      <x:c r="AC111" s="22" t="str"/>
    </x:row>
    <x:row r="112">
      <x:c r="A112" s="19" t="str">
        <x:v>7837</x:v>
      </x:c>
      <x:c r="B112" s="19" t="str">
        <x:v>TM8-TAB-7837</x:v>
      </x:c>
      <x:c r="C112" s="19" t="str">
        <x:v>2999000078370</x:v>
      </x:c>
      <x:c r="D112" s="22" t="str">
        <x:v>iPad Hard Case Air 4/5 , Por 11 inch Bubble Black</x:v>
      </x:c>
      <x:c r="E112" s="22" t="str">
        <x:v>Bubble Hard Case for iPad Air 4/5 and iPad Pro 11 (2018-2022) - Black</x:v>
      </x:c>
      <x:c r="F112" s="22" t="str">
        <x:v>Bubble Hard Case</x:v>
      </x:c>
      <x:c r="G112" s="22" t="str">
        <x:v>Black</x:v>
      </x:c>
      <x:c r="H112" s="22" t="str">
        <x:v>TM8-GRP-IPAD-AIR45-PRO11-BHC</x:v>
      </x:c>
      <x:c r="I112" s="22" t="str">
        <x:v>Bubble Hard Case for iPad Air 4/5 and iPad Pro 11 (2018-2022)</x:v>
      </x:c>
      <x:c r="J112" s="22" t="str">
        <x:v>iPad Air 4/5, Pro 11</x:v>
      </x:c>
      <x:c r="K112" s="22" t="str">
        <x:v>IPAD-AIR45-PRO11</x:v>
      </x:c>
      <x:c r="L112" s="22" t="str">
        <x:v>iPad Air 4/5 and iPad Pro 11 (2018-2022)</x:v>
      </x:c>
      <x:c r="M112" s="22" t="str">
        <x:v>Approved</x:v>
      </x:c>
      <x:c r="N112" s="22" t="str">
        <x:v>https://dghyt15qon7us.cloudfront.net/images/productTheme/Inventory/small/1675670488.jpg</x:v>
      </x:c>
      <x:c r="O112" s="22" t="str">
        <x:v>https://dghyt15qon7us.cloudfront.net/images/productTheme/Inventory/small/1675670488.jpg</x:v>
      </x:c>
      <x:c r="P112" s="19" t="str">
        <x:v>park-ridge</x:v>
      </x:c>
      <x:c r="Q112" s="20" t="n">
        <x:v>0</x:v>
      </x:c>
      <x:c r="R112" s="20" t="n">
        <x:f>MAX(0,Q112)</x:f>
        <x:v>0</x:v>
      </x:c>
      <x:c r="S112" s="21" t="n">
        <x:v>49</x:v>
      </x:c>
      <x:c r="T112" s="21" t="n">
        <x:f>IF(OR(F112="Hard Case",F112="Bubble Hard Case"),15,IF(F112="Twist Leather Case",5,IF(F112="Z-Fold Case",4,IFERROR(VLOOKUP(B112,'Cost Overrides'!$A$2:$B$17,2,FALSE),S112))))</x:f>
        <x:v>15</x:v>
      </x:c>
      <x:c r="U112" s="21" t="str">
        <x:f>IF(OR(F112="Hard Case",F112="Bubble Hard Case"),"Confirmed: Hard Case",IF(F112="Twist Leather Case","Confirmed: Twist Leather Case",IF(F112="Z-Fold Case","Confirmed: Z-Fold Case",IF(COUNTIF('Cost Overrides'!$A$2:$A$17,B112)&gt;0,"Confirmed: Owner cost override",IF(S112&lt;=0,"Needs cost","Source cost")))))</x:f>
        <x:v>Confirmed: Hard Case</x:v>
      </x:c>
      <x:c r="V112" s="21" t="n">
        <x:v>49.95</x:v>
      </x:c>
      <x:c r="W112" s="21" t="n">
        <x:f>V112</x:f>
        <x:v>49.95</x:v>
      </x:c>
      <x:c r="X112" s="19" t="str">
        <x:v>NO</x:v>
      </x:c>
      <x:c r="Y112" s="19" t="str">
        <x:v>NO</x:v>
      </x:c>
      <x:c r="Z112" s="19" t="str">
        <x:v>42457554</x:v>
      </x:c>
      <x:c r="AA112" s="19" t="str">
        <x:v>50764712</x:v>
      </x:c>
      <x:c r="AB112" s="22" t="str">
        <x:f>IF(OR(M112&lt;&gt;"Approved",U112="Needs cost",O112=""),"Needs review","Ready after approval")</x:f>
        <x:v>Ready after approval</x:v>
      </x:c>
      <x:c r="AC112" s="22" t="str"/>
    </x:row>
    <x:row r="113">
      <x:c r="A113" s="19" t="str">
        <x:v>7836</x:v>
      </x:c>
      <x:c r="B113" s="19" t="str">
        <x:v>TM8-TAB-7836</x:v>
      </x:c>
      <x:c r="C113" s="19" t="str">
        <x:v>2999000078363</x:v>
      </x:c>
      <x:c r="D113" s="22" t="str">
        <x:v>iPad Hard Case 10th Bubble Pink</x:v>
      </x:c>
      <x:c r="E113" s="22" t="str">
        <x:v>Bubble Hard Case for iPad 10th Gen 10.9-inch - Pink</x:v>
      </x:c>
      <x:c r="F113" s="22" t="str">
        <x:v>Bubble Hard Case</x:v>
      </x:c>
      <x:c r="G113" s="22" t="str">
        <x:v>Pink</x:v>
      </x:c>
      <x:c r="H113" s="22" t="str">
        <x:v>TM8-GRP-IPAD-10-GEN10-BHC</x:v>
      </x:c>
      <x:c r="I113" s="22" t="str">
        <x:v>Bubble Hard Case for iPad 10th Gen 10.9-inch</x:v>
      </x:c>
      <x:c r="J113" s="22" t="str">
        <x:v>iPad 10th Gen 10.9 Inch</x:v>
      </x:c>
      <x:c r="K113" s="22" t="str">
        <x:v>IPAD-10-GEN10</x:v>
      </x:c>
      <x:c r="L113" s="22" t="str">
        <x:v>iPad 10th Gen 10.9-inch</x:v>
      </x:c>
      <x:c r="M113" s="22" t="str">
        <x:v>Proposed</x:v>
      </x:c>
      <x:c r="N113" s="22" t="str">
        <x:v>https://dghyt15qon7us.cloudfront.net/images/productTheme/Inventory/small/1675670432.jpg</x:v>
      </x:c>
      <x:c r="O113" s="22" t="str">
        <x:v>https://dghyt15qon7us.cloudfront.net/images/productTheme/Inventory/small/1675670396.jpg</x:v>
      </x:c>
      <x:c r="P113" s="19" t="str">
        <x:v>park-ridge</x:v>
      </x:c>
      <x:c r="Q113" s="20" t="n">
        <x:v>-1</x:v>
      </x:c>
      <x:c r="R113" s="20" t="n">
        <x:f>MAX(0,Q113)</x:f>
        <x:v>0</x:v>
      </x:c>
      <x:c r="S113" s="21" t="n">
        <x:v>49</x:v>
      </x:c>
      <x:c r="T113" s="21" t="n">
        <x:f>IF(OR(F113="Hard Case",F113="Bubble Hard Case"),15,IF(F113="Twist Leather Case",5,IF(F113="Z-Fold Case",4,IFERROR(VLOOKUP(B113,'Cost Overrides'!$A$2:$B$17,2,FALSE),S113))))</x:f>
        <x:v>15</x:v>
      </x:c>
      <x:c r="U113" s="21" t="str">
        <x:f>IF(OR(F113="Hard Case",F113="Bubble Hard Case"),"Confirmed: Hard Case",IF(F113="Twist Leather Case","Confirmed: Twist Leather Case",IF(F113="Z-Fold Case","Confirmed: Z-Fold Case",IF(COUNTIF('Cost Overrides'!$A$2:$A$17,B113)&gt;0,"Confirmed: Owner cost override",IF(S113&lt;=0,"Needs cost","Source cost")))))</x:f>
        <x:v>Confirmed: Hard Case</x:v>
      </x:c>
      <x:c r="V113" s="21" t="n">
        <x:v>49.95</x:v>
      </x:c>
      <x:c r="W113" s="21" t="n">
        <x:f>V113</x:f>
        <x:v>49.95</x:v>
      </x:c>
      <x:c r="X113" s="19" t="str">
        <x:v>NO</x:v>
      </x:c>
      <x:c r="Y113" s="19" t="str">
        <x:v>NO</x:v>
      </x:c>
      <x:c r="Z113" s="19" t="str">
        <x:v>42457553</x:v>
      </x:c>
      <x:c r="AA113" s="19" t="str">
        <x:v>50764709</x:v>
      </x:c>
      <x:c r="AB113" s="22" t="str">
        <x:f>IF(OR(M113&lt;&gt;"Approved",U113="Needs cost",O113=""),"Needs review","Ready after approval")</x:f>
        <x:v>Needs review</x:v>
      </x:c>
      <x:c r="AC113" s="22" t="str">
        <x:v>Negative source stock clipped to zero.</x:v>
      </x:c>
    </x:row>
    <x:row r="114">
      <x:c r="A114" s="19" t="str">
        <x:v>7835</x:v>
      </x:c>
      <x:c r="B114" s="19" t="str">
        <x:v>TM8-TAB-7835</x:v>
      </x:c>
      <x:c r="C114" s="19" t="str">
        <x:v>2999000078356</x:v>
      </x:c>
      <x:c r="D114" s="22" t="str">
        <x:v>iPad Hard Case 10th Bubble Black</x:v>
      </x:c>
      <x:c r="E114" s="22" t="str">
        <x:v>Bubble Hard Case for iPad 10th Gen 10.9-inch - Black</x:v>
      </x:c>
      <x:c r="F114" s="22" t="str">
        <x:v>Bubble Hard Case</x:v>
      </x:c>
      <x:c r="G114" s="22" t="str">
        <x:v>Black</x:v>
      </x:c>
      <x:c r="H114" s="22" t="str">
        <x:v>TM8-GRP-IPAD-10-GEN10-BHC</x:v>
      </x:c>
      <x:c r="I114" s="22" t="str">
        <x:v>Bubble Hard Case for iPad 10th Gen 10.9-inch</x:v>
      </x:c>
      <x:c r="J114" s="22" t="str">
        <x:v>iPad 10th Gen 10.9 Inch</x:v>
      </x:c>
      <x:c r="K114" s="22" t="str">
        <x:v>IPAD-10-GEN10</x:v>
      </x:c>
      <x:c r="L114" s="22" t="str">
        <x:v>iPad 10th Gen 10.9-inch</x:v>
      </x:c>
      <x:c r="M114" s="22" t="str">
        <x:v>Proposed</x:v>
      </x:c>
      <x:c r="N114" s="22" t="str">
        <x:v>https://dghyt15qon7us.cloudfront.net/images/productTheme/Inventory/small/1675670396.jpg</x:v>
      </x:c>
      <x:c r="O114" s="22" t="str">
        <x:v>https://dghyt15qon7us.cloudfront.net/images/productTheme/Inventory/small/1675670396.jpg</x:v>
      </x:c>
      <x:c r="P114" s="19" t="str">
        <x:v>park-ridge</x:v>
      </x:c>
      <x:c r="Q114" s="20" t="n">
        <x:v>1</x:v>
      </x:c>
      <x:c r="R114" s="20" t="n">
        <x:f>MAX(0,Q114)</x:f>
        <x:v>1</x:v>
      </x:c>
      <x:c r="S114" s="21" t="n">
        <x:v>49</x:v>
      </x:c>
      <x:c r="T114" s="21" t="n">
        <x:f>IF(OR(F114="Hard Case",F114="Bubble Hard Case"),15,IF(F114="Twist Leather Case",5,IF(F114="Z-Fold Case",4,IFERROR(VLOOKUP(B114,'Cost Overrides'!$A$2:$B$17,2,FALSE),S114))))</x:f>
        <x:v>15</x:v>
      </x:c>
      <x:c r="U114" s="21" t="str">
        <x:f>IF(OR(F114="Hard Case",F114="Bubble Hard Case"),"Confirmed: Hard Case",IF(F114="Twist Leather Case","Confirmed: Twist Leather Case",IF(F114="Z-Fold Case","Confirmed: Z-Fold Case",IF(COUNTIF('Cost Overrides'!$A$2:$A$17,B114)&gt;0,"Confirmed: Owner cost override",IF(S114&lt;=0,"Needs cost","Source cost")))))</x:f>
        <x:v>Confirmed: Hard Case</x:v>
      </x:c>
      <x:c r="V114" s="21" t="n">
        <x:v>49.95</x:v>
      </x:c>
      <x:c r="W114" s="21" t="n">
        <x:f>V114</x:f>
        <x:v>49.95</x:v>
      </x:c>
      <x:c r="X114" s="19" t="str">
        <x:v>NO</x:v>
      </x:c>
      <x:c r="Y114" s="19" t="str">
        <x:v>NO</x:v>
      </x:c>
      <x:c r="Z114" s="19" t="str">
        <x:v>42457552</x:v>
      </x:c>
      <x:c r="AA114" s="19" t="str">
        <x:v>50764706</x:v>
      </x:c>
      <x:c r="AB114" s="22" t="str">
        <x:f>IF(OR(M114&lt;&gt;"Approved",U114="Needs cost",O114=""),"Needs review","Ready after approval")</x:f>
        <x:v>Needs review</x:v>
      </x:c>
      <x:c r="AC114" s="22" t="str"/>
    </x:row>
    <x:row r="115">
      <x:c r="A115" s="19" t="str">
        <x:v>7834</x:v>
      </x:c>
      <x:c r="B115" s="19" t="str">
        <x:v>TM8-TAB-7834</x:v>
      </x:c>
      <x:c r="C115" s="19" t="str">
        <x:v>2999000078349</x:v>
      </x:c>
      <x:c r="D115" s="22" t="str">
        <x:v>iPad Hard Case 9.7 Inch Bubble Pink</x:v>
      </x:c>
      <x:c r="E115" s="22" t="str">
        <x:v>Bubble Hard Case for iPad 9.7-inch (Gen 5/6 and Air 1/2) - Pink</x:v>
      </x:c>
      <x:c r="F115" s="22" t="str">
        <x:v>Bubble Hard Case</x:v>
      </x:c>
      <x:c r="G115" s="22" t="str">
        <x:v>Pink</x:v>
      </x:c>
      <x:c r="H115" s="22" t="str">
        <x:v>TM8-GRP-IPAD-97-LEGACY-BHC</x:v>
      </x:c>
      <x:c r="I115" s="22" t="str">
        <x:v>Bubble Hard Case for iPad 9.7-inch (Gen 5/6 and Air 1/2)</x:v>
      </x:c>
      <x:c r="J115" s="22" t="str">
        <x:v>iPad 9.7 Inch</x:v>
      </x:c>
      <x:c r="K115" s="22" t="str">
        <x:v>IPAD-97-LEGACY</x:v>
      </x:c>
      <x:c r="L115" s="22" t="str">
        <x:v>iPad 9.7-inch (Gen 5/6 and Air 1/2)</x:v>
      </x:c>
      <x:c r="M115" s="22" t="str">
        <x:v>Approved</x:v>
      </x:c>
      <x:c r="N115" s="22" t="str">
        <x:v>https://dghyt15qon7us.cloudfront.net/images/productTheme/Inventory/small/1675670351.jpg</x:v>
      </x:c>
      <x:c r="O115" s="22" t="str">
        <x:v>https://dghyt15qon7us.cloudfront.net/images/productTheme/Inventory/small/1675670324.jpg</x:v>
      </x:c>
      <x:c r="P115" s="19" t="str">
        <x:v>park-ridge</x:v>
      </x:c>
      <x:c r="Q115" s="20" t="n">
        <x:v>0</x:v>
      </x:c>
      <x:c r="R115" s="20" t="n">
        <x:f>MAX(0,Q115)</x:f>
        <x:v>0</x:v>
      </x:c>
      <x:c r="S115" s="21" t="n">
        <x:v>49</x:v>
      </x:c>
      <x:c r="T115" s="21" t="n">
        <x:f>IF(OR(F115="Hard Case",F115="Bubble Hard Case"),15,IF(F115="Twist Leather Case",5,IF(F115="Z-Fold Case",4,IFERROR(VLOOKUP(B115,'Cost Overrides'!$A$2:$B$17,2,FALSE),S115))))</x:f>
        <x:v>15</x:v>
      </x:c>
      <x:c r="U115" s="21" t="str">
        <x:f>IF(OR(F115="Hard Case",F115="Bubble Hard Case"),"Confirmed: Hard Case",IF(F115="Twist Leather Case","Confirmed: Twist Leather Case",IF(F115="Z-Fold Case","Confirmed: Z-Fold Case",IF(COUNTIF('Cost Overrides'!$A$2:$A$17,B115)&gt;0,"Confirmed: Owner cost override",IF(S115&lt;=0,"Needs cost","Source cost")))))</x:f>
        <x:v>Confirmed: Hard Case</x:v>
      </x:c>
      <x:c r="V115" s="21" t="n">
        <x:v>49.95</x:v>
      </x:c>
      <x:c r="W115" s="21" t="n">
        <x:f>V115</x:f>
        <x:v>49.95</x:v>
      </x:c>
      <x:c r="X115" s="19" t="str">
        <x:v>NO</x:v>
      </x:c>
      <x:c r="Y115" s="19" t="str">
        <x:v>NO</x:v>
      </x:c>
      <x:c r="Z115" s="19" t="str">
        <x:v>42457551</x:v>
      </x:c>
      <x:c r="AA115" s="19" t="str">
        <x:v>50764703</x:v>
      </x:c>
      <x:c r="AB115" s="22" t="str">
        <x:f>IF(OR(M115&lt;&gt;"Approved",U115="Needs cost",O115=""),"Needs review","Ready after approval")</x:f>
        <x:v>Ready after approval</x:v>
      </x:c>
      <x:c r="AC115" s="22" t="str"/>
    </x:row>
    <x:row r="116">
      <x:c r="A116" s="19" t="str">
        <x:v>7833</x:v>
      </x:c>
      <x:c r="B116" s="19" t="str">
        <x:v>TM8-TAB-7833</x:v>
      </x:c>
      <x:c r="C116" s="19" t="str">
        <x:v>2999000078332</x:v>
      </x:c>
      <x:c r="D116" s="22" t="str">
        <x:v>iPad Hard Case 9.7 Inch Bubble Black</x:v>
      </x:c>
      <x:c r="E116" s="22" t="str">
        <x:v>Bubble Hard Case for iPad 9.7-inch (Gen 5/6 and Air 1/2) - Black</x:v>
      </x:c>
      <x:c r="F116" s="22" t="str">
        <x:v>Bubble Hard Case</x:v>
      </x:c>
      <x:c r="G116" s="22" t="str">
        <x:v>Black</x:v>
      </x:c>
      <x:c r="H116" s="22" t="str">
        <x:v>TM8-GRP-IPAD-97-LEGACY-BHC</x:v>
      </x:c>
      <x:c r="I116" s="22" t="str">
        <x:v>Bubble Hard Case for iPad 9.7-inch (Gen 5/6 and Air 1/2)</x:v>
      </x:c>
      <x:c r="J116" s="22" t="str">
        <x:v>iPad 9.7 Inch</x:v>
      </x:c>
      <x:c r="K116" s="22" t="str">
        <x:v>IPAD-97-LEGACY</x:v>
      </x:c>
      <x:c r="L116" s="22" t="str">
        <x:v>iPad 9.7-inch (Gen 5/6 and Air 1/2)</x:v>
      </x:c>
      <x:c r="M116" s="22" t="str">
        <x:v>Approved</x:v>
      </x:c>
      <x:c r="N116" s="22" t="str">
        <x:v>https://dghyt15qon7us.cloudfront.net/images/productTheme/Inventory/small/1675670324.jpg</x:v>
      </x:c>
      <x:c r="O116" s="22" t="str">
        <x:v>https://dghyt15qon7us.cloudfront.net/images/productTheme/Inventory/small/1675670324.jpg</x:v>
      </x:c>
      <x:c r="P116" s="19" t="str">
        <x:v>park-ridge</x:v>
      </x:c>
      <x:c r="Q116" s="20" t="n">
        <x:v>0</x:v>
      </x:c>
      <x:c r="R116" s="20" t="n">
        <x:f>MAX(0,Q116)</x:f>
        <x:v>0</x:v>
      </x:c>
      <x:c r="S116" s="21" t="n">
        <x:v>49</x:v>
      </x:c>
      <x:c r="T116" s="21" t="n">
        <x:f>IF(OR(F116="Hard Case",F116="Bubble Hard Case"),15,IF(F116="Twist Leather Case",5,IF(F116="Z-Fold Case",4,IFERROR(VLOOKUP(B116,'Cost Overrides'!$A$2:$B$17,2,FALSE),S116))))</x:f>
        <x:v>15</x:v>
      </x:c>
      <x:c r="U116" s="21" t="str">
        <x:f>IF(OR(F116="Hard Case",F116="Bubble Hard Case"),"Confirmed: Hard Case",IF(F116="Twist Leather Case","Confirmed: Twist Leather Case",IF(F116="Z-Fold Case","Confirmed: Z-Fold Case",IF(COUNTIF('Cost Overrides'!$A$2:$A$17,B116)&gt;0,"Confirmed: Owner cost override",IF(S116&lt;=0,"Needs cost","Source cost")))))</x:f>
        <x:v>Confirmed: Hard Case</x:v>
      </x:c>
      <x:c r="V116" s="21" t="n">
        <x:v>49.95</x:v>
      </x:c>
      <x:c r="W116" s="21" t="n">
        <x:f>V116</x:f>
        <x:v>49.95</x:v>
      </x:c>
      <x:c r="X116" s="19" t="str">
        <x:v>NO</x:v>
      </x:c>
      <x:c r="Y116" s="19" t="str">
        <x:v>NO</x:v>
      </x:c>
      <x:c r="Z116" s="19" t="str">
        <x:v>42457550</x:v>
      </x:c>
      <x:c r="AA116" s="19" t="str">
        <x:v>50764700</x:v>
      </x:c>
      <x:c r="AB116" s="22" t="str">
        <x:f>IF(OR(M116&lt;&gt;"Approved",U116="Needs cost",O116=""),"Needs review","Ready after approval")</x:f>
        <x:v>Ready after approval</x:v>
      </x:c>
      <x:c r="AC116" s="22" t="str"/>
    </x:row>
    <x:row r="117">
      <x:c r="A117" s="19" t="str">
        <x:v>7832</x:v>
      </x:c>
      <x:c r="B117" s="19" t="str">
        <x:v>TM8-TAB-7832</x:v>
      </x:c>
      <x:c r="C117" s="19" t="str">
        <x:v>2999000078325</x:v>
      </x:c>
      <x:c r="D117" s="22" t="str">
        <x:v>iPad Hard Case 10.2 Inch Bubble Pink</x:v>
      </x:c>
      <x:c r="E117" s="22" t="str">
        <x:v>Bubble Hard Case for iPad 10.2-inch (Gen 7/8/9) - Pink</x:v>
      </x:c>
      <x:c r="F117" s="22" t="str">
        <x:v>Bubble Hard Case</x:v>
      </x:c>
      <x:c r="G117" s="22" t="str">
        <x:v>Pink</x:v>
      </x:c>
      <x:c r="H117" s="22" t="str">
        <x:v>TM8-GRP-IPAD-102-GEN789-BHC</x:v>
      </x:c>
      <x:c r="I117" s="22" t="str">
        <x:v>Bubble Hard Case for iPad 10.2-inch (Gen 7/8/9)</x:v>
      </x:c>
      <x:c r="J117" s="22" t="str">
        <x:v>iPad 10.2 Inch</x:v>
      </x:c>
      <x:c r="K117" s="22" t="str">
        <x:v>IPAD-102-GEN789</x:v>
      </x:c>
      <x:c r="L117" s="22" t="str">
        <x:v>iPad 10.2-inch (Gen 7/8/9)</x:v>
      </x:c>
      <x:c r="M117" s="22" t="str">
        <x:v>Proposed</x:v>
      </x:c>
      <x:c r="N117" s="22" t="str">
        <x:v>https://dghyt15qon7us.cloudfront.net/images/productTheme/Inventory/small/1675670269.jpg</x:v>
      </x:c>
      <x:c r="O117" s="22" t="str">
        <x:v>https://dghyt15qon7us.cloudfront.net/images/productTheme/Inventory/small/1675670205.jpg</x:v>
      </x:c>
      <x:c r="P117" s="19" t="str">
        <x:v>park-ridge</x:v>
      </x:c>
      <x:c r="Q117" s="20" t="n">
        <x:v>2</x:v>
      </x:c>
      <x:c r="R117" s="20" t="n">
        <x:f>MAX(0,Q117)</x:f>
        <x:v>2</x:v>
      </x:c>
      <x:c r="S117" s="21" t="n">
        <x:v>49</x:v>
      </x:c>
      <x:c r="T117" s="21" t="n">
        <x:f>IF(OR(F117="Hard Case",F117="Bubble Hard Case"),15,IF(F117="Twist Leather Case",5,IF(F117="Z-Fold Case",4,IFERROR(VLOOKUP(B117,'Cost Overrides'!$A$2:$B$17,2,FALSE),S117))))</x:f>
        <x:v>15</x:v>
      </x:c>
      <x:c r="U117" s="21" t="str">
        <x:f>IF(OR(F117="Hard Case",F117="Bubble Hard Case"),"Confirmed: Hard Case",IF(F117="Twist Leather Case","Confirmed: Twist Leather Case",IF(F117="Z-Fold Case","Confirmed: Z-Fold Case",IF(COUNTIF('Cost Overrides'!$A$2:$A$17,B117)&gt;0,"Confirmed: Owner cost override",IF(S117&lt;=0,"Needs cost","Source cost")))))</x:f>
        <x:v>Confirmed: Hard Case</x:v>
      </x:c>
      <x:c r="V117" s="21" t="n">
        <x:v>49.95</x:v>
      </x:c>
      <x:c r="W117" s="21" t="n">
        <x:f>V117</x:f>
        <x:v>49.95</x:v>
      </x:c>
      <x:c r="X117" s="19" t="str">
        <x:v>NO</x:v>
      </x:c>
      <x:c r="Y117" s="19" t="str">
        <x:v>NO</x:v>
      </x:c>
      <x:c r="Z117" s="19" t="str">
        <x:v>42457549</x:v>
      </x:c>
      <x:c r="AA117" s="19" t="str">
        <x:v>50764697</x:v>
      </x:c>
      <x:c r="AB117" s="22" t="str">
        <x:f>IF(OR(M117&lt;&gt;"Approved",U117="Needs cost",O117=""),"Needs review","Ready after approval")</x:f>
        <x:v>Needs review</x:v>
      </x:c>
      <x:c r="AC117" s="22" t="str"/>
    </x:row>
    <x:row r="118">
      <x:c r="A118" s="19" t="str">
        <x:v>7831</x:v>
      </x:c>
      <x:c r="B118" s="19" t="str">
        <x:v>TM8-TAB-7831</x:v>
      </x:c>
      <x:c r="C118" s="19" t="str">
        <x:v>2999000078318</x:v>
      </x:c>
      <x:c r="D118" s="22" t="str">
        <x:v>iPad Hard Case 10.2 Inch Bubble Black</x:v>
      </x:c>
      <x:c r="E118" s="22" t="str">
        <x:v>Bubble Hard Case for iPad 10.2-inch (Gen 7/8/9) - Black</x:v>
      </x:c>
      <x:c r="F118" s="22" t="str">
        <x:v>Bubble Hard Case</x:v>
      </x:c>
      <x:c r="G118" s="22" t="str">
        <x:v>Black</x:v>
      </x:c>
      <x:c r="H118" s="22" t="str">
        <x:v>TM8-GRP-IPAD-102-GEN789-BHC</x:v>
      </x:c>
      <x:c r="I118" s="22" t="str">
        <x:v>Bubble Hard Case for iPad 10.2-inch (Gen 7/8/9)</x:v>
      </x:c>
      <x:c r="J118" s="22" t="str">
        <x:v>iPad 10.2 Inch</x:v>
      </x:c>
      <x:c r="K118" s="22" t="str">
        <x:v>IPAD-102-GEN789</x:v>
      </x:c>
      <x:c r="L118" s="22" t="str">
        <x:v>iPad 10.2-inch (Gen 7/8/9)</x:v>
      </x:c>
      <x:c r="M118" s="22" t="str">
        <x:v>Proposed</x:v>
      </x:c>
      <x:c r="N118" s="22" t="str">
        <x:v>https://dghyt15qon7us.cloudfront.net/images/productTheme/Inventory/small/1675670205.jpg</x:v>
      </x:c>
      <x:c r="O118" s="22" t="str">
        <x:v>https://dghyt15qon7us.cloudfront.net/images/productTheme/Inventory/small/1675670205.jpg</x:v>
      </x:c>
      <x:c r="P118" s="19" t="str">
        <x:v>park-ridge</x:v>
      </x:c>
      <x:c r="Q118" s="20" t="n">
        <x:v>0</x:v>
      </x:c>
      <x:c r="R118" s="20" t="n">
        <x:f>MAX(0,Q118)</x:f>
        <x:v>0</x:v>
      </x:c>
      <x:c r="S118" s="21" t="n">
        <x:v>49</x:v>
      </x:c>
      <x:c r="T118" s="21" t="n">
        <x:f>IF(OR(F118="Hard Case",F118="Bubble Hard Case"),15,IF(F118="Twist Leather Case",5,IF(F118="Z-Fold Case",4,IFERROR(VLOOKUP(B118,'Cost Overrides'!$A$2:$B$17,2,FALSE),S118))))</x:f>
        <x:v>15</x:v>
      </x:c>
      <x:c r="U118" s="21" t="str">
        <x:f>IF(OR(F118="Hard Case",F118="Bubble Hard Case"),"Confirmed: Hard Case",IF(F118="Twist Leather Case","Confirmed: Twist Leather Case",IF(F118="Z-Fold Case","Confirmed: Z-Fold Case",IF(COUNTIF('Cost Overrides'!$A$2:$A$17,B118)&gt;0,"Confirmed: Owner cost override",IF(S118&lt;=0,"Needs cost","Source cost")))))</x:f>
        <x:v>Confirmed: Hard Case</x:v>
      </x:c>
      <x:c r="V118" s="21" t="n">
        <x:v>49.95</x:v>
      </x:c>
      <x:c r="W118" s="21" t="n">
        <x:f>V118</x:f>
        <x:v>49.95</x:v>
      </x:c>
      <x:c r="X118" s="19" t="str">
        <x:v>NO</x:v>
      </x:c>
      <x:c r="Y118" s="19" t="str">
        <x:v>NO</x:v>
      </x:c>
      <x:c r="Z118" s="19" t="str">
        <x:v>42457548</x:v>
      </x:c>
      <x:c r="AA118" s="19" t="str">
        <x:v>50764694</x:v>
      </x:c>
      <x:c r="AB118" s="22" t="str">
        <x:f>IF(OR(M118&lt;&gt;"Approved",U118="Needs cost",O118=""),"Needs review","Ready after approval")</x:f>
        <x:v>Needs review</x:v>
      </x:c>
      <x:c r="AC118" s="22" t="str"/>
    </x:row>
    <x:row r="119">
      <x:c r="A119" s="19" t="str">
        <x:v>7723</x:v>
      </x:c>
      <x:c r="B119" s="19" t="str">
        <x:v>TM8-TAB-7723</x:v>
      </x:c>
      <x:c r="C119" s="19" t="str">
        <x:v>2999000077236</x:v>
      </x:c>
      <x:c r="D119" s="22" t="str">
        <x:v>iPad Z-Fold Case 10th Gen Sky Blue</x:v>
      </x:c>
      <x:c r="E119" s="22" t="str">
        <x:v>Z-Fold Case for iPad 10th Gen 10.9-inch - Sky Blue</x:v>
      </x:c>
      <x:c r="F119" s="22" t="str">
        <x:v>Z-Fold Case</x:v>
      </x:c>
      <x:c r="G119" s="22" t="str">
        <x:v>Sky Blue</x:v>
      </x:c>
      <x:c r="H119" s="22" t="str">
        <x:v>TM8-GRP-IPAD-10-GEN10-ZFD</x:v>
      </x:c>
      <x:c r="I119" s="22" t="str">
        <x:v>Z-Fold Case for iPad 10th Gen 10.9-inch</x:v>
      </x:c>
      <x:c r="J119" s="22" t="str">
        <x:v>iPad 10th Gen 10.9 Inch</x:v>
      </x:c>
      <x:c r="K119" s="22" t="str">
        <x:v>IPAD-10-GEN10</x:v>
      </x:c>
      <x:c r="L119" s="22" t="str">
        <x:v>iPad 10th Gen 10.9-inch</x:v>
      </x:c>
      <x:c r="M119" s="22" t="str">
        <x:v>Proposed</x:v>
      </x:c>
      <x:c r="N119" s="22" t="str">
        <x:v>https://dghyt15qon7us.cloudfront.net/images/productTheme/Inventory/small/1674185798.jpg</x:v>
      </x:c>
      <x:c r="O119" s="22" t="str">
        <x:v>https://dghyt15qon7us.cloudfront.net/images/productTheme/Inventory/small/1674185618.jpg</x:v>
      </x:c>
      <x:c r="P119" s="19" t="str">
        <x:v>park-ridge</x:v>
      </x:c>
      <x:c r="Q119" s="20" t="n">
        <x:v>-1</x:v>
      </x:c>
      <x:c r="R119" s="20" t="n">
        <x:f>MAX(0,Q119)</x:f>
        <x:v>0</x:v>
      </x:c>
      <x:c r="S119" s="21" t="n">
        <x:v>0</x:v>
      </x:c>
      <x:c r="T119" s="21" t="n">
        <x:f>IF(OR(F119="Hard Case",F119="Bubble Hard Case"),15,IF(F119="Twist Leather Case",5,IF(F119="Z-Fold Case",4,IFERROR(VLOOKUP(B119,'Cost Overrides'!$A$2:$B$17,2,FALSE),S119))))</x:f>
        <x:v>4</x:v>
      </x:c>
      <x:c r="U119" s="21" t="str">
        <x:f>IF(OR(F119="Hard Case",F119="Bubble Hard Case"),"Confirmed: Hard Case",IF(F119="Twist Leather Case","Confirmed: Twist Leather Case",IF(F119="Z-Fold Case","Confirmed: Z-Fold Case",IF(COUNTIF('Cost Overrides'!$A$2:$A$17,B119)&gt;0,"Confirmed: Owner cost override",IF(S119&lt;=0,"Needs cost","Source cost")))))</x:f>
        <x:v>Confirmed: Z-Fold Case</x:v>
      </x:c>
      <x:c r="V119" s="21" t="n">
        <x:v>39.95</x:v>
      </x:c>
      <x:c r="W119" s="21" t="n">
        <x:f>V119</x:f>
        <x:v>39.95</x:v>
      </x:c>
      <x:c r="X119" s="19" t="str">
        <x:v>NO</x:v>
      </x:c>
      <x:c r="Y119" s="19" t="str">
        <x:v>NO</x:v>
      </x:c>
      <x:c r="Z119" s="19" t="str">
        <x:v>42457440</x:v>
      </x:c>
      <x:c r="AA119" s="19" t="str">
        <x:v>50764369</x:v>
      </x:c>
      <x:c r="AB119" s="22" t="str">
        <x:f>IF(OR(M119&lt;&gt;"Approved",U119="Needs cost",O119=""),"Needs review","Ready after approval")</x:f>
        <x:v>Needs review</x:v>
      </x:c>
      <x:c r="AC119" s="22" t="str">
        <x:v>Negative source stock clipped to zero.</x:v>
      </x:c>
    </x:row>
    <x:row r="120">
      <x:c r="A120" s="19" t="str">
        <x:v>7722</x:v>
      </x:c>
      <x:c r="B120" s="19" t="str">
        <x:v>TM8-TAB-7722</x:v>
      </x:c>
      <x:c r="C120" s="19" t="str">
        <x:v>2999000077229</x:v>
      </x:c>
      <x:c r="D120" s="22" t="str">
        <x:v>iPad Z-Fold Case 10th Gen Pink</x:v>
      </x:c>
      <x:c r="E120" s="22" t="str">
        <x:v>Z-Fold Case for iPad 10th Gen 10.9-inch - Pink</x:v>
      </x:c>
      <x:c r="F120" s="22" t="str">
        <x:v>Z-Fold Case</x:v>
      </x:c>
      <x:c r="G120" s="22" t="str">
        <x:v>Pink</x:v>
      </x:c>
      <x:c r="H120" s="22" t="str">
        <x:v>TM8-GRP-IPAD-10-GEN10-ZFD</x:v>
      </x:c>
      <x:c r="I120" s="22" t="str">
        <x:v>Z-Fold Case for iPad 10th Gen 10.9-inch</x:v>
      </x:c>
      <x:c r="J120" s="22" t="str">
        <x:v>iPad 10th Gen 10.9 Inch</x:v>
      </x:c>
      <x:c r="K120" s="22" t="str">
        <x:v>IPAD-10-GEN10</x:v>
      </x:c>
      <x:c r="L120" s="22" t="str">
        <x:v>iPad 10th Gen 10.9-inch</x:v>
      </x:c>
      <x:c r="M120" s="22" t="str">
        <x:v>Proposed</x:v>
      </x:c>
      <x:c r="N120" s="22" t="str">
        <x:v>https://dghyt15qon7us.cloudfront.net/images/productTheme/Inventory/small/1674185761.jpg</x:v>
      </x:c>
      <x:c r="O120" s="22" t="str">
        <x:v>https://dghyt15qon7us.cloudfront.net/images/productTheme/Inventory/small/1674185618.jpg</x:v>
      </x:c>
      <x:c r="P120" s="19" t="str">
        <x:v>park-ridge</x:v>
      </x:c>
      <x:c r="Q120" s="20" t="n">
        <x:v>0</x:v>
      </x:c>
      <x:c r="R120" s="20" t="n">
        <x:f>MAX(0,Q120)</x:f>
        <x:v>0</x:v>
      </x:c>
      <x:c r="S120" s="21" t="n">
        <x:v>0</x:v>
      </x:c>
      <x:c r="T120" s="21" t="n">
        <x:f>IF(OR(F120="Hard Case",F120="Bubble Hard Case"),15,IF(F120="Twist Leather Case",5,IF(F120="Z-Fold Case",4,IFERROR(VLOOKUP(B120,'Cost Overrides'!$A$2:$B$17,2,FALSE),S120))))</x:f>
        <x:v>4</x:v>
      </x:c>
      <x:c r="U120" s="21" t="str">
        <x:f>IF(OR(F120="Hard Case",F120="Bubble Hard Case"),"Confirmed: Hard Case",IF(F120="Twist Leather Case","Confirmed: Twist Leather Case",IF(F120="Z-Fold Case","Confirmed: Z-Fold Case",IF(COUNTIF('Cost Overrides'!$A$2:$A$17,B120)&gt;0,"Confirmed: Owner cost override",IF(S120&lt;=0,"Needs cost","Source cost")))))</x:f>
        <x:v>Confirmed: Z-Fold Case</x:v>
      </x:c>
      <x:c r="V120" s="21" t="n">
        <x:v>39.95</x:v>
      </x:c>
      <x:c r="W120" s="21" t="n">
        <x:f>V120</x:f>
        <x:v>39.95</x:v>
      </x:c>
      <x:c r="X120" s="19" t="str">
        <x:v>NO</x:v>
      </x:c>
      <x:c r="Y120" s="19" t="str">
        <x:v>NO</x:v>
      </x:c>
      <x:c r="Z120" s="19" t="str">
        <x:v>42457439</x:v>
      </x:c>
      <x:c r="AA120" s="19" t="str">
        <x:v>50764366</x:v>
      </x:c>
      <x:c r="AB120" s="22" t="str">
        <x:f>IF(OR(M120&lt;&gt;"Approved",U120="Needs cost",O120=""),"Needs review","Ready after approval")</x:f>
        <x:v>Needs review</x:v>
      </x:c>
      <x:c r="AC120" s="22" t="str"/>
    </x:row>
    <x:row r="121">
      <x:c r="A121" s="19" t="str">
        <x:v>7721</x:v>
      </x:c>
      <x:c r="B121" s="19" t="str">
        <x:v>TM8-TAB-7721</x:v>
      </x:c>
      <x:c r="C121" s="19" t="str">
        <x:v>2999000077212</x:v>
      </x:c>
      <x:c r="D121" s="22" t="str">
        <x:v>iPad Z-Fold Case 10th Gen Gray</x:v>
      </x:c>
      <x:c r="E121" s="22" t="str">
        <x:v>Z-Fold Case for iPad 10th Gen 10.9-inch - Grey</x:v>
      </x:c>
      <x:c r="F121" s="22" t="str">
        <x:v>Z-Fold Case</x:v>
      </x:c>
      <x:c r="G121" s="22" t="str">
        <x:v>Grey</x:v>
      </x:c>
      <x:c r="H121" s="22" t="str">
        <x:v>TM8-GRP-IPAD-10-GEN10-ZFD</x:v>
      </x:c>
      <x:c r="I121" s="22" t="str">
        <x:v>Z-Fold Case for iPad 10th Gen 10.9-inch</x:v>
      </x:c>
      <x:c r="J121" s="22" t="str">
        <x:v>iPad 10th Gen 10.9 Inch</x:v>
      </x:c>
      <x:c r="K121" s="22" t="str">
        <x:v>IPAD-10-GEN10</x:v>
      </x:c>
      <x:c r="L121" s="22" t="str">
        <x:v>iPad 10th Gen 10.9-inch</x:v>
      </x:c>
      <x:c r="M121" s="22" t="str">
        <x:v>Proposed</x:v>
      </x:c>
      <x:c r="N121" s="22" t="str">
        <x:v>https://dghyt15qon7us.cloudfront.net/images/productTheme/Inventory/small/1674185723.jpg</x:v>
      </x:c>
      <x:c r="O121" s="22" t="str">
        <x:v>https://dghyt15qon7us.cloudfront.net/images/productTheme/Inventory/small/1674185618.jpg</x:v>
      </x:c>
      <x:c r="P121" s="19" t="str">
        <x:v>park-ridge</x:v>
      </x:c>
      <x:c r="Q121" s="20" t="n">
        <x:v>0</x:v>
      </x:c>
      <x:c r="R121" s="20" t="n">
        <x:f>MAX(0,Q121)</x:f>
        <x:v>0</x:v>
      </x:c>
      <x:c r="S121" s="21" t="n">
        <x:v>0</x:v>
      </x:c>
      <x:c r="T121" s="21" t="n">
        <x:f>IF(OR(F121="Hard Case",F121="Bubble Hard Case"),15,IF(F121="Twist Leather Case",5,IF(F121="Z-Fold Case",4,IFERROR(VLOOKUP(B121,'Cost Overrides'!$A$2:$B$17,2,FALSE),S121))))</x:f>
        <x:v>4</x:v>
      </x:c>
      <x:c r="U121" s="21" t="str">
        <x:f>IF(OR(F121="Hard Case",F121="Bubble Hard Case"),"Confirmed: Hard Case",IF(F121="Twist Leather Case","Confirmed: Twist Leather Case",IF(F121="Z-Fold Case","Confirmed: Z-Fold Case",IF(COUNTIF('Cost Overrides'!$A$2:$A$17,B121)&gt;0,"Confirmed: Owner cost override",IF(S121&lt;=0,"Needs cost","Source cost")))))</x:f>
        <x:v>Confirmed: Z-Fold Case</x:v>
      </x:c>
      <x:c r="V121" s="21" t="n">
        <x:v>39.95</x:v>
      </x:c>
      <x:c r="W121" s="21" t="n">
        <x:f>V121</x:f>
        <x:v>39.95</x:v>
      </x:c>
      <x:c r="X121" s="19" t="str">
        <x:v>NO</x:v>
      </x:c>
      <x:c r="Y121" s="19" t="str">
        <x:v>NO</x:v>
      </x:c>
      <x:c r="Z121" s="19" t="str">
        <x:v>42457438</x:v>
      </x:c>
      <x:c r="AA121" s="19" t="str">
        <x:v>50764363</x:v>
      </x:c>
      <x:c r="AB121" s="22" t="str">
        <x:f>IF(OR(M121&lt;&gt;"Approved",U121="Needs cost",O121=""),"Needs review","Ready after approval")</x:f>
        <x:v>Needs review</x:v>
      </x:c>
      <x:c r="AC121" s="22" t="str"/>
    </x:row>
    <x:row r="122">
      <x:c r="A122" s="19" t="str">
        <x:v>7720</x:v>
      </x:c>
      <x:c r="B122" s="19" t="str">
        <x:v>TM8-TAB-7720</x:v>
      </x:c>
      <x:c r="C122" s="19" t="str">
        <x:v>2999000077205</x:v>
      </x:c>
      <x:c r="D122" s="22" t="str">
        <x:v>iPad Z-Fold Case 10th Gen Light Green</x:v>
      </x:c>
      <x:c r="E122" s="22" t="str">
        <x:v>Z-Fold Case for iPad 10th Gen 10.9-inch - Light Green</x:v>
      </x:c>
      <x:c r="F122" s="22" t="str">
        <x:v>Z-Fold Case</x:v>
      </x:c>
      <x:c r="G122" s="22" t="str">
        <x:v>Light Green</x:v>
      </x:c>
      <x:c r="H122" s="22" t="str">
        <x:v>TM8-GRP-IPAD-10-GEN10-ZFD</x:v>
      </x:c>
      <x:c r="I122" s="22" t="str">
        <x:v>Z-Fold Case for iPad 10th Gen 10.9-inch</x:v>
      </x:c>
      <x:c r="J122" s="22" t="str">
        <x:v>iPad 10th Gen 10.9 Inch</x:v>
      </x:c>
      <x:c r="K122" s="22" t="str">
        <x:v>IPAD-10-GEN10</x:v>
      </x:c>
      <x:c r="L122" s="22" t="str">
        <x:v>iPad 10th Gen 10.9-inch</x:v>
      </x:c>
      <x:c r="M122" s="22" t="str">
        <x:v>Proposed</x:v>
      </x:c>
      <x:c r="N122" s="22" t="str">
        <x:v>https://dghyt15qon7us.cloudfront.net/images/productTheme/Inventory/small/1674185659.jpg</x:v>
      </x:c>
      <x:c r="O122" s="22" t="str">
        <x:v>https://dghyt15qon7us.cloudfront.net/images/productTheme/Inventory/small/1674185618.jpg</x:v>
      </x:c>
      <x:c r="P122" s="19" t="str">
        <x:v>park-ridge</x:v>
      </x:c>
      <x:c r="Q122" s="20" t="n">
        <x:v>2</x:v>
      </x:c>
      <x:c r="R122" s="20" t="n">
        <x:f>MAX(0,Q122)</x:f>
        <x:v>2</x:v>
      </x:c>
      <x:c r="S122" s="21" t="n">
        <x:v>0</x:v>
      </x:c>
      <x:c r="T122" s="21" t="n">
        <x:f>IF(OR(F122="Hard Case",F122="Bubble Hard Case"),15,IF(F122="Twist Leather Case",5,IF(F122="Z-Fold Case",4,IFERROR(VLOOKUP(B122,'Cost Overrides'!$A$2:$B$17,2,FALSE),S122))))</x:f>
        <x:v>4</x:v>
      </x:c>
      <x:c r="U122" s="21" t="str">
        <x:f>IF(OR(F122="Hard Case",F122="Bubble Hard Case"),"Confirmed: Hard Case",IF(F122="Twist Leather Case","Confirmed: Twist Leather Case",IF(F122="Z-Fold Case","Confirmed: Z-Fold Case",IF(COUNTIF('Cost Overrides'!$A$2:$A$17,B122)&gt;0,"Confirmed: Owner cost override",IF(S122&lt;=0,"Needs cost","Source cost")))))</x:f>
        <x:v>Confirmed: Z-Fold Case</x:v>
      </x:c>
      <x:c r="V122" s="21" t="n">
        <x:v>39.95</x:v>
      </x:c>
      <x:c r="W122" s="21" t="n">
        <x:f>V122</x:f>
        <x:v>39.95</x:v>
      </x:c>
      <x:c r="X122" s="19" t="str">
        <x:v>NO</x:v>
      </x:c>
      <x:c r="Y122" s="19" t="str">
        <x:v>NO</x:v>
      </x:c>
      <x:c r="Z122" s="19" t="str">
        <x:v>42457437</x:v>
      </x:c>
      <x:c r="AA122" s="19" t="str">
        <x:v>50764360</x:v>
      </x:c>
      <x:c r="AB122" s="22" t="str">
        <x:f>IF(OR(M122&lt;&gt;"Approved",U122="Needs cost",O122=""),"Needs review","Ready after approval")</x:f>
        <x:v>Needs review</x:v>
      </x:c>
      <x:c r="AC122" s="22" t="str"/>
    </x:row>
    <x:row r="123">
      <x:c r="A123" s="19" t="str">
        <x:v>7719</x:v>
      </x:c>
      <x:c r="B123" s="19" t="str">
        <x:v>TM8-TAB-7719</x:v>
      </x:c>
      <x:c r="C123" s="19" t="str">
        <x:v>2999000077199</x:v>
      </x:c>
      <x:c r="D123" s="22" t="str">
        <x:v>iPad Z-Fold Case 10th Gen Black</x:v>
      </x:c>
      <x:c r="E123" s="22" t="str">
        <x:v>Z-Fold Case for iPad 10th Gen 10.9-inch - Black</x:v>
      </x:c>
      <x:c r="F123" s="22" t="str">
        <x:v>Z-Fold Case</x:v>
      </x:c>
      <x:c r="G123" s="22" t="str">
        <x:v>Black</x:v>
      </x:c>
      <x:c r="H123" s="22" t="str">
        <x:v>TM8-GRP-IPAD-10-GEN10-ZFD</x:v>
      </x:c>
      <x:c r="I123" s="22" t="str">
        <x:v>Z-Fold Case for iPad 10th Gen 10.9-inch</x:v>
      </x:c>
      <x:c r="J123" s="22" t="str">
        <x:v>iPad 10th Gen 10.9 Inch</x:v>
      </x:c>
      <x:c r="K123" s="22" t="str">
        <x:v>IPAD-10-GEN10</x:v>
      </x:c>
      <x:c r="L123" s="22" t="str">
        <x:v>iPad 10th Gen 10.9-inch</x:v>
      </x:c>
      <x:c r="M123" s="22" t="str">
        <x:v>Proposed</x:v>
      </x:c>
      <x:c r="N123" s="22" t="str">
        <x:v>https://dghyt15qon7us.cloudfront.net/images/productTheme/Inventory/small/1674185618.jpg</x:v>
      </x:c>
      <x:c r="O123" s="22" t="str">
        <x:v>https://dghyt15qon7us.cloudfront.net/images/productTheme/Inventory/small/1674185618.jpg</x:v>
      </x:c>
      <x:c r="P123" s="19" t="str">
        <x:v>park-ridge</x:v>
      </x:c>
      <x:c r="Q123" s="20" t="n">
        <x:v>1</x:v>
      </x:c>
      <x:c r="R123" s="20" t="n">
        <x:f>MAX(0,Q123)</x:f>
        <x:v>1</x:v>
      </x:c>
      <x:c r="S123" s="21" t="n">
        <x:v>0</x:v>
      </x:c>
      <x:c r="T123" s="21" t="n">
        <x:f>IF(OR(F123="Hard Case",F123="Bubble Hard Case"),15,IF(F123="Twist Leather Case",5,IF(F123="Z-Fold Case",4,IFERROR(VLOOKUP(B123,'Cost Overrides'!$A$2:$B$17,2,FALSE),S123))))</x:f>
        <x:v>4</x:v>
      </x:c>
      <x:c r="U123" s="21" t="str">
        <x:f>IF(OR(F123="Hard Case",F123="Bubble Hard Case"),"Confirmed: Hard Case",IF(F123="Twist Leather Case","Confirmed: Twist Leather Case",IF(F123="Z-Fold Case","Confirmed: Z-Fold Case",IF(COUNTIF('Cost Overrides'!$A$2:$A$17,B123)&gt;0,"Confirmed: Owner cost override",IF(S123&lt;=0,"Needs cost","Source cost")))))</x:f>
        <x:v>Confirmed: Z-Fold Case</x:v>
      </x:c>
      <x:c r="V123" s="21" t="n">
        <x:v>39.95</x:v>
      </x:c>
      <x:c r="W123" s="21" t="n">
        <x:f>V123</x:f>
        <x:v>39.95</x:v>
      </x:c>
      <x:c r="X123" s="19" t="str">
        <x:v>NO</x:v>
      </x:c>
      <x:c r="Y123" s="19" t="str">
        <x:v>NO</x:v>
      </x:c>
      <x:c r="Z123" s="19" t="str">
        <x:v>42457436</x:v>
      </x:c>
      <x:c r="AA123" s="19" t="str">
        <x:v>50764357</x:v>
      </x:c>
      <x:c r="AB123" s="22" t="str">
        <x:f>IF(OR(M123&lt;&gt;"Approved",U123="Needs cost",O123=""),"Needs review","Ready after approval")</x:f>
        <x:v>Needs review</x:v>
      </x:c>
      <x:c r="AC123" s="22" t="str"/>
    </x:row>
    <x:row r="124">
      <x:c r="A124" s="19" t="str">
        <x:v>7718</x:v>
      </x:c>
      <x:c r="B124" s="19" t="str">
        <x:v>TM8-TAB-7718</x:v>
      </x:c>
      <x:c r="C124" s="19" t="str">
        <x:v>2999000077182</x:v>
      </x:c>
      <x:c r="D124" s="22" t="str">
        <x:v>iPad Z-Fold Case 10th Gen Purple</x:v>
      </x:c>
      <x:c r="E124" s="22" t="str">
        <x:v>Z-Fold Case for iPad 10th Gen 10.9-inch - Purple</x:v>
      </x:c>
      <x:c r="F124" s="22" t="str">
        <x:v>Z-Fold Case</x:v>
      </x:c>
      <x:c r="G124" s="22" t="str">
        <x:v>Purple</x:v>
      </x:c>
      <x:c r="H124" s="22" t="str">
        <x:v>TM8-GRP-IPAD-10-GEN10-ZFD</x:v>
      </x:c>
      <x:c r="I124" s="22" t="str">
        <x:v>Z-Fold Case for iPad 10th Gen 10.9-inch</x:v>
      </x:c>
      <x:c r="J124" s="22" t="str">
        <x:v>iPad 10th Gen 10.9 Inch</x:v>
      </x:c>
      <x:c r="K124" s="22" t="str">
        <x:v>IPAD-10-GEN10</x:v>
      </x:c>
      <x:c r="L124" s="22" t="str">
        <x:v>iPad 10th Gen 10.9-inch</x:v>
      </x:c>
      <x:c r="M124" s="22" t="str">
        <x:v>Proposed</x:v>
      </x:c>
      <x:c r="N124" s="22" t="str">
        <x:v>https://dghyt15qon7us.cloudfront.net/images/productTheme/Inventory/small/1674185515.jpg</x:v>
      </x:c>
      <x:c r="O124" s="22" t="str">
        <x:v>https://dghyt15qon7us.cloudfront.net/images/productTheme/Inventory/small/1674185618.jpg</x:v>
      </x:c>
      <x:c r="P124" s="19" t="str">
        <x:v>park-ridge</x:v>
      </x:c>
      <x:c r="Q124" s="20" t="n">
        <x:v>0</x:v>
      </x:c>
      <x:c r="R124" s="20" t="n">
        <x:f>MAX(0,Q124)</x:f>
        <x:v>0</x:v>
      </x:c>
      <x:c r="S124" s="21" t="n">
        <x:v>0</x:v>
      </x:c>
      <x:c r="T124" s="21" t="n">
        <x:f>IF(OR(F124="Hard Case",F124="Bubble Hard Case"),15,IF(F124="Twist Leather Case",5,IF(F124="Z-Fold Case",4,IFERROR(VLOOKUP(B124,'Cost Overrides'!$A$2:$B$17,2,FALSE),S124))))</x:f>
        <x:v>4</x:v>
      </x:c>
      <x:c r="U124" s="21" t="str">
        <x:f>IF(OR(F124="Hard Case",F124="Bubble Hard Case"),"Confirmed: Hard Case",IF(F124="Twist Leather Case","Confirmed: Twist Leather Case",IF(F124="Z-Fold Case","Confirmed: Z-Fold Case",IF(COUNTIF('Cost Overrides'!$A$2:$A$17,B124)&gt;0,"Confirmed: Owner cost override",IF(S124&lt;=0,"Needs cost","Source cost")))))</x:f>
        <x:v>Confirmed: Z-Fold Case</x:v>
      </x:c>
      <x:c r="V124" s="21" t="n">
        <x:v>39.95</x:v>
      </x:c>
      <x:c r="W124" s="21" t="n">
        <x:f>V124</x:f>
        <x:v>39.95</x:v>
      </x:c>
      <x:c r="X124" s="19" t="str">
        <x:v>NO</x:v>
      </x:c>
      <x:c r="Y124" s="19" t="str">
        <x:v>NO</x:v>
      </x:c>
      <x:c r="Z124" s="19" t="str">
        <x:v>42457435</x:v>
      </x:c>
      <x:c r="AA124" s="19" t="str">
        <x:v>50764356</x:v>
      </x:c>
      <x:c r="AB124" s="22" t="str">
        <x:f>IF(OR(M124&lt;&gt;"Approved",U124="Needs cost",O124=""),"Needs review","Ready after approval")</x:f>
        <x:v>Needs review</x:v>
      </x:c>
      <x:c r="AC124" s="22" t="str"/>
    </x:row>
    <x:row r="125">
      <x:c r="A125" s="19" t="str">
        <x:v>7653</x:v>
      </x:c>
      <x:c r="B125" s="19" t="str">
        <x:v>TM8-TAB-7653</x:v>
      </x:c>
      <x:c r="C125" s="19" t="str">
        <x:v>2999000076536</x:v>
      </x:c>
      <x:c r="D125" s="22" t="str">
        <x:v>iPad Hard Case 10th Gen Red</x:v>
      </x:c>
      <x:c r="E125" s="22" t="str">
        <x:v>Hard Case for iPad 10th Gen 10.9-inch - Red</x:v>
      </x:c>
      <x:c r="F125" s="22" t="str">
        <x:v>Hard Case</x:v>
      </x:c>
      <x:c r="G125" s="22" t="str">
        <x:v>Red</x:v>
      </x:c>
      <x:c r="H125" s="22" t="str">
        <x:v>TM8-GRP-IPAD-10-GEN10-HDC</x:v>
      </x:c>
      <x:c r="I125" s="22" t="str">
        <x:v>Hard Case for iPad 10th Gen 10.9-inch</x:v>
      </x:c>
      <x:c r="J125" s="22" t="str">
        <x:v>iPad 10th Gen 10.9 Inch</x:v>
      </x:c>
      <x:c r="K125" s="22" t="str">
        <x:v>IPAD-10-GEN10</x:v>
      </x:c>
      <x:c r="L125" s="22" t="str">
        <x:v>iPad 10th Gen 10.9-inch</x:v>
      </x:c>
      <x:c r="M125" s="22" t="str">
        <x:v>Proposed</x:v>
      </x:c>
      <x:c r="N125" s="22" t="str">
        <x:v>https://dghyt15qon7us.cloudfront.net/images/productTheme/Inventory/small/1672270406.jpg</x:v>
      </x:c>
      <x:c r="O125" s="22" t="str">
        <x:v>https://dghyt15qon7us.cloudfront.net/images/productTheme/Inventory/small/1672270259.jpg</x:v>
      </x:c>
      <x:c r="P125" s="19" t="str">
        <x:v>park-ridge</x:v>
      </x:c>
      <x:c r="Q125" s="20" t="n">
        <x:v>5</x:v>
      </x:c>
      <x:c r="R125" s="20" t="n">
        <x:f>MAX(0,Q125)</x:f>
        <x:v>5</x:v>
      </x:c>
      <x:c r="S125" s="21" t="n">
        <x:v>0</x:v>
      </x:c>
      <x:c r="T125" s="21" t="n">
        <x:f>IF(OR(F125="Hard Case",F125="Bubble Hard Case"),15,IF(F125="Twist Leather Case",5,IF(F125="Z-Fold Case",4,IFERROR(VLOOKUP(B125,'Cost Overrides'!$A$2:$B$17,2,FALSE),S125))))</x:f>
        <x:v>15</x:v>
      </x:c>
      <x:c r="U125" s="21" t="str">
        <x:f>IF(OR(F125="Hard Case",F125="Bubble Hard Case"),"Confirmed: Hard Case",IF(F125="Twist Leather Case","Confirmed: Twist Leather Case",IF(F125="Z-Fold Case","Confirmed: Z-Fold Case",IF(COUNTIF('Cost Overrides'!$A$2:$A$17,B125)&gt;0,"Confirmed: Owner cost override",IF(S125&lt;=0,"Needs cost","Source cost")))))</x:f>
        <x:v>Confirmed: Hard Case</x:v>
      </x:c>
      <x:c r="V125" s="21" t="n">
        <x:v>49.95</x:v>
      </x:c>
      <x:c r="W125" s="21" t="n">
        <x:f>V125</x:f>
        <x:v>49.95</x:v>
      </x:c>
      <x:c r="X125" s="19" t="str">
        <x:v>NO</x:v>
      </x:c>
      <x:c r="Y125" s="19" t="str">
        <x:v>NO</x:v>
      </x:c>
      <x:c r="Z125" s="19" t="str">
        <x:v>42457370</x:v>
      </x:c>
      <x:c r="AA125" s="19" t="str">
        <x:v>50764161</x:v>
      </x:c>
      <x:c r="AB125" s="22" t="str">
        <x:f>IF(OR(M125&lt;&gt;"Approved",U125="Needs cost",O125=""),"Needs review","Ready after approval")</x:f>
        <x:v>Needs review</x:v>
      </x:c>
      <x:c r="AC125" s="22" t="str"/>
    </x:row>
    <x:row r="126">
      <x:c r="A126" s="19" t="str">
        <x:v>7652</x:v>
      </x:c>
      <x:c r="B126" s="19" t="str">
        <x:v>TM8-TAB-7652</x:v>
      </x:c>
      <x:c r="C126" s="19" t="str">
        <x:v>2999000076529</x:v>
      </x:c>
      <x:c r="D126" s="22" t="str">
        <x:v>iPad Hard Case 10th Gen Blue</x:v>
      </x:c>
      <x:c r="E126" s="22" t="str">
        <x:v>Hard Case for iPad 10th Gen 10.9-inch - Blue</x:v>
      </x:c>
      <x:c r="F126" s="22" t="str">
        <x:v>Hard Case</x:v>
      </x:c>
      <x:c r="G126" s="22" t="str">
        <x:v>Blue</x:v>
      </x:c>
      <x:c r="H126" s="22" t="str">
        <x:v>TM8-GRP-IPAD-10-GEN10-HDC</x:v>
      </x:c>
      <x:c r="I126" s="22" t="str">
        <x:v>Hard Case for iPad 10th Gen 10.9-inch</x:v>
      </x:c>
      <x:c r="J126" s="22" t="str">
        <x:v>iPad 10th Gen 10.9 Inch</x:v>
      </x:c>
      <x:c r="K126" s="22" t="str">
        <x:v>IPAD-10-GEN10</x:v>
      </x:c>
      <x:c r="L126" s="22" t="str">
        <x:v>iPad 10th Gen 10.9-inch</x:v>
      </x:c>
      <x:c r="M126" s="22" t="str">
        <x:v>Proposed</x:v>
      </x:c>
      <x:c r="N126" s="22" t="str">
        <x:v>https://dghyt15qon7us.cloudfront.net/images/productTheme/Inventory/small/1672270384.jpg</x:v>
      </x:c>
      <x:c r="O126" s="22" t="str">
        <x:v>https://dghyt15qon7us.cloudfront.net/images/productTheme/Inventory/small/1672270259.jpg</x:v>
      </x:c>
      <x:c r="P126" s="19" t="str">
        <x:v>park-ridge</x:v>
      </x:c>
      <x:c r="Q126" s="20" t="n">
        <x:v>3</x:v>
      </x:c>
      <x:c r="R126" s="20" t="n">
        <x:f>MAX(0,Q126)</x:f>
        <x:v>3</x:v>
      </x:c>
      <x:c r="S126" s="21" t="n">
        <x:v>0</x:v>
      </x:c>
      <x:c r="T126" s="21" t="n">
        <x:f>IF(OR(F126="Hard Case",F126="Bubble Hard Case"),15,IF(F126="Twist Leather Case",5,IF(F126="Z-Fold Case",4,IFERROR(VLOOKUP(B126,'Cost Overrides'!$A$2:$B$17,2,FALSE),S126))))</x:f>
        <x:v>15</x:v>
      </x:c>
      <x:c r="U126" s="21" t="str">
        <x:f>IF(OR(F126="Hard Case",F126="Bubble Hard Case"),"Confirmed: Hard Case",IF(F126="Twist Leather Case","Confirmed: Twist Leather Case",IF(F126="Z-Fold Case","Confirmed: Z-Fold Case",IF(COUNTIF('Cost Overrides'!$A$2:$A$17,B126)&gt;0,"Confirmed: Owner cost override",IF(S126&lt;=0,"Needs cost","Source cost")))))</x:f>
        <x:v>Confirmed: Hard Case</x:v>
      </x:c>
      <x:c r="V126" s="21" t="n">
        <x:v>49.95</x:v>
      </x:c>
      <x:c r="W126" s="21" t="n">
        <x:f>V126</x:f>
        <x:v>49.95</x:v>
      </x:c>
      <x:c r="X126" s="19" t="str">
        <x:v>NO</x:v>
      </x:c>
      <x:c r="Y126" s="19" t="str">
        <x:v>NO</x:v>
      </x:c>
      <x:c r="Z126" s="19" t="str">
        <x:v>42457369</x:v>
      </x:c>
      <x:c r="AA126" s="19" t="str">
        <x:v>50764158</x:v>
      </x:c>
      <x:c r="AB126" s="22" t="str">
        <x:f>IF(OR(M126&lt;&gt;"Approved",U126="Needs cost",O126=""),"Needs review","Ready after approval")</x:f>
        <x:v>Needs review</x:v>
      </x:c>
      <x:c r="AC126" s="22" t="str"/>
    </x:row>
    <x:row r="127">
      <x:c r="A127" s="19" t="str">
        <x:v>7651</x:v>
      </x:c>
      <x:c r="B127" s="19" t="str">
        <x:v>TM8-TAB-7651</x:v>
      </x:c>
      <x:c r="C127" s="19" t="str">
        <x:v>2999000076512</x:v>
      </x:c>
      <x:c r="D127" s="22" t="str">
        <x:v>iPad Hard Case 10th Gen Purple</x:v>
      </x:c>
      <x:c r="E127" s="22" t="str">
        <x:v>Hard Case for iPad 10th Gen 10.9-inch - Purple</x:v>
      </x:c>
      <x:c r="F127" s="22" t="str">
        <x:v>Hard Case</x:v>
      </x:c>
      <x:c r="G127" s="22" t="str">
        <x:v>Purple</x:v>
      </x:c>
      <x:c r="H127" s="22" t="str">
        <x:v>TM8-GRP-IPAD-10-GEN10-HDC</x:v>
      </x:c>
      <x:c r="I127" s="22" t="str">
        <x:v>Hard Case for iPad 10th Gen 10.9-inch</x:v>
      </x:c>
      <x:c r="J127" s="22" t="str">
        <x:v>iPad 10th Gen 10.9 Inch</x:v>
      </x:c>
      <x:c r="K127" s="22" t="str">
        <x:v>IPAD-10-GEN10</x:v>
      </x:c>
      <x:c r="L127" s="22" t="str">
        <x:v>iPad 10th Gen 10.9-inch</x:v>
      </x:c>
      <x:c r="M127" s="22" t="str">
        <x:v>Proposed</x:v>
      </x:c>
      <x:c r="N127" s="22" t="str">
        <x:v>https://dghyt15qon7us.cloudfront.net/images/productTheme/Inventory/small/1672270322.jpg</x:v>
      </x:c>
      <x:c r="O127" s="22" t="str">
        <x:v>https://dghyt15qon7us.cloudfront.net/images/productTheme/Inventory/small/1672270259.jpg</x:v>
      </x:c>
      <x:c r="P127" s="19" t="str">
        <x:v>park-ridge</x:v>
      </x:c>
      <x:c r="Q127" s="20" t="n">
        <x:v>4</x:v>
      </x:c>
      <x:c r="R127" s="20" t="n">
        <x:f>MAX(0,Q127)</x:f>
        <x:v>4</x:v>
      </x:c>
      <x:c r="S127" s="21" t="n">
        <x:v>0</x:v>
      </x:c>
      <x:c r="T127" s="21" t="n">
        <x:f>IF(OR(F127="Hard Case",F127="Bubble Hard Case"),15,IF(F127="Twist Leather Case",5,IF(F127="Z-Fold Case",4,IFERROR(VLOOKUP(B127,'Cost Overrides'!$A$2:$B$17,2,FALSE),S127))))</x:f>
        <x:v>15</x:v>
      </x:c>
      <x:c r="U127" s="21" t="str">
        <x:f>IF(OR(F127="Hard Case",F127="Bubble Hard Case"),"Confirmed: Hard Case",IF(F127="Twist Leather Case","Confirmed: Twist Leather Case",IF(F127="Z-Fold Case","Confirmed: Z-Fold Case",IF(COUNTIF('Cost Overrides'!$A$2:$A$17,B127)&gt;0,"Confirmed: Owner cost override",IF(S127&lt;=0,"Needs cost","Source cost")))))</x:f>
        <x:v>Confirmed: Hard Case</x:v>
      </x:c>
      <x:c r="V127" s="21" t="n">
        <x:v>49.95</x:v>
      </x:c>
      <x:c r="W127" s="21" t="n">
        <x:f>V127</x:f>
        <x:v>49.95</x:v>
      </x:c>
      <x:c r="X127" s="19" t="str">
        <x:v>NO</x:v>
      </x:c>
      <x:c r="Y127" s="19" t="str">
        <x:v>NO</x:v>
      </x:c>
      <x:c r="Z127" s="19" t="str">
        <x:v>42457368</x:v>
      </x:c>
      <x:c r="AA127" s="19" t="str">
        <x:v>50764155</x:v>
      </x:c>
      <x:c r="AB127" s="22" t="str">
        <x:f>IF(OR(M127&lt;&gt;"Approved",U127="Needs cost",O127=""),"Needs review","Ready after approval")</x:f>
        <x:v>Needs review</x:v>
      </x:c>
      <x:c r="AC127" s="22" t="str"/>
    </x:row>
    <x:row r="128">
      <x:c r="A128" s="19" t="str">
        <x:v>7650</x:v>
      </x:c>
      <x:c r="B128" s="19" t="str">
        <x:v>TM8-TAB-7650</x:v>
      </x:c>
      <x:c r="C128" s="19" t="str">
        <x:v>2999000076505</x:v>
      </x:c>
      <x:c r="D128" s="22" t="str">
        <x:v>iPad Hard Case 10th Gen Black</x:v>
      </x:c>
      <x:c r="E128" s="22" t="str">
        <x:v>Hard Case for iPad 10th Gen 10.9-inch - Black</x:v>
      </x:c>
      <x:c r="F128" s="22" t="str">
        <x:v>Hard Case</x:v>
      </x:c>
      <x:c r="G128" s="22" t="str">
        <x:v>Black</x:v>
      </x:c>
      <x:c r="H128" s="22" t="str">
        <x:v>TM8-GRP-IPAD-10-GEN10-HDC</x:v>
      </x:c>
      <x:c r="I128" s="22" t="str">
        <x:v>Hard Case for iPad 10th Gen 10.9-inch</x:v>
      </x:c>
      <x:c r="J128" s="22" t="str">
        <x:v>iPad 10th Gen 10.9 Inch</x:v>
      </x:c>
      <x:c r="K128" s="22" t="str">
        <x:v>IPAD-10-GEN10</x:v>
      </x:c>
      <x:c r="L128" s="22" t="str">
        <x:v>iPad 10th Gen 10.9-inch</x:v>
      </x:c>
      <x:c r="M128" s="22" t="str">
        <x:v>Proposed</x:v>
      </x:c>
      <x:c r="N128" s="22" t="str">
        <x:v>https://dghyt15qon7us.cloudfront.net/images/productTheme/Inventory/small/1672270259.jpg</x:v>
      </x:c>
      <x:c r="O128" s="22" t="str">
        <x:v>https://dghyt15qon7us.cloudfront.net/images/productTheme/Inventory/small/1672270259.jpg</x:v>
      </x:c>
      <x:c r="P128" s="19" t="str">
        <x:v>park-ridge</x:v>
      </x:c>
      <x:c r="Q128" s="20" t="n">
        <x:v>6</x:v>
      </x:c>
      <x:c r="R128" s="20" t="n">
        <x:f>MAX(0,Q128)</x:f>
        <x:v>6</x:v>
      </x:c>
      <x:c r="S128" s="21" t="n">
        <x:v>0</x:v>
      </x:c>
      <x:c r="T128" s="21" t="n">
        <x:f>IF(OR(F128="Hard Case",F128="Bubble Hard Case"),15,IF(F128="Twist Leather Case",5,IF(F128="Z-Fold Case",4,IFERROR(VLOOKUP(B128,'Cost Overrides'!$A$2:$B$17,2,FALSE),S128))))</x:f>
        <x:v>15</x:v>
      </x:c>
      <x:c r="U128" s="21" t="str">
        <x:f>IF(OR(F128="Hard Case",F128="Bubble Hard Case"),"Confirmed: Hard Case",IF(F128="Twist Leather Case","Confirmed: Twist Leather Case",IF(F128="Z-Fold Case","Confirmed: Z-Fold Case",IF(COUNTIF('Cost Overrides'!$A$2:$A$17,B128)&gt;0,"Confirmed: Owner cost override",IF(S128&lt;=0,"Needs cost","Source cost")))))</x:f>
        <x:v>Confirmed: Hard Case</x:v>
      </x:c>
      <x:c r="V128" s="21" t="n">
        <x:v>49.95</x:v>
      </x:c>
      <x:c r="W128" s="21" t="n">
        <x:f>V128</x:f>
        <x:v>49.95</x:v>
      </x:c>
      <x:c r="X128" s="19" t="str">
        <x:v>NO</x:v>
      </x:c>
      <x:c r="Y128" s="19" t="str">
        <x:v>NO</x:v>
      </x:c>
      <x:c r="Z128" s="19" t="str">
        <x:v>42457367</x:v>
      </x:c>
      <x:c r="AA128" s="19" t="str">
        <x:v>50764152</x:v>
      </x:c>
      <x:c r="AB128" s="22" t="str">
        <x:f>IF(OR(M128&lt;&gt;"Approved",U128="Needs cost",O128=""),"Needs review","Ready after approval")</x:f>
        <x:v>Needs review</x:v>
      </x:c>
      <x:c r="AC128" s="22" t="str"/>
    </x:row>
    <x:row r="129">
      <x:c r="A129" s="19" t="str">
        <x:v>7649</x:v>
      </x:c>
      <x:c r="B129" s="19" t="str">
        <x:v>TM8-TAB-7649</x:v>
      </x:c>
      <x:c r="C129" s="19" t="str">
        <x:v>2999000076499</x:v>
      </x:c>
      <x:c r="D129" s="22" t="str">
        <x:v>iPad Hard Case 10th Gen Rainbow</x:v>
      </x:c>
      <x:c r="E129" s="22" t="str">
        <x:v>Hard Case for iPad 10th Gen 10.9-inch - Rainbow</x:v>
      </x:c>
      <x:c r="F129" s="22" t="str">
        <x:v>Hard Case</x:v>
      </x:c>
      <x:c r="G129" s="22" t="str">
        <x:v>Rainbow</x:v>
      </x:c>
      <x:c r="H129" s="22" t="str">
        <x:v>TM8-GRP-IPAD-10-GEN10-HDC</x:v>
      </x:c>
      <x:c r="I129" s="22" t="str">
        <x:v>Hard Case for iPad 10th Gen 10.9-inch</x:v>
      </x:c>
      <x:c r="J129" s="22" t="str">
        <x:v>iPad 10th Gen 10.9 Inch</x:v>
      </x:c>
      <x:c r="K129" s="22" t="str">
        <x:v>IPAD-10-GEN10</x:v>
      </x:c>
      <x:c r="L129" s="22" t="str">
        <x:v>iPad 10th Gen 10.9-inch</x:v>
      </x:c>
      <x:c r="M129" s="22" t="str">
        <x:v>Proposed</x:v>
      </x:c>
      <x:c r="N129" s="22" t="str">
        <x:v>https://dghyt15qon7us.cloudfront.net/images/productTheme/Inventory/small/1672270086.jpg</x:v>
      </x:c>
      <x:c r="O129" s="22" t="str">
        <x:v>https://dghyt15qon7us.cloudfront.net/images/productTheme/Inventory/small/1672270259.jpg</x:v>
      </x:c>
      <x:c r="P129" s="19" t="str">
        <x:v>park-ridge</x:v>
      </x:c>
      <x:c r="Q129" s="20" t="n">
        <x:v>0</x:v>
      </x:c>
      <x:c r="R129" s="20" t="n">
        <x:f>MAX(0,Q129)</x:f>
        <x:v>0</x:v>
      </x:c>
      <x:c r="S129" s="21" t="n">
        <x:v>0</x:v>
      </x:c>
      <x:c r="T129" s="21" t="n">
        <x:f>IF(OR(F129="Hard Case",F129="Bubble Hard Case"),15,IF(F129="Twist Leather Case",5,IF(F129="Z-Fold Case",4,IFERROR(VLOOKUP(B129,'Cost Overrides'!$A$2:$B$17,2,FALSE),S129))))</x:f>
        <x:v>15</x:v>
      </x:c>
      <x:c r="U129" s="21" t="str">
        <x:f>IF(OR(F129="Hard Case",F129="Bubble Hard Case"),"Confirmed: Hard Case",IF(F129="Twist Leather Case","Confirmed: Twist Leather Case",IF(F129="Z-Fold Case","Confirmed: Z-Fold Case",IF(COUNTIF('Cost Overrides'!$A$2:$A$17,B129)&gt;0,"Confirmed: Owner cost override",IF(S129&lt;=0,"Needs cost","Source cost")))))</x:f>
        <x:v>Confirmed: Hard Case</x:v>
      </x:c>
      <x:c r="V129" s="21" t="n">
        <x:v>49.95</x:v>
      </x:c>
      <x:c r="W129" s="21" t="n">
        <x:f>V129</x:f>
        <x:v>49.95</x:v>
      </x:c>
      <x:c r="X129" s="19" t="str">
        <x:v>NO</x:v>
      </x:c>
      <x:c r="Y129" s="19" t="str">
        <x:v>NO</x:v>
      </x:c>
      <x:c r="Z129" s="19" t="str">
        <x:v>42457366</x:v>
      </x:c>
      <x:c r="AA129" s="19" t="str">
        <x:v>50764149</x:v>
      </x:c>
      <x:c r="AB129" s="22" t="str">
        <x:f>IF(OR(M129&lt;&gt;"Approved",U129="Needs cost",O129=""),"Needs review","Ready after approval")</x:f>
        <x:v>Needs review</x:v>
      </x:c>
      <x:c r="AC129" s="22" t="str"/>
    </x:row>
    <x:row r="130">
      <x:c r="A130" s="19" t="str">
        <x:v>7648</x:v>
      </x:c>
      <x:c r="B130" s="19" t="str">
        <x:v>TM8-TAB-7648</x:v>
      </x:c>
      <x:c r="C130" s="19" t="str">
        <x:v>2999000076482</x:v>
      </x:c>
      <x:c r="D130" s="22" t="str">
        <x:v>iPad Hard Case 10th Gen Pink</x:v>
      </x:c>
      <x:c r="E130" s="22" t="str">
        <x:v>Hard Case for iPad 10th Gen 10.9-inch - Pink</x:v>
      </x:c>
      <x:c r="F130" s="22" t="str">
        <x:v>Hard Case</x:v>
      </x:c>
      <x:c r="G130" s="22" t="str">
        <x:v>Pink</x:v>
      </x:c>
      <x:c r="H130" s="22" t="str">
        <x:v>TM8-GRP-IPAD-10-GEN10-HDC</x:v>
      </x:c>
      <x:c r="I130" s="22" t="str">
        <x:v>Hard Case for iPad 10th Gen 10.9-inch</x:v>
      </x:c>
      <x:c r="J130" s="22" t="str">
        <x:v>iPad 10th Gen 10.9 Inch</x:v>
      </x:c>
      <x:c r="K130" s="22" t="str">
        <x:v>IPAD-10-GEN10</x:v>
      </x:c>
      <x:c r="L130" s="22" t="str">
        <x:v>iPad 10th Gen 10.9-inch</x:v>
      </x:c>
      <x:c r="M130" s="22" t="str">
        <x:v>Proposed</x:v>
      </x:c>
      <x:c r="N130" s="22" t="str">
        <x:v>https://dghyt15qon7us.cloudfront.net/images/productTheme/Inventory/small/1672269999.jpg</x:v>
      </x:c>
      <x:c r="O130" s="22" t="str">
        <x:v>https://dghyt15qon7us.cloudfront.net/images/productTheme/Inventory/small/1672270259.jpg</x:v>
      </x:c>
      <x:c r="P130" s="19" t="str">
        <x:v>park-ridge</x:v>
      </x:c>
      <x:c r="Q130" s="20" t="n">
        <x:v>5</x:v>
      </x:c>
      <x:c r="R130" s="20" t="n">
        <x:f>MAX(0,Q130)</x:f>
        <x:v>5</x:v>
      </x:c>
      <x:c r="S130" s="21" t="n">
        <x:v>0</x:v>
      </x:c>
      <x:c r="T130" s="21" t="n">
        <x:f>IF(OR(F130="Hard Case",F130="Bubble Hard Case"),15,IF(F130="Twist Leather Case",5,IF(F130="Z-Fold Case",4,IFERROR(VLOOKUP(B130,'Cost Overrides'!$A$2:$B$17,2,FALSE),S130))))</x:f>
        <x:v>15</x:v>
      </x:c>
      <x:c r="U130" s="21" t="str">
        <x:f>IF(OR(F130="Hard Case",F130="Bubble Hard Case"),"Confirmed: Hard Case",IF(F130="Twist Leather Case","Confirmed: Twist Leather Case",IF(F130="Z-Fold Case","Confirmed: Z-Fold Case",IF(COUNTIF('Cost Overrides'!$A$2:$A$17,B130)&gt;0,"Confirmed: Owner cost override",IF(S130&lt;=0,"Needs cost","Source cost")))))</x:f>
        <x:v>Confirmed: Hard Case</x:v>
      </x:c>
      <x:c r="V130" s="21" t="n">
        <x:v>49.95</x:v>
      </x:c>
      <x:c r="W130" s="21" t="n">
        <x:f>V130</x:f>
        <x:v>49.95</x:v>
      </x:c>
      <x:c r="X130" s="19" t="str">
        <x:v>NO</x:v>
      </x:c>
      <x:c r="Y130" s="19" t="str">
        <x:v>NO</x:v>
      </x:c>
      <x:c r="Z130" s="19" t="str">
        <x:v>42457365</x:v>
      </x:c>
      <x:c r="AA130" s="19" t="str">
        <x:v>50764146</x:v>
      </x:c>
      <x:c r="AB130" s="22" t="str">
        <x:f>IF(OR(M130&lt;&gt;"Approved",U130="Needs cost",O130=""),"Needs review","Ready after approval")</x:f>
        <x:v>Needs review</x:v>
      </x:c>
      <x:c r="AC130" s="22" t="str"/>
    </x:row>
    <x:row r="131">
      <x:c r="A131" s="19" t="str">
        <x:v>7647</x:v>
      </x:c>
      <x:c r="B131" s="19" t="str">
        <x:v>TM8-TAB-7647</x:v>
      </x:c>
      <x:c r="C131" s="19" t="str">
        <x:v>2999000076475</x:v>
      </x:c>
      <x:c r="D131" s="22" t="str">
        <x:v>iPad Hard Case 10th Gen Green</x:v>
      </x:c>
      <x:c r="E131" s="22" t="str">
        <x:v>Hard Case for iPad 10th Gen 10.9-inch - Green</x:v>
      </x:c>
      <x:c r="F131" s="22" t="str">
        <x:v>Hard Case</x:v>
      </x:c>
      <x:c r="G131" s="22" t="str">
        <x:v>Green</x:v>
      </x:c>
      <x:c r="H131" s="22" t="str">
        <x:v>TM8-GRP-IPAD-10-GEN10-HDC</x:v>
      </x:c>
      <x:c r="I131" s="22" t="str">
        <x:v>Hard Case for iPad 10th Gen 10.9-inch</x:v>
      </x:c>
      <x:c r="J131" s="22" t="str">
        <x:v>iPad 10th Gen 10.9 Inch</x:v>
      </x:c>
      <x:c r="K131" s="22" t="str">
        <x:v>IPAD-10-GEN10</x:v>
      </x:c>
      <x:c r="L131" s="22" t="str">
        <x:v>iPad 10th Gen 10.9-inch</x:v>
      </x:c>
      <x:c r="M131" s="22" t="str">
        <x:v>Proposed</x:v>
      </x:c>
      <x:c r="N131" s="22" t="str">
        <x:v>https://dghyt15qon7us.cloudfront.net/images/productTheme/Inventory/small/1672269869.jpg</x:v>
      </x:c>
      <x:c r="O131" s="22" t="str">
        <x:v>https://dghyt15qon7us.cloudfront.net/images/productTheme/Inventory/small/1672270259.jpg</x:v>
      </x:c>
      <x:c r="P131" s="19" t="str">
        <x:v>park-ridge</x:v>
      </x:c>
      <x:c r="Q131" s="20" t="n">
        <x:v>4</x:v>
      </x:c>
      <x:c r="R131" s="20" t="n">
        <x:f>MAX(0,Q131)</x:f>
        <x:v>4</x:v>
      </x:c>
      <x:c r="S131" s="21" t="n">
        <x:v>0</x:v>
      </x:c>
      <x:c r="T131" s="21" t="n">
        <x:f>IF(OR(F131="Hard Case",F131="Bubble Hard Case"),15,IF(F131="Twist Leather Case",5,IF(F131="Z-Fold Case",4,IFERROR(VLOOKUP(B131,'Cost Overrides'!$A$2:$B$17,2,FALSE),S131))))</x:f>
        <x:v>15</x:v>
      </x:c>
      <x:c r="U131" s="21" t="str">
        <x:f>IF(OR(F131="Hard Case",F131="Bubble Hard Case"),"Confirmed: Hard Case",IF(F131="Twist Leather Case","Confirmed: Twist Leather Case",IF(F131="Z-Fold Case","Confirmed: Z-Fold Case",IF(COUNTIF('Cost Overrides'!$A$2:$A$17,B131)&gt;0,"Confirmed: Owner cost override",IF(S131&lt;=0,"Needs cost","Source cost")))))</x:f>
        <x:v>Confirmed: Hard Case</x:v>
      </x:c>
      <x:c r="V131" s="21" t="n">
        <x:v>49.95</x:v>
      </x:c>
      <x:c r="W131" s="21" t="n">
        <x:f>V131</x:f>
        <x:v>49.95</x:v>
      </x:c>
      <x:c r="X131" s="19" t="str">
        <x:v>NO</x:v>
      </x:c>
      <x:c r="Y131" s="19" t="str">
        <x:v>NO</x:v>
      </x:c>
      <x:c r="Z131" s="19" t="str">
        <x:v>42457364</x:v>
      </x:c>
      <x:c r="AA131" s="19" t="str">
        <x:v>50764143</x:v>
      </x:c>
      <x:c r="AB131" s="22" t="str">
        <x:f>IF(OR(M131&lt;&gt;"Approved",U131="Needs cost",O131=""),"Needs review","Ready after approval")</x:f>
        <x:v>Needs review</x:v>
      </x:c>
      <x:c r="AC131" s="22" t="str"/>
    </x:row>
    <x:row r="132">
      <x:c r="A132" s="19" t="str">
        <x:v>7608</x:v>
      </x:c>
      <x:c r="B132" s="19" t="str">
        <x:v>TM8-TAB-7608</x:v>
      </x:c>
      <x:c r="C132" s="19" t="str">
        <x:v>2999000076086</x:v>
      </x:c>
      <x:c r="D132" s="22" t="str">
        <x:v>iPad Hard Case Air 4/5 , Por 11 Rainbow</x:v>
      </x:c>
      <x:c r="E132" s="22" t="str">
        <x:v>Hard Case for iPad Air 4/5 and iPad Pro 11 (2018-2022) - Rainbow</x:v>
      </x:c>
      <x:c r="F132" s="22" t="str">
        <x:v>Hard Case</x:v>
      </x:c>
      <x:c r="G132" s="22" t="str">
        <x:v>Rainbow</x:v>
      </x:c>
      <x:c r="H132" s="22" t="str">
        <x:v>TM8-GRP-IPAD-AIR45-PRO11-HDC</x:v>
      </x:c>
      <x:c r="I132" s="22" t="str">
        <x:v>Hard Case for iPad Air 4/5 and iPad Pro 11 (2018-2022)</x:v>
      </x:c>
      <x:c r="J132" s="22" t="str">
        <x:v>iPad Air 4/5, Pro 11</x:v>
      </x:c>
      <x:c r="K132" s="22" t="str">
        <x:v>IPAD-AIR45-PRO11</x:v>
      </x:c>
      <x:c r="L132" s="22" t="str">
        <x:v>iPad Air 4/5 and iPad Pro 11 (2018-2022)</x:v>
      </x:c>
      <x:c r="M132" s="22" t="str">
        <x:v>Approved</x:v>
      </x:c>
      <x:c r="N132" s="22" t="str">
        <x:v>https://dghyt15qon7us.cloudfront.net/images/productTheme/Inventory/small/1670478780.jpg</x:v>
      </x:c>
      <x:c r="O132" s="22" t="str">
        <x:v>https://dghyt15qon7us.cloudfront.net/images/productTheme/Inventory/small/1643164124.jpg</x:v>
      </x:c>
      <x:c r="P132" s="19" t="str">
        <x:v>park-ridge</x:v>
      </x:c>
      <x:c r="Q132" s="20" t="n">
        <x:v>2</x:v>
      </x:c>
      <x:c r="R132" s="20" t="n">
        <x:f>MAX(0,Q132)</x:f>
        <x:v>2</x:v>
      </x:c>
      <x:c r="S132" s="21" t="n">
        <x:v>0</x:v>
      </x:c>
      <x:c r="T132" s="21" t="n">
        <x:f>IF(OR(F132="Hard Case",F132="Bubble Hard Case"),15,IF(F132="Twist Leather Case",5,IF(F132="Z-Fold Case",4,IFERROR(VLOOKUP(B132,'Cost Overrides'!$A$2:$B$17,2,FALSE),S132))))</x:f>
        <x:v>15</x:v>
      </x:c>
      <x:c r="U132" s="21" t="str">
        <x:f>IF(OR(F132="Hard Case",F132="Bubble Hard Case"),"Confirmed: Hard Case",IF(F132="Twist Leather Case","Confirmed: Twist Leather Case",IF(F132="Z-Fold Case","Confirmed: Z-Fold Case",IF(COUNTIF('Cost Overrides'!$A$2:$A$17,B132)&gt;0,"Confirmed: Owner cost override",IF(S132&lt;=0,"Needs cost","Source cost")))))</x:f>
        <x:v>Confirmed: Hard Case</x:v>
      </x:c>
      <x:c r="V132" s="21" t="n">
        <x:v>49.95</x:v>
      </x:c>
      <x:c r="W132" s="21" t="n">
        <x:f>V132</x:f>
        <x:v>49.95</x:v>
      </x:c>
      <x:c r="X132" s="19" t="str">
        <x:v>NO</x:v>
      </x:c>
      <x:c r="Y132" s="19" t="str">
        <x:v>NO</x:v>
      </x:c>
      <x:c r="Z132" s="19" t="str">
        <x:v>42457325</x:v>
      </x:c>
      <x:c r="AA132" s="19" t="str">
        <x:v>50764025</x:v>
      </x:c>
      <x:c r="AB132" s="22" t="str">
        <x:f>IF(OR(M132&lt;&gt;"Approved",U132="Needs cost",O132=""),"Needs review","Ready after approval")</x:f>
        <x:v>Ready after approval</x:v>
      </x:c>
      <x:c r="AC132" s="22" t="str"/>
    </x:row>
    <x:row r="133">
      <x:c r="A133" s="19" t="str">
        <x:v>7607</x:v>
      </x:c>
      <x:c r="B133" s="19" t="str">
        <x:v>TM8-TAB-7607</x:v>
      </x:c>
      <x:c r="C133" s="19" t="str">
        <x:v>2999000076079</x:v>
      </x:c>
      <x:c r="D133" s="22" t="str">
        <x:v>iPad Hard Case Por 11 Inch Pink</x:v>
      </x:c>
      <x:c r="E133" s="22" t="str">
        <x:v>Hard Case for iPad Air 4/5 and iPad Pro 11 (2018-2022) - Pink</x:v>
      </x:c>
      <x:c r="F133" s="22" t="str">
        <x:v>Hard Case</x:v>
      </x:c>
      <x:c r="G133" s="22" t="str">
        <x:v>Pink</x:v>
      </x:c>
      <x:c r="H133" s="22" t="str">
        <x:v>TM8-GRP-IPAD-109-PRO11-LEGACY-HDC</x:v>
      </x:c>
      <x:c r="I133" s="22" t="str">
        <x:v>Hard Case for iPad Air 4/5 and iPad Pro 11 (2018-2022)</x:v>
      </x:c>
      <x:c r="J133" s="22" t="str">
        <x:v>iPad 10.9 inch/Pro 11</x:v>
      </x:c>
      <x:c r="K133" s="22" t="str">
        <x:v>IPAD-109-PRO11-LEGACY</x:v>
      </x:c>
      <x:c r="L133" s="22" t="str">
        <x:v>iPad Air 4/5 and iPad Pro 11 (2018-2022)</x:v>
      </x:c>
      <x:c r="M133" s="22" t="str">
        <x:v>Approved</x:v>
      </x:c>
      <x:c r="N133" s="22" t="str">
        <x:v>https://dghyt15qon7us.cloudfront.net/images/productTheme/Inventory/small/1670478553.jpg</x:v>
      </x:c>
      <x:c r="O133" s="22" t="str">
        <x:v>https://dghyt15qon7us.cloudfront.net/images/productTheme/Inventory/small/1670478494.jpg</x:v>
      </x:c>
      <x:c r="P133" s="19" t="str">
        <x:v>park-ridge</x:v>
      </x:c>
      <x:c r="Q133" s="20" t="n">
        <x:v>0</x:v>
      </x:c>
      <x:c r="R133" s="20" t="n">
        <x:f>MAX(0,Q133)</x:f>
        <x:v>0</x:v>
      </x:c>
      <x:c r="S133" s="21" t="n">
        <x:v>0</x:v>
      </x:c>
      <x:c r="T133" s="21" t="n">
        <x:f>IF(OR(F133="Hard Case",F133="Bubble Hard Case"),15,IF(F133="Twist Leather Case",5,IF(F133="Z-Fold Case",4,IFERROR(VLOOKUP(B133,'Cost Overrides'!$A$2:$B$17,2,FALSE),S133))))</x:f>
        <x:v>15</x:v>
      </x:c>
      <x:c r="U133" s="21" t="str">
        <x:f>IF(OR(F133="Hard Case",F133="Bubble Hard Case"),"Confirmed: Hard Case",IF(F133="Twist Leather Case","Confirmed: Twist Leather Case",IF(F133="Z-Fold Case","Confirmed: Z-Fold Case",IF(COUNTIF('Cost Overrides'!$A$2:$A$17,B133)&gt;0,"Confirmed: Owner cost override",IF(S133&lt;=0,"Needs cost","Source cost")))))</x:f>
        <x:v>Confirmed: Hard Case</x:v>
      </x:c>
      <x:c r="V133" s="21" t="n">
        <x:v>49.95</x:v>
      </x:c>
      <x:c r="W133" s="21" t="n">
        <x:f>V133</x:f>
        <x:v>49.95</x:v>
      </x:c>
      <x:c r="X133" s="19" t="str">
        <x:v>NO</x:v>
      </x:c>
      <x:c r="Y133" s="19" t="str">
        <x:v>NO</x:v>
      </x:c>
      <x:c r="Z133" s="19" t="str">
        <x:v>42457324</x:v>
      </x:c>
      <x:c r="AA133" s="19" t="str">
        <x:v>50764022</x:v>
      </x:c>
      <x:c r="AB133" s="22" t="str">
        <x:f>IF(OR(M133&lt;&gt;"Approved",U133="Needs cost",O133=""),"Needs review","Ready after approval")</x:f>
        <x:v>Ready after approval</x:v>
      </x:c>
      <x:c r="AC133" s="22" t="str"/>
    </x:row>
    <x:row r="134">
      <x:c r="A134" s="19" t="str">
        <x:v>7606</x:v>
      </x:c>
      <x:c r="B134" s="19" t="str">
        <x:v>TM8-TAB-7606</x:v>
      </x:c>
      <x:c r="C134" s="19" t="str">
        <x:v>2999000076062</x:v>
      </x:c>
      <x:c r="D134" s="22" t="str">
        <x:v>iPad Hard Case Por 11 Inch Red</x:v>
      </x:c>
      <x:c r="E134" s="22" t="str">
        <x:v>Hard Case for iPad Air 4/5 and iPad Pro 11 (2018-2022) - Red</x:v>
      </x:c>
      <x:c r="F134" s="22" t="str">
        <x:v>Hard Case</x:v>
      </x:c>
      <x:c r="G134" s="22" t="str">
        <x:v>Red</x:v>
      </x:c>
      <x:c r="H134" s="22" t="str">
        <x:v>TM8-GRP-IPAD-109-PRO11-LEGACY-HDC</x:v>
      </x:c>
      <x:c r="I134" s="22" t="str">
        <x:v>Hard Case for iPad Air 4/5 and iPad Pro 11 (2018-2022)</x:v>
      </x:c>
      <x:c r="J134" s="22" t="str">
        <x:v>iPad 10.9 inch/Pro 11</x:v>
      </x:c>
      <x:c r="K134" s="22" t="str">
        <x:v>IPAD-109-PRO11-LEGACY</x:v>
      </x:c>
      <x:c r="L134" s="22" t="str">
        <x:v>iPad Air 4/5 and iPad Pro 11 (2018-2022)</x:v>
      </x:c>
      <x:c r="M134" s="22" t="str">
        <x:v>Approved</x:v>
      </x:c>
      <x:c r="N134" s="22" t="str">
        <x:v>https://dghyt15qon7us.cloudfront.net/images/productTheme/Inventory/small/1670478525.jpg</x:v>
      </x:c>
      <x:c r="O134" s="22" t="str">
        <x:v>https://dghyt15qon7us.cloudfront.net/images/productTheme/Inventory/small/1670478494.jpg</x:v>
      </x:c>
      <x:c r="P134" s="19" t="str">
        <x:v>park-ridge</x:v>
      </x:c>
      <x:c r="Q134" s="20" t="n">
        <x:v>0</x:v>
      </x:c>
      <x:c r="R134" s="20" t="n">
        <x:f>MAX(0,Q134)</x:f>
        <x:v>0</x:v>
      </x:c>
      <x:c r="S134" s="21" t="n">
        <x:v>0</x:v>
      </x:c>
      <x:c r="T134" s="21" t="n">
        <x:f>IF(OR(F134="Hard Case",F134="Bubble Hard Case"),15,IF(F134="Twist Leather Case",5,IF(F134="Z-Fold Case",4,IFERROR(VLOOKUP(B134,'Cost Overrides'!$A$2:$B$17,2,FALSE),S134))))</x:f>
        <x:v>15</x:v>
      </x:c>
      <x:c r="U134" s="21" t="str">
        <x:f>IF(OR(F134="Hard Case",F134="Bubble Hard Case"),"Confirmed: Hard Case",IF(F134="Twist Leather Case","Confirmed: Twist Leather Case",IF(F134="Z-Fold Case","Confirmed: Z-Fold Case",IF(COUNTIF('Cost Overrides'!$A$2:$A$17,B134)&gt;0,"Confirmed: Owner cost override",IF(S134&lt;=0,"Needs cost","Source cost")))))</x:f>
        <x:v>Confirmed: Hard Case</x:v>
      </x:c>
      <x:c r="V134" s="21" t="n">
        <x:v>49.95</x:v>
      </x:c>
      <x:c r="W134" s="21" t="n">
        <x:f>V134</x:f>
        <x:v>49.95</x:v>
      </x:c>
      <x:c r="X134" s="19" t="str">
        <x:v>NO</x:v>
      </x:c>
      <x:c r="Y134" s="19" t="str">
        <x:v>NO</x:v>
      </x:c>
      <x:c r="Z134" s="19" t="str">
        <x:v>42457323</x:v>
      </x:c>
      <x:c r="AA134" s="19" t="str">
        <x:v>50764019</x:v>
      </x:c>
      <x:c r="AB134" s="22" t="str">
        <x:f>IF(OR(M134&lt;&gt;"Approved",U134="Needs cost",O134=""),"Needs review","Ready after approval")</x:f>
        <x:v>Ready after approval</x:v>
      </x:c>
      <x:c r="AC134" s="22" t="str"/>
    </x:row>
    <x:row r="135">
      <x:c r="A135" s="19" t="str">
        <x:v>7605</x:v>
      </x:c>
      <x:c r="B135" s="19" t="str">
        <x:v>TM8-TAB-7605</x:v>
      </x:c>
      <x:c r="C135" s="19" t="str">
        <x:v>2999000076055</x:v>
      </x:c>
      <x:c r="D135" s="22" t="str">
        <x:v>iPad Hard Case Por 11 Inch Blue</x:v>
      </x:c>
      <x:c r="E135" s="22" t="str">
        <x:v>Hard Case for iPad Air 4/5 and iPad Pro 11 (2018-2022) - Blue</x:v>
      </x:c>
      <x:c r="F135" s="22" t="str">
        <x:v>Hard Case</x:v>
      </x:c>
      <x:c r="G135" s="22" t="str">
        <x:v>Blue</x:v>
      </x:c>
      <x:c r="H135" s="22" t="str">
        <x:v>TM8-GRP-IPAD-109-PRO11-LEGACY-HDC</x:v>
      </x:c>
      <x:c r="I135" s="22" t="str">
        <x:v>Hard Case for iPad Air 4/5 and iPad Pro 11 (2018-2022)</x:v>
      </x:c>
      <x:c r="J135" s="22" t="str">
        <x:v>iPad 10.9 inch/Pro 11</x:v>
      </x:c>
      <x:c r="K135" s="22" t="str">
        <x:v>IPAD-109-PRO11-LEGACY</x:v>
      </x:c>
      <x:c r="L135" s="22" t="str">
        <x:v>iPad Air 4/5 and iPad Pro 11 (2018-2022)</x:v>
      </x:c>
      <x:c r="M135" s="22" t="str">
        <x:v>Approved</x:v>
      </x:c>
      <x:c r="N135" s="22" t="str">
        <x:v>https://dghyt15qon7us.cloudfront.net/images/productTheme/Inventory/small/1670478494.jpg</x:v>
      </x:c>
      <x:c r="O135" s="22" t="str">
        <x:v>https://dghyt15qon7us.cloudfront.net/images/productTheme/Inventory/small/1670478494.jpg</x:v>
      </x:c>
      <x:c r="P135" s="19" t="str">
        <x:v>park-ridge</x:v>
      </x:c>
      <x:c r="Q135" s="20" t="n">
        <x:v>1</x:v>
      </x:c>
      <x:c r="R135" s="20" t="n">
        <x:f>MAX(0,Q135)</x:f>
        <x:v>1</x:v>
      </x:c>
      <x:c r="S135" s="21" t="n">
        <x:v>0</x:v>
      </x:c>
      <x:c r="T135" s="21" t="n">
        <x:f>IF(OR(F135="Hard Case",F135="Bubble Hard Case"),15,IF(F135="Twist Leather Case",5,IF(F135="Z-Fold Case",4,IFERROR(VLOOKUP(B135,'Cost Overrides'!$A$2:$B$17,2,FALSE),S135))))</x:f>
        <x:v>15</x:v>
      </x:c>
      <x:c r="U135" s="21" t="str">
        <x:f>IF(OR(F135="Hard Case",F135="Bubble Hard Case"),"Confirmed: Hard Case",IF(F135="Twist Leather Case","Confirmed: Twist Leather Case",IF(F135="Z-Fold Case","Confirmed: Z-Fold Case",IF(COUNTIF('Cost Overrides'!$A$2:$A$17,B135)&gt;0,"Confirmed: Owner cost override",IF(S135&lt;=0,"Needs cost","Source cost")))))</x:f>
        <x:v>Confirmed: Hard Case</x:v>
      </x:c>
      <x:c r="V135" s="21" t="n">
        <x:v>49.95</x:v>
      </x:c>
      <x:c r="W135" s="21" t="n">
        <x:f>V135</x:f>
        <x:v>49.95</x:v>
      </x:c>
      <x:c r="X135" s="19" t="str">
        <x:v>NO</x:v>
      </x:c>
      <x:c r="Y135" s="19" t="str">
        <x:v>NO</x:v>
      </x:c>
      <x:c r="Z135" s="19" t="str">
        <x:v>42457322</x:v>
      </x:c>
      <x:c r="AA135" s="19" t="str">
        <x:v>50764016</x:v>
      </x:c>
      <x:c r="AB135" s="22" t="str">
        <x:f>IF(OR(M135&lt;&gt;"Approved",U135="Needs cost",O135=""),"Needs review","Ready after approval")</x:f>
        <x:v>Ready after approval</x:v>
      </x:c>
      <x:c r="AC135" s="22" t="str"/>
    </x:row>
    <x:row r="136">
      <x:c r="A136" s="19" t="str">
        <x:v>7604</x:v>
      </x:c>
      <x:c r="B136" s="19" t="str">
        <x:v>TM8-TAB-7604</x:v>
      </x:c>
      <x:c r="C136" s="19" t="str">
        <x:v>2999000076048</x:v>
      </x:c>
      <x:c r="D136" s="22" t="str">
        <x:v>iPad Hard Case Por 11 Inch Purple</x:v>
      </x:c>
      <x:c r="E136" s="22" t="str">
        <x:v>Hard Case for iPad Air 4/5 and iPad Pro 11 (2018-2022) - Purple</x:v>
      </x:c>
      <x:c r="F136" s="22" t="str">
        <x:v>Hard Case</x:v>
      </x:c>
      <x:c r="G136" s="22" t="str">
        <x:v>Purple</x:v>
      </x:c>
      <x:c r="H136" s="22" t="str">
        <x:v>TM8-GRP-IPAD-109-PRO11-LEGACY-HDC</x:v>
      </x:c>
      <x:c r="I136" s="22" t="str">
        <x:v>Hard Case for iPad Air 4/5 and iPad Pro 11 (2018-2022)</x:v>
      </x:c>
      <x:c r="J136" s="22" t="str">
        <x:v>iPad 10.9 inch/Pro 11</x:v>
      </x:c>
      <x:c r="K136" s="22" t="str">
        <x:v>IPAD-109-PRO11-LEGACY</x:v>
      </x:c>
      <x:c r="L136" s="22" t="str">
        <x:v>iPad Air 4/5 and iPad Pro 11 (2018-2022)</x:v>
      </x:c>
      <x:c r="M136" s="22" t="str">
        <x:v>Approved</x:v>
      </x:c>
      <x:c r="N136" s="22" t="str">
        <x:v>https://dghyt15qon7us.cloudfront.net/images/productTheme/Inventory/small/1670478469.jpg</x:v>
      </x:c>
      <x:c r="O136" s="22" t="str">
        <x:v>https://dghyt15qon7us.cloudfront.net/images/productTheme/Inventory/small/1670478494.jpg</x:v>
      </x:c>
      <x:c r="P136" s="19" t="str">
        <x:v>park-ridge</x:v>
      </x:c>
      <x:c r="Q136" s="20" t="n">
        <x:v>1</x:v>
      </x:c>
      <x:c r="R136" s="20" t="n">
        <x:f>MAX(0,Q136)</x:f>
        <x:v>1</x:v>
      </x:c>
      <x:c r="S136" s="21" t="n">
        <x:v>0</x:v>
      </x:c>
      <x:c r="T136" s="21" t="n">
        <x:f>IF(OR(F136="Hard Case",F136="Bubble Hard Case"),15,IF(F136="Twist Leather Case",5,IF(F136="Z-Fold Case",4,IFERROR(VLOOKUP(B136,'Cost Overrides'!$A$2:$B$17,2,FALSE),S136))))</x:f>
        <x:v>15</x:v>
      </x:c>
      <x:c r="U136" s="21" t="str">
        <x:f>IF(OR(F136="Hard Case",F136="Bubble Hard Case"),"Confirmed: Hard Case",IF(F136="Twist Leather Case","Confirmed: Twist Leather Case",IF(F136="Z-Fold Case","Confirmed: Z-Fold Case",IF(COUNTIF('Cost Overrides'!$A$2:$A$17,B136)&gt;0,"Confirmed: Owner cost override",IF(S136&lt;=0,"Needs cost","Source cost")))))</x:f>
        <x:v>Confirmed: Hard Case</x:v>
      </x:c>
      <x:c r="V136" s="21" t="n">
        <x:v>49.95</x:v>
      </x:c>
      <x:c r="W136" s="21" t="n">
        <x:f>V136</x:f>
        <x:v>49.95</x:v>
      </x:c>
      <x:c r="X136" s="19" t="str">
        <x:v>NO</x:v>
      </x:c>
      <x:c r="Y136" s="19" t="str">
        <x:v>NO</x:v>
      </x:c>
      <x:c r="Z136" s="19" t="str">
        <x:v>42457321</x:v>
      </x:c>
      <x:c r="AA136" s="19" t="str">
        <x:v>50764013</x:v>
      </x:c>
      <x:c r="AB136" s="22" t="str">
        <x:f>IF(OR(M136&lt;&gt;"Approved",U136="Needs cost",O136=""),"Needs review","Ready after approval")</x:f>
        <x:v>Ready after approval</x:v>
      </x:c>
      <x:c r="AC136" s="22" t="str"/>
    </x:row>
    <x:row r="137">
      <x:c r="A137" s="19" t="str">
        <x:v>7602</x:v>
      </x:c>
      <x:c r="B137" s="19" t="str">
        <x:v>TM8-TAB-7602</x:v>
      </x:c>
      <x:c r="C137" s="19" t="str">
        <x:v>2999000076024</x:v>
      </x:c>
      <x:c r="D137" s="22" t="str">
        <x:v>iPad Hard Case Por 11 Inch Green</x:v>
      </x:c>
      <x:c r="E137" s="22" t="str">
        <x:v>Hard Case for iPad Air 4/5 and iPad Pro 11 (2018-2022) - Green</x:v>
      </x:c>
      <x:c r="F137" s="22" t="str">
        <x:v>Hard Case</x:v>
      </x:c>
      <x:c r="G137" s="22" t="str">
        <x:v>Green</x:v>
      </x:c>
      <x:c r="H137" s="22" t="str">
        <x:v>TM8-GRP-IPAD-109-PRO11-LEGACY-HDC</x:v>
      </x:c>
      <x:c r="I137" s="22" t="str">
        <x:v>Hard Case for iPad Air 4/5 and iPad Pro 11 (2018-2022)</x:v>
      </x:c>
      <x:c r="J137" s="22" t="str">
        <x:v>iPad 10.9 inch/Pro 11</x:v>
      </x:c>
      <x:c r="K137" s="22" t="str">
        <x:v>IPAD-109-PRO11-LEGACY</x:v>
      </x:c>
      <x:c r="L137" s="22" t="str">
        <x:v>iPad Air 4/5 and iPad Pro 11 (2018-2022)</x:v>
      </x:c>
      <x:c r="M137" s="22" t="str">
        <x:v>Approved</x:v>
      </x:c>
      <x:c r="N137" s="22" t="str">
        <x:v>https://dghyt15qon7us.cloudfront.net/images/productTheme/Inventory/small/1670478388.jpg</x:v>
      </x:c>
      <x:c r="O137" s="22" t="str">
        <x:v>https://dghyt15qon7us.cloudfront.net/images/productTheme/Inventory/small/1670478494.jpg</x:v>
      </x:c>
      <x:c r="P137" s="19" t="str">
        <x:v>park-ridge</x:v>
      </x:c>
      <x:c r="Q137" s="20" t="n">
        <x:v>4</x:v>
      </x:c>
      <x:c r="R137" s="20" t="n">
        <x:f>MAX(0,Q137)</x:f>
        <x:v>4</x:v>
      </x:c>
      <x:c r="S137" s="21" t="n">
        <x:v>0</x:v>
      </x:c>
      <x:c r="T137" s="21" t="n">
        <x:f>IF(OR(F137="Hard Case",F137="Bubble Hard Case"),15,IF(F137="Twist Leather Case",5,IF(F137="Z-Fold Case",4,IFERROR(VLOOKUP(B137,'Cost Overrides'!$A$2:$B$17,2,FALSE),S137))))</x:f>
        <x:v>15</x:v>
      </x:c>
      <x:c r="U137" s="21" t="str">
        <x:f>IF(OR(F137="Hard Case",F137="Bubble Hard Case"),"Confirmed: Hard Case",IF(F137="Twist Leather Case","Confirmed: Twist Leather Case",IF(F137="Z-Fold Case","Confirmed: Z-Fold Case",IF(COUNTIF('Cost Overrides'!$A$2:$A$17,B137)&gt;0,"Confirmed: Owner cost override",IF(S137&lt;=0,"Needs cost","Source cost")))))</x:f>
        <x:v>Confirmed: Hard Case</x:v>
      </x:c>
      <x:c r="V137" s="21" t="n">
        <x:v>49.95</x:v>
      </x:c>
      <x:c r="W137" s="21" t="n">
        <x:f>V137</x:f>
        <x:v>49.95</x:v>
      </x:c>
      <x:c r="X137" s="19" t="str">
        <x:v>NO</x:v>
      </x:c>
      <x:c r="Y137" s="19" t="str">
        <x:v>NO</x:v>
      </x:c>
      <x:c r="Z137" s="19" t="str">
        <x:v>42457319</x:v>
      </x:c>
      <x:c r="AA137" s="19" t="str">
        <x:v>50764007</x:v>
      </x:c>
      <x:c r="AB137" s="22" t="str">
        <x:f>IF(OR(M137&lt;&gt;"Approved",U137="Needs cost",O137=""),"Needs review","Ready after approval")</x:f>
        <x:v>Ready after approval</x:v>
      </x:c>
      <x:c r="AC137" s="22" t="str"/>
    </x:row>
    <x:row r="138">
      <x:c r="A138" s="19" t="str">
        <x:v>7517</x:v>
      </x:c>
      <x:c r="B138" s="19" t="str">
        <x:v>TM8-TAB-7517</x:v>
      </x:c>
      <x:c r="C138" s="19" t="str">
        <x:v>2999000075171</x:v>
      </x:c>
      <x:c r="D138" s="22" t="str">
        <x:v>Twist Leather Case 10th Gen Brown</x:v>
      </x:c>
      <x:c r="E138" s="22" t="str">
        <x:v>Twist Leather Case for iPad 10th Gen 10.9-inch - Brown</x:v>
      </x:c>
      <x:c r="F138" s="22" t="str">
        <x:v>Twist Leather Case</x:v>
      </x:c>
      <x:c r="G138" s="22" t="str">
        <x:v>Brown</x:v>
      </x:c>
      <x:c r="H138" s="22" t="str">
        <x:v>TM8-GRP-IPAD-10-GEN10-TLC</x:v>
      </x:c>
      <x:c r="I138" s="22" t="str">
        <x:v>Twist Leather Case for iPad 10th Gen 10.9-inch</x:v>
      </x:c>
      <x:c r="J138" s="22" t="str">
        <x:v>iPad 10th Gen 10.9 Inch</x:v>
      </x:c>
      <x:c r="K138" s="22" t="str">
        <x:v>IPAD-10-GEN10</x:v>
      </x:c>
      <x:c r="L138" s="22" t="str">
        <x:v>iPad 10th Gen 10.9-inch</x:v>
      </x:c>
      <x:c r="M138" s="22" t="str">
        <x:v>Proposed</x:v>
      </x:c>
      <x:c r="N138" s="22" t="str">
        <x:v>https://dghyt15qon7us.cloudfront.net/images/productTheme/Inventory/small/1669510881.jpg</x:v>
      </x:c>
      <x:c r="O138" s="22" t="str">
        <x:v>https://dghyt15qon7us.cloudfront.net/images/productTheme/Inventory/small/1669510359.jpg</x:v>
      </x:c>
      <x:c r="P138" s="19" t="str">
        <x:v>park-ridge</x:v>
      </x:c>
      <x:c r="Q138" s="20" t="n">
        <x:v>0</x:v>
      </x:c>
      <x:c r="R138" s="20" t="n">
        <x:f>MAX(0,Q138)</x:f>
        <x:v>0</x:v>
      </x:c>
      <x:c r="S138" s="21" t="n">
        <x:v>3</x:v>
      </x:c>
      <x:c r="T138" s="21" t="n">
        <x:f>IF(OR(F138="Hard Case",F138="Bubble Hard Case"),15,IF(F138="Twist Leather Case",5,IF(F138="Z-Fold Case",4,IFERROR(VLOOKUP(B138,'Cost Overrides'!$A$2:$B$17,2,FALSE),S138))))</x:f>
        <x:v>5</x:v>
      </x:c>
      <x:c r="U138" s="21" t="str">
        <x:f>IF(OR(F138="Hard Case",F138="Bubble Hard Case"),"Confirmed: Hard Case",IF(F138="Twist Leather Case","Confirmed: Twist Leather Case",IF(F138="Z-Fold Case","Confirmed: Z-Fold Case",IF(COUNTIF('Cost Overrides'!$A$2:$A$17,B138)&gt;0,"Confirmed: Owner cost override",IF(S138&lt;=0,"Needs cost","Source cost")))))</x:f>
        <x:v>Confirmed: Twist Leather Case</x:v>
      </x:c>
      <x:c r="V138" s="21" t="n">
        <x:v>39.95</x:v>
      </x:c>
      <x:c r="W138" s="21" t="n">
        <x:f>V138</x:f>
        <x:v>39.95</x:v>
      </x:c>
      <x:c r="X138" s="19" t="str">
        <x:v>NO</x:v>
      </x:c>
      <x:c r="Y138" s="19" t="str">
        <x:v>NO</x:v>
      </x:c>
      <x:c r="Z138" s="19" t="str">
        <x:v>42457233</x:v>
      </x:c>
      <x:c r="AA138" s="19" t="str">
        <x:v>50757365</x:v>
      </x:c>
      <x:c r="AB138" s="22" t="str">
        <x:f>IF(OR(M138&lt;&gt;"Approved",U138="Needs cost",O138=""),"Needs review","Ready after approval")</x:f>
        <x:v>Needs review</x:v>
      </x:c>
      <x:c r="AC138" s="22" t="str"/>
    </x:row>
    <x:row r="139">
      <x:c r="A139" s="19" t="str">
        <x:v>7516</x:v>
      </x:c>
      <x:c r="B139" s="19" t="str">
        <x:v>TM8-TAB-7516</x:v>
      </x:c>
      <x:c r="C139" s="19" t="str">
        <x:v>2999000075164</x:v>
      </x:c>
      <x:c r="D139" s="22" t="str">
        <x:v>Twist Leather Case 10th Gen  Pink</x:v>
      </x:c>
      <x:c r="E139" s="22" t="str">
        <x:v>Twist Leather Case for iPad 10th Gen 10.9-inch - Pink</x:v>
      </x:c>
      <x:c r="F139" s="22" t="str">
        <x:v>Twist Leather Case</x:v>
      </x:c>
      <x:c r="G139" s="22" t="str">
        <x:v>Pink</x:v>
      </x:c>
      <x:c r="H139" s="22" t="str">
        <x:v>TM8-GRP-IPAD-10-GEN10-TLC</x:v>
      </x:c>
      <x:c r="I139" s="22" t="str">
        <x:v>Twist Leather Case for iPad 10th Gen 10.9-inch</x:v>
      </x:c>
      <x:c r="J139" s="22" t="str">
        <x:v>iPad 10th Gen 10.9 Inch</x:v>
      </x:c>
      <x:c r="K139" s="22" t="str">
        <x:v>IPAD-10-GEN10</x:v>
      </x:c>
      <x:c r="L139" s="22" t="str">
        <x:v>iPad 10th Gen 10.9-inch</x:v>
      </x:c>
      <x:c r="M139" s="22" t="str">
        <x:v>Proposed</x:v>
      </x:c>
      <x:c r="N139" s="22" t="str">
        <x:v>https://dghyt15qon7us.cloudfront.net/images/productTheme/Inventory/small/1669510854.jpg</x:v>
      </x:c>
      <x:c r="O139" s="22" t="str">
        <x:v>https://dghyt15qon7us.cloudfront.net/images/productTheme/Inventory/small/1669510359.jpg</x:v>
      </x:c>
      <x:c r="P139" s="19" t="str">
        <x:v>park-ridge</x:v>
      </x:c>
      <x:c r="Q139" s="20" t="n">
        <x:v>1</x:v>
      </x:c>
      <x:c r="R139" s="20" t="n">
        <x:f>MAX(0,Q139)</x:f>
        <x:v>1</x:v>
      </x:c>
      <x:c r="S139" s="21" t="n">
        <x:v>0</x:v>
      </x:c>
      <x:c r="T139" s="21" t="n">
        <x:f>IF(OR(F139="Hard Case",F139="Bubble Hard Case"),15,IF(F139="Twist Leather Case",5,IF(F139="Z-Fold Case",4,IFERROR(VLOOKUP(B139,'Cost Overrides'!$A$2:$B$17,2,FALSE),S139))))</x:f>
        <x:v>5</x:v>
      </x:c>
      <x:c r="U139" s="21" t="str">
        <x:f>IF(OR(F139="Hard Case",F139="Bubble Hard Case"),"Confirmed: Hard Case",IF(F139="Twist Leather Case","Confirmed: Twist Leather Case",IF(F139="Z-Fold Case","Confirmed: Z-Fold Case",IF(COUNTIF('Cost Overrides'!$A$2:$A$17,B139)&gt;0,"Confirmed: Owner cost override",IF(S139&lt;=0,"Needs cost","Source cost")))))</x:f>
        <x:v>Confirmed: Twist Leather Case</x:v>
      </x:c>
      <x:c r="V139" s="21" t="n">
        <x:v>39.95</x:v>
      </x:c>
      <x:c r="W139" s="21" t="n">
        <x:f>V139</x:f>
        <x:v>39.95</x:v>
      </x:c>
      <x:c r="X139" s="19" t="str">
        <x:v>NO</x:v>
      </x:c>
      <x:c r="Y139" s="19" t="str">
        <x:v>NO</x:v>
      </x:c>
      <x:c r="Z139" s="19" t="str">
        <x:v>42457232</x:v>
      </x:c>
      <x:c r="AA139" s="19" t="str">
        <x:v>50757363</x:v>
      </x:c>
      <x:c r="AB139" s="22" t="str">
        <x:f>IF(OR(M139&lt;&gt;"Approved",U139="Needs cost",O139=""),"Needs review","Ready after approval")</x:f>
        <x:v>Needs review</x:v>
      </x:c>
      <x:c r="AC139" s="22" t="str"/>
    </x:row>
    <x:row r="140">
      <x:c r="A140" s="19" t="str">
        <x:v>7515</x:v>
      </x:c>
      <x:c r="B140" s="19" t="str">
        <x:v>TM8-TAB-7515</x:v>
      </x:c>
      <x:c r="C140" s="19" t="str">
        <x:v>2999000075157</x:v>
      </x:c>
      <x:c r="D140" s="22" t="str">
        <x:v>Twist Leather Case 10th Gen Rose Gold</x:v>
      </x:c>
      <x:c r="E140" s="22" t="str">
        <x:v>Twist Leather Case for iPad 10th Gen 10.9-inch - Rose Gold</x:v>
      </x:c>
      <x:c r="F140" s="22" t="str">
        <x:v>Twist Leather Case</x:v>
      </x:c>
      <x:c r="G140" s="22" t="str">
        <x:v>Rose Gold</x:v>
      </x:c>
      <x:c r="H140" s="22" t="str">
        <x:v>TM8-GRP-IPAD-10-GEN10-TLC</x:v>
      </x:c>
      <x:c r="I140" s="22" t="str">
        <x:v>Twist Leather Case for iPad 10th Gen 10.9-inch</x:v>
      </x:c>
      <x:c r="J140" s="22" t="str">
        <x:v>iPad 10th Gen 10.9 Inch</x:v>
      </x:c>
      <x:c r="K140" s="22" t="str">
        <x:v>IPAD-10-GEN10</x:v>
      </x:c>
      <x:c r="L140" s="22" t="str">
        <x:v>iPad 10th Gen 10.9-inch</x:v>
      </x:c>
      <x:c r="M140" s="22" t="str">
        <x:v>Proposed</x:v>
      </x:c>
      <x:c r="N140" s="22" t="str">
        <x:v>https://dghyt15qon7us.cloudfront.net/images/productTheme/Inventory/small/1669510817.jpg</x:v>
      </x:c>
      <x:c r="O140" s="22" t="str">
        <x:v>https://dghyt15qon7us.cloudfront.net/images/productTheme/Inventory/small/1669510359.jpg</x:v>
      </x:c>
      <x:c r="P140" s="19" t="str">
        <x:v>park-ridge</x:v>
      </x:c>
      <x:c r="Q140" s="20" t="n">
        <x:v>1</x:v>
      </x:c>
      <x:c r="R140" s="20" t="n">
        <x:f>MAX(0,Q140)</x:f>
        <x:v>1</x:v>
      </x:c>
      <x:c r="S140" s="21" t="n">
        <x:v>0</x:v>
      </x:c>
      <x:c r="T140" s="21" t="n">
        <x:f>IF(OR(F140="Hard Case",F140="Bubble Hard Case"),15,IF(F140="Twist Leather Case",5,IF(F140="Z-Fold Case",4,IFERROR(VLOOKUP(B140,'Cost Overrides'!$A$2:$B$17,2,FALSE),S140))))</x:f>
        <x:v>5</x:v>
      </x:c>
      <x:c r="U140" s="21" t="str">
        <x:f>IF(OR(F140="Hard Case",F140="Bubble Hard Case"),"Confirmed: Hard Case",IF(F140="Twist Leather Case","Confirmed: Twist Leather Case",IF(F140="Z-Fold Case","Confirmed: Z-Fold Case",IF(COUNTIF('Cost Overrides'!$A$2:$A$17,B140)&gt;0,"Confirmed: Owner cost override",IF(S140&lt;=0,"Needs cost","Source cost")))))</x:f>
        <x:v>Confirmed: Twist Leather Case</x:v>
      </x:c>
      <x:c r="V140" s="21" t="n">
        <x:v>39.95</x:v>
      </x:c>
      <x:c r="W140" s="21" t="n">
        <x:f>V140</x:f>
        <x:v>39.95</x:v>
      </x:c>
      <x:c r="X140" s="19" t="str">
        <x:v>NO</x:v>
      </x:c>
      <x:c r="Y140" s="19" t="str">
        <x:v>NO</x:v>
      </x:c>
      <x:c r="Z140" s="19" t="str">
        <x:v>42457231</x:v>
      </x:c>
      <x:c r="AA140" s="19" t="str">
        <x:v>50757361</x:v>
      </x:c>
      <x:c r="AB140" s="22" t="str">
        <x:f>IF(OR(M140&lt;&gt;"Approved",U140="Needs cost",O140=""),"Needs review","Ready after approval")</x:f>
        <x:v>Needs review</x:v>
      </x:c>
      <x:c r="AC140" s="22" t="str"/>
    </x:row>
    <x:row r="141">
      <x:c r="A141" s="19" t="str">
        <x:v>7514</x:v>
      </x:c>
      <x:c r="B141" s="19" t="str">
        <x:v>TM8-TAB-7514</x:v>
      </x:c>
      <x:c r="C141" s="19" t="str">
        <x:v>2999000075140</x:v>
      </x:c>
      <x:c r="D141" s="22" t="str">
        <x:v>Twist Leather Case 10th Gen Blue</x:v>
      </x:c>
      <x:c r="E141" s="22" t="str">
        <x:v>Twist Leather Case for iPad 10th Gen 10.9-inch - Blue</x:v>
      </x:c>
      <x:c r="F141" s="22" t="str">
        <x:v>Twist Leather Case</x:v>
      </x:c>
      <x:c r="G141" s="22" t="str">
        <x:v>Blue</x:v>
      </x:c>
      <x:c r="H141" s="22" t="str">
        <x:v>TM8-GRP-IPAD-10-GEN10-TLC</x:v>
      </x:c>
      <x:c r="I141" s="22" t="str">
        <x:v>Twist Leather Case for iPad 10th Gen 10.9-inch</x:v>
      </x:c>
      <x:c r="J141" s="22" t="str">
        <x:v>iPad 10th Gen 10.9 Inch</x:v>
      </x:c>
      <x:c r="K141" s="22" t="str">
        <x:v>IPAD-10-GEN10</x:v>
      </x:c>
      <x:c r="L141" s="22" t="str">
        <x:v>iPad 10th Gen 10.9-inch</x:v>
      </x:c>
      <x:c r="M141" s="22" t="str">
        <x:v>Proposed</x:v>
      </x:c>
      <x:c r="N141" s="22" t="str">
        <x:v>https://dghyt15qon7us.cloudfront.net/images/productTheme/Inventory/small/1669510779.jpg</x:v>
      </x:c>
      <x:c r="O141" s="22" t="str">
        <x:v>https://dghyt15qon7us.cloudfront.net/images/productTheme/Inventory/small/1669510359.jpg</x:v>
      </x:c>
      <x:c r="P141" s="19" t="str">
        <x:v>park-ridge</x:v>
      </x:c>
      <x:c r="Q141" s="20" t="n">
        <x:v>-1</x:v>
      </x:c>
      <x:c r="R141" s="20" t="n">
        <x:f>MAX(0,Q141)</x:f>
        <x:v>0</x:v>
      </x:c>
      <x:c r="S141" s="21" t="n">
        <x:v>0</x:v>
      </x:c>
      <x:c r="T141" s="21" t="n">
        <x:f>IF(OR(F141="Hard Case",F141="Bubble Hard Case"),15,IF(F141="Twist Leather Case",5,IF(F141="Z-Fold Case",4,IFERROR(VLOOKUP(B141,'Cost Overrides'!$A$2:$B$17,2,FALSE),S141))))</x:f>
        <x:v>5</x:v>
      </x:c>
      <x:c r="U141" s="21" t="str">
        <x:f>IF(OR(F141="Hard Case",F141="Bubble Hard Case"),"Confirmed: Hard Case",IF(F141="Twist Leather Case","Confirmed: Twist Leather Case",IF(F141="Z-Fold Case","Confirmed: Z-Fold Case",IF(COUNTIF('Cost Overrides'!$A$2:$A$17,B141)&gt;0,"Confirmed: Owner cost override",IF(S141&lt;=0,"Needs cost","Source cost")))))</x:f>
        <x:v>Confirmed: Twist Leather Case</x:v>
      </x:c>
      <x:c r="V141" s="21" t="n">
        <x:v>39.95</x:v>
      </x:c>
      <x:c r="W141" s="21" t="n">
        <x:f>V141</x:f>
        <x:v>39.95</x:v>
      </x:c>
      <x:c r="X141" s="19" t="str">
        <x:v>NO</x:v>
      </x:c>
      <x:c r="Y141" s="19" t="str">
        <x:v>NO</x:v>
      </x:c>
      <x:c r="Z141" s="19" t="str">
        <x:v>42457230</x:v>
      </x:c>
      <x:c r="AA141" s="19" t="str">
        <x:v>50757359</x:v>
      </x:c>
      <x:c r="AB141" s="22" t="str">
        <x:f>IF(OR(M141&lt;&gt;"Approved",U141="Needs cost",O141=""),"Needs review","Ready after approval")</x:f>
        <x:v>Needs review</x:v>
      </x:c>
      <x:c r="AC141" s="22" t="str">
        <x:v>Negative source stock clipped to zero.</x:v>
      </x:c>
    </x:row>
    <x:row r="142">
      <x:c r="A142" s="19" t="str">
        <x:v>7513</x:v>
      </x:c>
      <x:c r="B142" s="19" t="str">
        <x:v>TM8-TAB-7513</x:v>
      </x:c>
      <x:c r="C142" s="19" t="str">
        <x:v>2999000075133</x:v>
      </x:c>
      <x:c r="D142" s="22" t="str">
        <x:v>Twist Leather Case 10th Gen Green</x:v>
      </x:c>
      <x:c r="E142" s="22" t="str">
        <x:v>Twist Leather Case for iPad 10th Gen 10.9-inch - Green</x:v>
      </x:c>
      <x:c r="F142" s="22" t="str">
        <x:v>Twist Leather Case</x:v>
      </x:c>
      <x:c r="G142" s="22" t="str">
        <x:v>Green</x:v>
      </x:c>
      <x:c r="H142" s="22" t="str">
        <x:v>TM8-GRP-IPAD-10-GEN10-TLC</x:v>
      </x:c>
      <x:c r="I142" s="22" t="str">
        <x:v>Twist Leather Case for iPad 10th Gen 10.9-inch</x:v>
      </x:c>
      <x:c r="J142" s="22" t="str">
        <x:v>iPad 10th Gen 10.9 Inch</x:v>
      </x:c>
      <x:c r="K142" s="22" t="str">
        <x:v>IPAD-10-GEN10</x:v>
      </x:c>
      <x:c r="L142" s="22" t="str">
        <x:v>iPad 10th Gen 10.9-inch</x:v>
      </x:c>
      <x:c r="M142" s="22" t="str">
        <x:v>Proposed</x:v>
      </x:c>
      <x:c r="N142" s="22" t="str">
        <x:v>https://dghyt15qon7us.cloudfront.net/images/productTheme/Inventory/small/1669510642.jpg</x:v>
      </x:c>
      <x:c r="O142" s="22" t="str">
        <x:v>https://dghyt15qon7us.cloudfront.net/images/productTheme/Inventory/small/1669510359.jpg</x:v>
      </x:c>
      <x:c r="P142" s="19" t="str">
        <x:v>park-ridge</x:v>
      </x:c>
      <x:c r="Q142" s="20" t="n">
        <x:v>2</x:v>
      </x:c>
      <x:c r="R142" s="20" t="n">
        <x:f>MAX(0,Q142)</x:f>
        <x:v>2</x:v>
      </x:c>
      <x:c r="S142" s="21" t="n">
        <x:v>0</x:v>
      </x:c>
      <x:c r="T142" s="21" t="n">
        <x:f>IF(OR(F142="Hard Case",F142="Bubble Hard Case"),15,IF(F142="Twist Leather Case",5,IF(F142="Z-Fold Case",4,IFERROR(VLOOKUP(B142,'Cost Overrides'!$A$2:$B$17,2,FALSE),S142))))</x:f>
        <x:v>5</x:v>
      </x:c>
      <x:c r="U142" s="21" t="str">
        <x:f>IF(OR(F142="Hard Case",F142="Bubble Hard Case"),"Confirmed: Hard Case",IF(F142="Twist Leather Case","Confirmed: Twist Leather Case",IF(F142="Z-Fold Case","Confirmed: Z-Fold Case",IF(COUNTIF('Cost Overrides'!$A$2:$A$17,B142)&gt;0,"Confirmed: Owner cost override",IF(S142&lt;=0,"Needs cost","Source cost")))))</x:f>
        <x:v>Confirmed: Twist Leather Case</x:v>
      </x:c>
      <x:c r="V142" s="21" t="n">
        <x:v>39.95</x:v>
      </x:c>
      <x:c r="W142" s="21" t="n">
        <x:f>V142</x:f>
        <x:v>39.95</x:v>
      </x:c>
      <x:c r="X142" s="19" t="str">
        <x:v>NO</x:v>
      </x:c>
      <x:c r="Y142" s="19" t="str">
        <x:v>NO</x:v>
      </x:c>
      <x:c r="Z142" s="19" t="str">
        <x:v>42457229</x:v>
      </x:c>
      <x:c r="AA142" s="19" t="str">
        <x:v>50757357</x:v>
      </x:c>
      <x:c r="AB142" s="22" t="str">
        <x:f>IF(OR(M142&lt;&gt;"Approved",U142="Needs cost",O142=""),"Needs review","Ready after approval")</x:f>
        <x:v>Needs review</x:v>
      </x:c>
      <x:c r="AC142" s="22" t="str"/>
    </x:row>
    <x:row r="143">
      <x:c r="A143" s="19" t="str">
        <x:v>7512</x:v>
      </x:c>
      <x:c r="B143" s="19" t="str">
        <x:v>TM8-TAB-7512</x:v>
      </x:c>
      <x:c r="C143" s="19" t="str">
        <x:v>2999000075126</x:v>
      </x:c>
      <x:c r="D143" s="22" t="str">
        <x:v>Twist Leather Case 10 Gen Red</x:v>
      </x:c>
      <x:c r="E143" s="22" t="str">
        <x:v>Twist Leather Case for iPad 10th Gen 10.9-inch - Red</x:v>
      </x:c>
      <x:c r="F143" s="22" t="str">
        <x:v>Twist Leather Case</x:v>
      </x:c>
      <x:c r="G143" s="22" t="str">
        <x:v>Red</x:v>
      </x:c>
      <x:c r="H143" s="22" t="str">
        <x:v>TM8-GRP-IPAD-10-GEN10-TLC</x:v>
      </x:c>
      <x:c r="I143" s="22" t="str">
        <x:v>Twist Leather Case for iPad 10th Gen 10.9-inch</x:v>
      </x:c>
      <x:c r="J143" s="22" t="str">
        <x:v>iPad 10th Gen 10.9 Inch</x:v>
      </x:c>
      <x:c r="K143" s="22" t="str">
        <x:v>IPAD-10-GEN10</x:v>
      </x:c>
      <x:c r="L143" s="22" t="str">
        <x:v>iPad 10th Gen 10.9-inch</x:v>
      </x:c>
      <x:c r="M143" s="22" t="str">
        <x:v>Proposed</x:v>
      </x:c>
      <x:c r="N143" s="22" t="str">
        <x:v>https://dghyt15qon7us.cloudfront.net/images/productTheme/Inventory/small/1669510405.jpg</x:v>
      </x:c>
      <x:c r="O143" s="22" t="str">
        <x:v>https://dghyt15qon7us.cloudfront.net/images/productTheme/Inventory/small/1669510359.jpg</x:v>
      </x:c>
      <x:c r="P143" s="19" t="str">
        <x:v>park-ridge</x:v>
      </x:c>
      <x:c r="Q143" s="20" t="n">
        <x:v>6</x:v>
      </x:c>
      <x:c r="R143" s="20" t="n">
        <x:f>MAX(0,Q143)</x:f>
        <x:v>6</x:v>
      </x:c>
      <x:c r="S143" s="21" t="n">
        <x:v>0</x:v>
      </x:c>
      <x:c r="T143" s="21" t="n">
        <x:f>IF(OR(F143="Hard Case",F143="Bubble Hard Case"),15,IF(F143="Twist Leather Case",5,IF(F143="Z-Fold Case",4,IFERROR(VLOOKUP(B143,'Cost Overrides'!$A$2:$B$17,2,FALSE),S143))))</x:f>
        <x:v>5</x:v>
      </x:c>
      <x:c r="U143" s="21" t="str">
        <x:f>IF(OR(F143="Hard Case",F143="Bubble Hard Case"),"Confirmed: Hard Case",IF(F143="Twist Leather Case","Confirmed: Twist Leather Case",IF(F143="Z-Fold Case","Confirmed: Z-Fold Case",IF(COUNTIF('Cost Overrides'!$A$2:$A$17,B143)&gt;0,"Confirmed: Owner cost override",IF(S143&lt;=0,"Needs cost","Source cost")))))</x:f>
        <x:v>Confirmed: Twist Leather Case</x:v>
      </x:c>
      <x:c r="V143" s="21" t="n">
        <x:v>39.95</x:v>
      </x:c>
      <x:c r="W143" s="21" t="n">
        <x:f>V143</x:f>
        <x:v>39.95</x:v>
      </x:c>
      <x:c r="X143" s="19" t="str">
        <x:v>NO</x:v>
      </x:c>
      <x:c r="Y143" s="19" t="str">
        <x:v>NO</x:v>
      </x:c>
      <x:c r="Z143" s="19" t="str">
        <x:v>42457228</x:v>
      </x:c>
      <x:c r="AA143" s="19" t="str">
        <x:v>50757355</x:v>
      </x:c>
      <x:c r="AB143" s="22" t="str">
        <x:f>IF(OR(M143&lt;&gt;"Approved",U143="Needs cost",O143=""),"Needs review","Ready after approval")</x:f>
        <x:v>Needs review</x:v>
      </x:c>
      <x:c r="AC143" s="22" t="str"/>
    </x:row>
    <x:row r="144">
      <x:c r="A144" s="19" t="str">
        <x:v>7511</x:v>
      </x:c>
      <x:c r="B144" s="19" t="str">
        <x:v>TM8-TAB-7511</x:v>
      </x:c>
      <x:c r="C144" s="19" t="str">
        <x:v>2999000075119</x:v>
      </x:c>
      <x:c r="D144" s="22" t="str">
        <x:v>Twist Leather Case 10th Gen Black</x:v>
      </x:c>
      <x:c r="E144" s="22" t="str">
        <x:v>Twist Leather Case for iPad 10th Gen 10.9-inch - Black</x:v>
      </x:c>
      <x:c r="F144" s="22" t="str">
        <x:v>Twist Leather Case</x:v>
      </x:c>
      <x:c r="G144" s="22" t="str">
        <x:v>Black</x:v>
      </x:c>
      <x:c r="H144" s="22" t="str">
        <x:v>TM8-GRP-IPAD-10-GEN10-TLC</x:v>
      </x:c>
      <x:c r="I144" s="22" t="str">
        <x:v>Twist Leather Case for iPad 10th Gen 10.9-inch</x:v>
      </x:c>
      <x:c r="J144" s="22" t="str">
        <x:v>iPad 10th Gen 10.9 Inch</x:v>
      </x:c>
      <x:c r="K144" s="22" t="str">
        <x:v>IPAD-10-GEN10</x:v>
      </x:c>
      <x:c r="L144" s="22" t="str">
        <x:v>iPad 10th Gen 10.9-inch</x:v>
      </x:c>
      <x:c r="M144" s="22" t="str">
        <x:v>Proposed</x:v>
      </x:c>
      <x:c r="N144" s="22" t="str">
        <x:v>https://dghyt15qon7us.cloudfront.net/images/productTheme/Inventory/small/1669510359.jpg</x:v>
      </x:c>
      <x:c r="O144" s="22" t="str">
        <x:v>https://dghyt15qon7us.cloudfront.net/images/productTheme/Inventory/small/1669510359.jpg</x:v>
      </x:c>
      <x:c r="P144" s="19" t="str">
        <x:v>park-ridge</x:v>
      </x:c>
      <x:c r="Q144" s="20" t="n">
        <x:v>0</x:v>
      </x:c>
      <x:c r="R144" s="20" t="n">
        <x:f>MAX(0,Q144)</x:f>
        <x:v>0</x:v>
      </x:c>
      <x:c r="S144" s="21" t="n">
        <x:v>3</x:v>
      </x:c>
      <x:c r="T144" s="21" t="n">
        <x:f>IF(OR(F144="Hard Case",F144="Bubble Hard Case"),15,IF(F144="Twist Leather Case",5,IF(F144="Z-Fold Case",4,IFERROR(VLOOKUP(B144,'Cost Overrides'!$A$2:$B$17,2,FALSE),S144))))</x:f>
        <x:v>5</x:v>
      </x:c>
      <x:c r="U144" s="21" t="str">
        <x:f>IF(OR(F144="Hard Case",F144="Bubble Hard Case"),"Confirmed: Hard Case",IF(F144="Twist Leather Case","Confirmed: Twist Leather Case",IF(F144="Z-Fold Case","Confirmed: Z-Fold Case",IF(COUNTIF('Cost Overrides'!$A$2:$A$17,B144)&gt;0,"Confirmed: Owner cost override",IF(S144&lt;=0,"Needs cost","Source cost")))))</x:f>
        <x:v>Confirmed: Twist Leather Case</x:v>
      </x:c>
      <x:c r="V144" s="21" t="n">
        <x:v>39.95</x:v>
      </x:c>
      <x:c r="W144" s="21" t="n">
        <x:f>V144</x:f>
        <x:v>39.95</x:v>
      </x:c>
      <x:c r="X144" s="19" t="str">
        <x:v>NO</x:v>
      </x:c>
      <x:c r="Y144" s="19" t="str">
        <x:v>NO</x:v>
      </x:c>
      <x:c r="Z144" s="19" t="str">
        <x:v>42457227</x:v>
      </x:c>
      <x:c r="AA144" s="19" t="str">
        <x:v>50757353</x:v>
      </x:c>
      <x:c r="AB144" s="22" t="str">
        <x:f>IF(OR(M144&lt;&gt;"Approved",U144="Needs cost",O144=""),"Needs review","Ready after approval")</x:f>
        <x:v>Needs review</x:v>
      </x:c>
      <x:c r="AC144" s="22" t="str"/>
    </x:row>
    <x:row r="145">
      <x:c r="A145" s="19" t="str">
        <x:v>7196</x:v>
      </x:c>
      <x:c r="B145" s="19" t="str">
        <x:v>TM8-TAB-7196</x:v>
      </x:c>
      <x:c r="C145" s="19" t="str">
        <x:v>2999000071968</x:v>
      </x:c>
      <x:c r="D145" s="22" t="str">
        <x:v>Kids ibuy 10.2 Inch</x:v>
      </x:c>
      <x:c r="E145" s="22" t="str">
        <x:v>Unclassified Case for iPad 10.2-inch (Gen 7/8/9)</x:v>
      </x:c>
      <x:c r="F145" s="22" t="str">
        <x:v>Unclassified Case</x:v>
      </x:c>
      <x:c r="G145" s="22" t="str">
        <x:v>Unspecified</x:v>
      </x:c>
      <x:c r="H145" s="22" t="str">
        <x:v>TM8-GRP-IPAD-102-GEN789-UNC</x:v>
      </x:c>
      <x:c r="I145" s="22" t="str">
        <x:v>Unclassified Case for iPad 10.2-inch (Gen 7/8/9)</x:v>
      </x:c>
      <x:c r="J145" s="22" t="str">
        <x:v>iPad 10.2 Inch</x:v>
      </x:c>
      <x:c r="K145" s="22" t="str">
        <x:v>IPAD-102-GEN789</x:v>
      </x:c>
      <x:c r="L145" s="22" t="str">
        <x:v>iPad 10.2-inch (Gen 7/8/9)</x:v>
      </x:c>
      <x:c r="M145" s="22" t="str">
        <x:v>Proposed</x:v>
      </x:c>
      <x:c r="N145" s="22" t="str">
        <x:v>https://dghyt15qon7us.cloudfront.net/images/productTheme/Inventory/small/1665032140.jpg</x:v>
      </x:c>
      <x:c r="O145" s="22" t="str">
        <x:v>https://dghyt15qon7us.cloudfront.net/images/productTheme/Inventory/small/1665032140.jpg</x:v>
      </x:c>
      <x:c r="P145" s="19" t="str">
        <x:v>park-ridge</x:v>
      </x:c>
      <x:c r="Q145" s="20" t="n">
        <x:v>-3</x:v>
      </x:c>
      <x:c r="R145" s="20" t="n">
        <x:f>MAX(0,Q145)</x:f>
        <x:v>0</x:v>
      </x:c>
      <x:c r="S145" s="21" t="n">
        <x:v>0</x:v>
      </x:c>
      <x:c r="T145" s="21" t="n">
        <x:f>IF(OR(F145="Hard Case",F145="Bubble Hard Case"),15,IF(F145="Twist Leather Case",5,IF(F145="Z-Fold Case",4,IFERROR(VLOOKUP(B145,'Cost Overrides'!$A$2:$B$17,2,FALSE),S145))))</x:f>
        <x:v>4</x:v>
      </x:c>
      <x:c r="U145" s="21" t="str">
        <x:f>IF(OR(F145="Hard Case",F145="Bubble Hard Case"),"Confirmed: Hard Case",IF(F145="Twist Leather Case","Confirmed: Twist Leather Case",IF(F145="Z-Fold Case","Confirmed: Z-Fold Case",IF(COUNTIF('Cost Overrides'!$A$2:$A$17,B145)&gt;0,"Confirmed: Owner cost override",IF(S145&lt;=0,"Needs cost","Source cost")))))</x:f>
        <x:v>Confirmed: Owner cost override</x:v>
      </x:c>
      <x:c r="V145" s="21" t="n">
        <x:v>39</x:v>
      </x:c>
      <x:c r="W145" s="21" t="n">
        <x:f>V145</x:f>
        <x:v>39</x:v>
      </x:c>
      <x:c r="X145" s="19" t="str">
        <x:v>NO</x:v>
      </x:c>
      <x:c r="Y145" s="19" t="str">
        <x:v>NO</x:v>
      </x:c>
      <x:c r="Z145" s="19" t="str">
        <x:v>42456910</x:v>
      </x:c>
      <x:c r="AA145" s="19" t="str">
        <x:v>50756734</x:v>
      </x:c>
      <x:c r="AB145" s="22" t="str">
        <x:f>IF(OR(M145&lt;&gt;"Approved",U145="Needs cost",O145=""),"Needs review","Ready after approval")</x:f>
        <x:v>Needs review</x:v>
      </x:c>
      <x:c r="AC145" s="22" t="str">
        <x:v>Negative source stock clipped to zero.</x:v>
      </x:c>
    </x:row>
    <x:row r="146">
      <x:c r="A146" s="19" t="str">
        <x:v>6985</x:v>
      </x:c>
      <x:c r="B146" s="19" t="str">
        <x:v>TM8-TAB-6985</x:v>
      </x:c>
      <x:c r="C146" s="19" t="str">
        <x:v>2999000069859</x:v>
      </x:c>
      <x:c r="D146" s="22" t="str">
        <x:v>iPad Hard Case 10.2 Inch Rainbow</x:v>
      </x:c>
      <x:c r="E146" s="22" t="str">
        <x:v>Hard Case for iPad 10.2-inch (Gen 7/8/9) - Rainbow</x:v>
      </x:c>
      <x:c r="F146" s="22" t="str">
        <x:v>Hard Case</x:v>
      </x:c>
      <x:c r="G146" s="22" t="str">
        <x:v>Rainbow</x:v>
      </x:c>
      <x:c r="H146" s="22" t="str">
        <x:v>TM8-GRP-IPAD-102-GEN789-HDC</x:v>
      </x:c>
      <x:c r="I146" s="22" t="str">
        <x:v>Hard Case for iPad 10.2-inch (Gen 7/8/9)</x:v>
      </x:c>
      <x:c r="J146" s="22" t="str">
        <x:v>iPad 10.2 Inch</x:v>
      </x:c>
      <x:c r="K146" s="22" t="str">
        <x:v>IPAD-102-GEN789</x:v>
      </x:c>
      <x:c r="L146" s="22" t="str">
        <x:v>iPad 10.2-inch (Gen 7/8/9)</x:v>
      </x:c>
      <x:c r="M146" s="22" t="str">
        <x:v>Proposed</x:v>
      </x:c>
      <x:c r="N146" s="22" t="str">
        <x:v>https://dghyt15qon7us.cloudfront.net/images/productTheme/Inventory/small/1662536812.jpg</x:v>
      </x:c>
      <x:c r="O146" s="22" t="str">
        <x:v>https://dghyt15qon7us.cloudfront.net/images/productTheme/Inventory/small/1643163643.jpg</x:v>
      </x:c>
      <x:c r="P146" s="19" t="str">
        <x:v>park-ridge</x:v>
      </x:c>
      <x:c r="Q146" s="20" t="n">
        <x:v>-1</x:v>
      </x:c>
      <x:c r="R146" s="20" t="n">
        <x:f>MAX(0,Q146)</x:f>
        <x:v>0</x:v>
      </x:c>
      <x:c r="S146" s="21" t="n">
        <x:v>0</x:v>
      </x:c>
      <x:c r="T146" s="21" t="n">
        <x:f>IF(OR(F146="Hard Case",F146="Bubble Hard Case"),15,IF(F146="Twist Leather Case",5,IF(F146="Z-Fold Case",4,IFERROR(VLOOKUP(B146,'Cost Overrides'!$A$2:$B$17,2,FALSE),S146))))</x:f>
        <x:v>15</x:v>
      </x:c>
      <x:c r="U146" s="21" t="str">
        <x:f>IF(OR(F146="Hard Case",F146="Bubble Hard Case"),"Confirmed: Hard Case",IF(F146="Twist Leather Case","Confirmed: Twist Leather Case",IF(F146="Z-Fold Case","Confirmed: Z-Fold Case",IF(COUNTIF('Cost Overrides'!$A$2:$A$17,B146)&gt;0,"Confirmed: Owner cost override",IF(S146&lt;=0,"Needs cost","Source cost")))))</x:f>
        <x:v>Confirmed: Hard Case</x:v>
      </x:c>
      <x:c r="V146" s="21" t="n">
        <x:v>49.95</x:v>
      </x:c>
      <x:c r="W146" s="21" t="n">
        <x:f>V146</x:f>
        <x:v>49.95</x:v>
      </x:c>
      <x:c r="X146" s="19" t="str">
        <x:v>NO</x:v>
      </x:c>
      <x:c r="Y146" s="19" t="str">
        <x:v>NO</x:v>
      </x:c>
      <x:c r="Z146" s="19" t="str">
        <x:v>42456699</x:v>
      </x:c>
      <x:c r="AA146" s="19" t="str">
        <x:v>50756311</x:v>
      </x:c>
      <x:c r="AB146" s="22" t="str">
        <x:f>IF(OR(M146&lt;&gt;"Approved",U146="Needs cost",O146=""),"Needs review","Ready after approval")</x:f>
        <x:v>Needs review</x:v>
      </x:c>
      <x:c r="AC146" s="22" t="str">
        <x:v>Negative source stock clipped to zero.</x:v>
      </x:c>
    </x:row>
    <x:row r="147">
      <x:c r="A147" s="19" t="str">
        <x:v>6984</x:v>
      </x:c>
      <x:c r="B147" s="19" t="str">
        <x:v>TM8-TAB-6984</x:v>
      </x:c>
      <x:c r="C147" s="19" t="str">
        <x:v>2999000069842</x:v>
      </x:c>
      <x:c r="D147" s="22" t="str">
        <x:v>iPad Hard Case 9.7 Inch Rainbow</x:v>
      </x:c>
      <x:c r="E147" s="22" t="str">
        <x:v>Hard Case for iPad 9.7-inch (Gen 5/6 and Air 1/2) - Rainbow</x:v>
      </x:c>
      <x:c r="F147" s="22" t="str">
        <x:v>Hard Case</x:v>
      </x:c>
      <x:c r="G147" s="22" t="str">
        <x:v>Rainbow</x:v>
      </x:c>
      <x:c r="H147" s="22" t="str">
        <x:v>TM8-GRP-IPAD-97-LEGACY-HDC</x:v>
      </x:c>
      <x:c r="I147" s="22" t="str">
        <x:v>Hard Case for iPad 9.7-inch (Gen 5/6 and Air 1/2)</x:v>
      </x:c>
      <x:c r="J147" s="22" t="str">
        <x:v>iPad 9.7 Inch</x:v>
      </x:c>
      <x:c r="K147" s="22" t="str">
        <x:v>IPAD-97-LEGACY</x:v>
      </x:c>
      <x:c r="L147" s="22" t="str">
        <x:v>iPad 9.7-inch (Gen 5/6 and Air 1/2)</x:v>
      </x:c>
      <x:c r="M147" s="22" t="str">
        <x:v>Approved</x:v>
      </x:c>
      <x:c r="N147" s="22" t="str">
        <x:v>https://dghyt15qon7us.cloudfront.net/images/productTheme/Inventory/small/1662536781.jpg</x:v>
      </x:c>
      <x:c r="O147" s="22" t="str">
        <x:v>https://dghyt15qon7us.cloudfront.net/images/productTheme/Inventory/small/1643162474.jpg</x:v>
      </x:c>
      <x:c r="P147" s="19" t="str">
        <x:v>park-ridge</x:v>
      </x:c>
      <x:c r="Q147" s="20" t="n">
        <x:v>0</x:v>
      </x:c>
      <x:c r="R147" s="20" t="n">
        <x:f>MAX(0,Q147)</x:f>
        <x:v>0</x:v>
      </x:c>
      <x:c r="S147" s="21" t="n">
        <x:v>0</x:v>
      </x:c>
      <x:c r="T147" s="21" t="n">
        <x:f>IF(OR(F147="Hard Case",F147="Bubble Hard Case"),15,IF(F147="Twist Leather Case",5,IF(F147="Z-Fold Case",4,IFERROR(VLOOKUP(B147,'Cost Overrides'!$A$2:$B$17,2,FALSE),S147))))</x:f>
        <x:v>15</x:v>
      </x:c>
      <x:c r="U147" s="21" t="str">
        <x:f>IF(OR(F147="Hard Case",F147="Bubble Hard Case"),"Confirmed: Hard Case",IF(F147="Twist Leather Case","Confirmed: Twist Leather Case",IF(F147="Z-Fold Case","Confirmed: Z-Fold Case",IF(COUNTIF('Cost Overrides'!$A$2:$A$17,B147)&gt;0,"Confirmed: Owner cost override",IF(S147&lt;=0,"Needs cost","Source cost")))))</x:f>
        <x:v>Confirmed: Hard Case</x:v>
      </x:c>
      <x:c r="V147" s="21" t="n">
        <x:v>49.95</x:v>
      </x:c>
      <x:c r="W147" s="21" t="n">
        <x:f>V147</x:f>
        <x:v>49.95</x:v>
      </x:c>
      <x:c r="X147" s="19" t="str">
        <x:v>NO</x:v>
      </x:c>
      <x:c r="Y147" s="19" t="str">
        <x:v>NO</x:v>
      </x:c>
      <x:c r="Z147" s="19" t="str">
        <x:v>42456698</x:v>
      </x:c>
      <x:c r="AA147" s="19" t="str">
        <x:v>50756309</x:v>
      </x:c>
      <x:c r="AB147" s="22" t="str">
        <x:f>IF(OR(M147&lt;&gt;"Approved",U147="Needs cost",O147=""),"Needs review","Ready after approval")</x:f>
        <x:v>Ready after approval</x:v>
      </x:c>
      <x:c r="AC147" s="22" t="str"/>
    </x:row>
    <x:row r="148">
      <x:c r="A148" s="19" t="str">
        <x:v>6852</x:v>
      </x:c>
      <x:c r="B148" s="19" t="str">
        <x:v>TM8-TAB-6852</x:v>
      </x:c>
      <x:c r="C148" s="19" t="str">
        <x:v>2999000068524</x:v>
      </x:c>
      <x:c r="D148" s="22" t="str">
        <x:v>Hard Case Samsung S7/S8</x:v>
      </x:c>
      <x:c r="E148" s="22" t="str">
        <x:v>Hard Case for Samsung Galaxy Tab S7/S8</x:v>
      </x:c>
      <x:c r="F148" s="22" t="str">
        <x:v>Hard Case</x:v>
      </x:c>
      <x:c r="G148" s="22" t="str">
        <x:v>Unspecified</x:v>
      </x:c>
      <x:c r="H148" s="22" t="str">
        <x:v>TM8-GRP-SAMSUNG-S7-S8-HDC</x:v>
      </x:c>
      <x:c r="I148" s="22" t="str">
        <x:v>Hard Case for Samsung Galaxy Tab S7/S8</x:v>
      </x:c>
      <x:c r="J148" s="22" t="str">
        <x:v>Samsung Tablet</x:v>
      </x:c>
      <x:c r="K148" s="22" t="str">
        <x:v>SAMSUNG-S7-S8</x:v>
      </x:c>
      <x:c r="L148" s="22" t="str">
        <x:v>Samsung Galaxy Tab S7/S8</x:v>
      </x:c>
      <x:c r="M148" s="22" t="str">
        <x:v>Proposed</x:v>
      </x:c>
      <x:c r="N148" s="22" t="str">
        <x:v>https://dghyt15qon7us.cloudfront.net/images/productTheme/Inventory/small/166052856842456566.jpg</x:v>
      </x:c>
      <x:c r="O148" s="22" t="str">
        <x:v>https://dghyt15qon7us.cloudfront.net/images/productTheme/Inventory/small/166052856842456566.jpg</x:v>
      </x:c>
      <x:c r="P148" s="19" t="str">
        <x:v>park-ridge</x:v>
      </x:c>
      <x:c r="Q148" s="20" t="n">
        <x:v>0</x:v>
      </x:c>
      <x:c r="R148" s="20" t="n">
        <x:f>MAX(0,Q148)</x:f>
        <x:v>0</x:v>
      </x:c>
      <x:c r="S148" s="21" t="n">
        <x:v>0</x:v>
      </x:c>
      <x:c r="T148" s="21" t="n">
        <x:f>IF(OR(F148="Hard Case",F148="Bubble Hard Case"),15,IF(F148="Twist Leather Case",5,IF(F148="Z-Fold Case",4,IFERROR(VLOOKUP(B148,'Cost Overrides'!$A$2:$B$17,2,FALSE),S148))))</x:f>
        <x:v>15</x:v>
      </x:c>
      <x:c r="U148" s="21" t="str">
        <x:f>IF(OR(F148="Hard Case",F148="Bubble Hard Case"),"Confirmed: Hard Case",IF(F148="Twist Leather Case","Confirmed: Twist Leather Case",IF(F148="Z-Fold Case","Confirmed: Z-Fold Case",IF(COUNTIF('Cost Overrides'!$A$2:$A$17,B148)&gt;0,"Confirmed: Owner cost override",IF(S148&lt;=0,"Needs cost","Source cost")))))</x:f>
        <x:v>Confirmed: Hard Case</x:v>
      </x:c>
      <x:c r="V148" s="21" t="n">
        <x:v>49.95</x:v>
      </x:c>
      <x:c r="W148" s="21" t="n">
        <x:f>V148</x:f>
        <x:v>49.95</x:v>
      </x:c>
      <x:c r="X148" s="19" t="str">
        <x:v>NO</x:v>
      </x:c>
      <x:c r="Y148" s="19" t="str">
        <x:v>NO</x:v>
      </x:c>
      <x:c r="Z148" s="19" t="str">
        <x:v>42456566</x:v>
      </x:c>
      <x:c r="AA148" s="19" t="str">
        <x:v>50756047</x:v>
      </x:c>
      <x:c r="AB148" s="22" t="str">
        <x:f>IF(OR(M148&lt;&gt;"Approved",U148="Needs cost",O148=""),"Needs review","Ready after approval")</x:f>
        <x:v>Needs review</x:v>
      </x:c>
      <x:c r="AC148" s="22" t="str"/>
    </x:row>
    <x:row r="149">
      <x:c r="A149" s="19" t="str">
        <x:v>6850</x:v>
      </x:c>
      <x:c r="B149" s="19" t="str">
        <x:v>TM8-TAB-6850</x:v>
      </x:c>
      <x:c r="C149" s="19" t="str">
        <x:v>2999000068500</x:v>
      </x:c>
      <x:c r="D149" s="22" t="str">
        <x:v>Hard Case Samsung S8 Ultra</x:v>
      </x:c>
      <x:c r="E149" s="22" t="str">
        <x:v>Hard Case for Samsung Galaxy Tab S8 Ultra</x:v>
      </x:c>
      <x:c r="F149" s="22" t="str">
        <x:v>Hard Case</x:v>
      </x:c>
      <x:c r="G149" s="22" t="str">
        <x:v>Unspecified</x:v>
      </x:c>
      <x:c r="H149" s="22" t="str">
        <x:v>TM8-GRP-SAMSUNG-S8-ULTRA-HDC</x:v>
      </x:c>
      <x:c r="I149" s="22" t="str">
        <x:v>Hard Case for Samsung Galaxy Tab S8 Ultra</x:v>
      </x:c>
      <x:c r="J149" s="22" t="str">
        <x:v>Samsung Tablet</x:v>
      </x:c>
      <x:c r="K149" s="22" t="str">
        <x:v>SAMSUNG-S8-ULTRA</x:v>
      </x:c>
      <x:c r="L149" s="22" t="str">
        <x:v>Samsung Galaxy Tab S8 Ultra</x:v>
      </x:c>
      <x:c r="M149" s="22" t="str">
        <x:v>Proposed</x:v>
      </x:c>
      <x:c r="N149" s="22" t="str">
        <x:v>https://dghyt15qon7us.cloudfront.net/images/productTheme/Inventory/small/1659429505.jpg</x:v>
      </x:c>
      <x:c r="O149" s="22" t="str">
        <x:v>https://dghyt15qon7us.cloudfront.net/images/productTheme/Inventory/small/1659429505.jpg</x:v>
      </x:c>
      <x:c r="P149" s="19" t="str">
        <x:v>park-ridge</x:v>
      </x:c>
      <x:c r="Q149" s="20" t="n">
        <x:v>0</x:v>
      </x:c>
      <x:c r="R149" s="20" t="n">
        <x:f>MAX(0,Q149)</x:f>
        <x:v>0</x:v>
      </x:c>
      <x:c r="S149" s="21" t="n">
        <x:v>20</x:v>
      </x:c>
      <x:c r="T149" s="21" t="n">
        <x:f>IF(OR(F149="Hard Case",F149="Bubble Hard Case"),15,IF(F149="Twist Leather Case",5,IF(F149="Z-Fold Case",4,IFERROR(VLOOKUP(B149,'Cost Overrides'!$A$2:$B$17,2,FALSE),S149))))</x:f>
        <x:v>15</x:v>
      </x:c>
      <x:c r="U149" s="21" t="str">
        <x:f>IF(OR(F149="Hard Case",F149="Bubble Hard Case"),"Confirmed: Hard Case",IF(F149="Twist Leather Case","Confirmed: Twist Leather Case",IF(F149="Z-Fold Case","Confirmed: Z-Fold Case",IF(COUNTIF('Cost Overrides'!$A$2:$A$17,B149)&gt;0,"Confirmed: Owner cost override",IF(S149&lt;=0,"Needs cost","Source cost")))))</x:f>
        <x:v>Confirmed: Hard Case</x:v>
      </x:c>
      <x:c r="V149" s="21" t="n">
        <x:v>49.95</x:v>
      </x:c>
      <x:c r="W149" s="21" t="n">
        <x:f>V149</x:f>
        <x:v>49.95</x:v>
      </x:c>
      <x:c r="X149" s="19" t="str">
        <x:v>NO</x:v>
      </x:c>
      <x:c r="Y149" s="19" t="str">
        <x:v>NO</x:v>
      </x:c>
      <x:c r="Z149" s="19" t="str">
        <x:v>42456564</x:v>
      </x:c>
      <x:c r="AA149" s="19" t="str">
        <x:v>50756042</x:v>
      </x:c>
      <x:c r="AB149" s="22" t="str">
        <x:f>IF(OR(M149&lt;&gt;"Approved",U149="Needs cost",O149=""),"Needs review","Ready after approval")</x:f>
        <x:v>Needs review</x:v>
      </x:c>
      <x:c r="AC149" s="22" t="str"/>
    </x:row>
    <x:row r="150">
      <x:c r="A150" s="19" t="str">
        <x:v>6849</x:v>
      </x:c>
      <x:c r="B150" s="19" t="str">
        <x:v>TM8-TAB-6849</x:v>
      </x:c>
      <x:c r="C150" s="19" t="str">
        <x:v>2999000068494</x:v>
      </x:c>
      <x:c r="D150" s="22" t="str">
        <x:v>Hard Case Samsung S8+</x:v>
      </x:c>
      <x:c r="E150" s="22" t="str">
        <x:v>Hard Case for Samsung Galaxy Tab S8 Plus</x:v>
      </x:c>
      <x:c r="F150" s="22" t="str">
        <x:v>Hard Case</x:v>
      </x:c>
      <x:c r="G150" s="22" t="str">
        <x:v>Unspecified</x:v>
      </x:c>
      <x:c r="H150" s="22" t="str">
        <x:v>TM8-GRP-SAMSUNG-S8-PLUS-HDC</x:v>
      </x:c>
      <x:c r="I150" s="22" t="str">
        <x:v>Hard Case for Samsung Galaxy Tab S8 Plus</x:v>
      </x:c>
      <x:c r="J150" s="22" t="str">
        <x:v>Samsung Tablet</x:v>
      </x:c>
      <x:c r="K150" s="22" t="str">
        <x:v>SAMSUNG-S8-PLUS</x:v>
      </x:c>
      <x:c r="L150" s="22" t="str">
        <x:v>Samsung Galaxy Tab S8 Plus</x:v>
      </x:c>
      <x:c r="M150" s="22" t="str">
        <x:v>Proposed</x:v>
      </x:c>
      <x:c r="N150" s="22" t="str">
        <x:v>https://dghyt15qon7us.cloudfront.net/images/productTheme/Inventory/small/1659429444.jpg</x:v>
      </x:c>
      <x:c r="O150" s="22" t="str">
        <x:v>https://dghyt15qon7us.cloudfront.net/images/productTheme/Inventory/small/1659429444.jpg</x:v>
      </x:c>
      <x:c r="P150" s="19" t="str">
        <x:v>park-ridge</x:v>
      </x:c>
      <x:c r="Q150" s="20" t="n">
        <x:v>1</x:v>
      </x:c>
      <x:c r="R150" s="20" t="n">
        <x:f>MAX(0,Q150)</x:f>
        <x:v>1</x:v>
      </x:c>
      <x:c r="S150" s="21" t="n">
        <x:v>20</x:v>
      </x:c>
      <x:c r="T150" s="21" t="n">
        <x:f>IF(OR(F150="Hard Case",F150="Bubble Hard Case"),15,IF(F150="Twist Leather Case",5,IF(F150="Z-Fold Case",4,IFERROR(VLOOKUP(B150,'Cost Overrides'!$A$2:$B$17,2,FALSE),S150))))</x:f>
        <x:v>15</x:v>
      </x:c>
      <x:c r="U150" s="21" t="str">
        <x:f>IF(OR(F150="Hard Case",F150="Bubble Hard Case"),"Confirmed: Hard Case",IF(F150="Twist Leather Case","Confirmed: Twist Leather Case",IF(F150="Z-Fold Case","Confirmed: Z-Fold Case",IF(COUNTIF('Cost Overrides'!$A$2:$A$17,B150)&gt;0,"Confirmed: Owner cost override",IF(S150&lt;=0,"Needs cost","Source cost")))))</x:f>
        <x:v>Confirmed: Hard Case</x:v>
      </x:c>
      <x:c r="V150" s="21" t="n">
        <x:v>49.95</x:v>
      </x:c>
      <x:c r="W150" s="21" t="n">
        <x:f>V150</x:f>
        <x:v>49.95</x:v>
      </x:c>
      <x:c r="X150" s="19" t="str">
        <x:v>NO</x:v>
      </x:c>
      <x:c r="Y150" s="19" t="str">
        <x:v>NO</x:v>
      </x:c>
      <x:c r="Z150" s="19" t="str">
        <x:v>42456563</x:v>
      </x:c>
      <x:c r="AA150" s="19" t="str">
        <x:v>50756040</x:v>
      </x:c>
      <x:c r="AB150" s="22" t="str">
        <x:f>IF(OR(M150&lt;&gt;"Approved",U150="Needs cost",O150=""),"Needs review","Ready after approval")</x:f>
        <x:v>Needs review</x:v>
      </x:c>
      <x:c r="AC150" s="22" t="str"/>
    </x:row>
    <x:row r="151">
      <x:c r="A151" s="19" t="str">
        <x:v>6848</x:v>
      </x:c>
      <x:c r="B151" s="19" t="str">
        <x:v>TM8-TAB-6848</x:v>
      </x:c>
      <x:c r="C151" s="19" t="str">
        <x:v>2999000068487</x:v>
      </x:c>
      <x:c r="D151" s="22" t="str">
        <x:v>Hard Case Samsung S7+/FE</x:v>
      </x:c>
      <x:c r="E151" s="22" t="str">
        <x:v>Hard Case for Samsung Galaxy Tab S7 Plus / FE</x:v>
      </x:c>
      <x:c r="F151" s="22" t="str">
        <x:v>Hard Case</x:v>
      </x:c>
      <x:c r="G151" s="22" t="str">
        <x:v>Unspecified</x:v>
      </x:c>
      <x:c r="H151" s="22" t="str">
        <x:v>TM8-GRP-SAMSUNG-S7-PLUS-FE-HDC</x:v>
      </x:c>
      <x:c r="I151" s="22" t="str">
        <x:v>Hard Case for Samsung Galaxy Tab S7 Plus / FE</x:v>
      </x:c>
      <x:c r="J151" s="22" t="str">
        <x:v>Samsung Tablet</x:v>
      </x:c>
      <x:c r="K151" s="22" t="str">
        <x:v>SAMSUNG-S7-PLUS-FE</x:v>
      </x:c>
      <x:c r="L151" s="22" t="str">
        <x:v>Samsung Galaxy Tab S7 Plus / FE</x:v>
      </x:c>
      <x:c r="M151" s="22" t="str">
        <x:v>Proposed</x:v>
      </x:c>
      <x:c r="N151" s="22" t="str">
        <x:v>https://dghyt15qon7us.cloudfront.net/images/productTheme/Inventory/small/1659429328.jpg</x:v>
      </x:c>
      <x:c r="O151" s="22" t="str">
        <x:v>https://dghyt15qon7us.cloudfront.net/images/productTheme/Inventory/small/1659429328.jpg</x:v>
      </x:c>
      <x:c r="P151" s="19" t="str">
        <x:v>park-ridge</x:v>
      </x:c>
      <x:c r="Q151" s="20" t="n">
        <x:v>-1</x:v>
      </x:c>
      <x:c r="R151" s="20" t="n">
        <x:f>MAX(0,Q151)</x:f>
        <x:v>0</x:v>
      </x:c>
      <x:c r="S151" s="21" t="n">
        <x:v>20</x:v>
      </x:c>
      <x:c r="T151" s="21" t="n">
        <x:f>IF(OR(F151="Hard Case",F151="Bubble Hard Case"),15,IF(F151="Twist Leather Case",5,IF(F151="Z-Fold Case",4,IFERROR(VLOOKUP(B151,'Cost Overrides'!$A$2:$B$17,2,FALSE),S151))))</x:f>
        <x:v>15</x:v>
      </x:c>
      <x:c r="U151" s="21" t="str">
        <x:f>IF(OR(F151="Hard Case",F151="Bubble Hard Case"),"Confirmed: Hard Case",IF(F151="Twist Leather Case","Confirmed: Twist Leather Case",IF(F151="Z-Fold Case","Confirmed: Z-Fold Case",IF(COUNTIF('Cost Overrides'!$A$2:$A$17,B151)&gt;0,"Confirmed: Owner cost override",IF(S151&lt;=0,"Needs cost","Source cost")))))</x:f>
        <x:v>Confirmed: Hard Case</x:v>
      </x:c>
      <x:c r="V151" s="21" t="n">
        <x:v>49.95</x:v>
      </x:c>
      <x:c r="W151" s="21" t="n">
        <x:f>V151</x:f>
        <x:v>49.95</x:v>
      </x:c>
      <x:c r="X151" s="19" t="str">
        <x:v>NO</x:v>
      </x:c>
      <x:c r="Y151" s="19" t="str">
        <x:v>NO</x:v>
      </x:c>
      <x:c r="Z151" s="19" t="str">
        <x:v>42456562</x:v>
      </x:c>
      <x:c r="AA151" s="19" t="str">
        <x:v>50756038</x:v>
      </x:c>
      <x:c r="AB151" s="22" t="str">
        <x:f>IF(OR(M151&lt;&gt;"Approved",U151="Needs cost",O151=""),"Needs review","Ready after approval")</x:f>
        <x:v>Needs review</x:v>
      </x:c>
      <x:c r="AC151" s="22" t="str">
        <x:v>Negative source stock clipped to zero.</x:v>
      </x:c>
    </x:row>
    <x:row r="152">
      <x:c r="A152" s="19" t="str">
        <x:v>6747</x:v>
      </x:c>
      <x:c r="B152" s="19" t="str">
        <x:v>TM8-TAB-6747</x:v>
      </x:c>
      <x:c r="C152" s="19" t="str">
        <x:v>2999000067473</x:v>
      </x:c>
      <x:c r="D152" s="22" t="str">
        <x:v>Twist Leather Case 12.9 Inch Rose Gold</x:v>
      </x:c>
      <x:c r="E152" s="22" t="str">
        <x:v>Twist Leather Case for iPad Pro 12.9-inch (2018-2022) - Rose Gold</x:v>
      </x:c>
      <x:c r="F152" s="22" t="str">
        <x:v>Twist Leather Case</x:v>
      </x:c>
      <x:c r="G152" s="22" t="str">
        <x:v>Rose Gold</x:v>
      </x:c>
      <x:c r="H152" s="22" t="str">
        <x:v>TM8-GRP-IPAD-129-LEGACY-TLC</x:v>
      </x:c>
      <x:c r="I152" s="22" t="str">
        <x:v>Twist Leather Case for iPad Pro 12.9-inch (2018-2022)</x:v>
      </x:c>
      <x:c r="J152" s="22" t="str">
        <x:v>iPad 12.9 inch</x:v>
      </x:c>
      <x:c r="K152" s="22" t="str">
        <x:v>IPAD-129-LEGACY</x:v>
      </x:c>
      <x:c r="L152" s="22" t="str">
        <x:v>iPad Pro 12.9-inch (2018-2022)</x:v>
      </x:c>
      <x:c r="M152" s="22" t="str">
        <x:v>Approved</x:v>
      </x:c>
      <x:c r="N152" s="22" t="str">
        <x:v>https://dghyt15qon7us.cloudfront.net/images/productTheme/Inventory/small/1653878861.jpg</x:v>
      </x:c>
      <x:c r="O152" s="22" t="str">
        <x:v>https://dghyt15qon7us.cloudfront.net/images/productTheme/Inventory/small/1653878700.jpg</x:v>
      </x:c>
      <x:c r="P152" s="19" t="str">
        <x:v>park-ridge</x:v>
      </x:c>
      <x:c r="Q152" s="20" t="n">
        <x:v>2</x:v>
      </x:c>
      <x:c r="R152" s="20" t="n">
        <x:f>MAX(0,Q152)</x:f>
        <x:v>2</x:v>
      </x:c>
      <x:c r="S152" s="21" t="n">
        <x:v>0</x:v>
      </x:c>
      <x:c r="T152" s="21" t="n">
        <x:f>IF(OR(F152="Hard Case",F152="Bubble Hard Case"),15,IF(F152="Twist Leather Case",5,IF(F152="Z-Fold Case",4,IFERROR(VLOOKUP(B152,'Cost Overrides'!$A$2:$B$17,2,FALSE),S152))))</x:f>
        <x:v>5</x:v>
      </x:c>
      <x:c r="U152" s="21" t="str">
        <x:f>IF(OR(F152="Hard Case",F152="Bubble Hard Case"),"Confirmed: Hard Case",IF(F152="Twist Leather Case","Confirmed: Twist Leather Case",IF(F152="Z-Fold Case","Confirmed: Z-Fold Case",IF(COUNTIF('Cost Overrides'!$A$2:$A$17,B152)&gt;0,"Confirmed: Owner cost override",IF(S152&lt;=0,"Needs cost","Source cost")))))</x:f>
        <x:v>Confirmed: Twist Leather Case</x:v>
      </x:c>
      <x:c r="V152" s="21" t="n">
        <x:v>39.95</x:v>
      </x:c>
      <x:c r="W152" s="21" t="n">
        <x:f>V152</x:f>
        <x:v>39.95</x:v>
      </x:c>
      <x:c r="X152" s="19" t="str">
        <x:v>NO</x:v>
      </x:c>
      <x:c r="Y152" s="19" t="str">
        <x:v>NO</x:v>
      </x:c>
      <x:c r="Z152" s="19" t="str">
        <x:v>42456459</x:v>
      </x:c>
      <x:c r="AA152" s="19" t="str">
        <x:v>50755834</x:v>
      </x:c>
      <x:c r="AB152" s="22" t="str">
        <x:f>IF(OR(M152&lt;&gt;"Approved",U152="Needs cost",O152=""),"Needs review","Ready after approval")</x:f>
        <x:v>Ready after approval</x:v>
      </x:c>
      <x:c r="AC152" s="22" t="str"/>
    </x:row>
    <x:row r="153">
      <x:c r="A153" s="19" t="str">
        <x:v>6745</x:v>
      </x:c>
      <x:c r="B153" s="19" t="str">
        <x:v>TM8-TAB-6745</x:v>
      </x:c>
      <x:c r="C153" s="19" t="str">
        <x:v>2999000067459</x:v>
      </x:c>
      <x:c r="D153" s="22" t="str">
        <x:v>Twist Leather Case 12.9 Inch Purple</x:v>
      </x:c>
      <x:c r="E153" s="22" t="str">
        <x:v>Twist Leather Case for iPad Pro 12.9-inch (2018-2022) - Purple</x:v>
      </x:c>
      <x:c r="F153" s="22" t="str">
        <x:v>Twist Leather Case</x:v>
      </x:c>
      <x:c r="G153" s="22" t="str">
        <x:v>Purple</x:v>
      </x:c>
      <x:c r="H153" s="22" t="str">
        <x:v>TM8-GRP-IPAD-129-LEGACY-TLC</x:v>
      </x:c>
      <x:c r="I153" s="22" t="str">
        <x:v>Twist Leather Case for iPad Pro 12.9-inch (2018-2022)</x:v>
      </x:c>
      <x:c r="J153" s="22" t="str">
        <x:v>iPad 12.9 inch</x:v>
      </x:c>
      <x:c r="K153" s="22" t="str">
        <x:v>IPAD-129-LEGACY</x:v>
      </x:c>
      <x:c r="L153" s="22" t="str">
        <x:v>iPad Pro 12.9-inch (2018-2022)</x:v>
      </x:c>
      <x:c r="M153" s="22" t="str">
        <x:v>Approved</x:v>
      </x:c>
      <x:c r="N153" s="22" t="str">
        <x:v>https://dghyt15qon7us.cloudfront.net/images/productTheme/Inventory/small/1653878770.jpg</x:v>
      </x:c>
      <x:c r="O153" s="22" t="str">
        <x:v>https://dghyt15qon7us.cloudfront.net/images/productTheme/Inventory/small/1653878700.jpg</x:v>
      </x:c>
      <x:c r="P153" s="19" t="str">
        <x:v>park-ridge</x:v>
      </x:c>
      <x:c r="Q153" s="20" t="n">
        <x:v>2</x:v>
      </x:c>
      <x:c r="R153" s="20" t="n">
        <x:f>MAX(0,Q153)</x:f>
        <x:v>2</x:v>
      </x:c>
      <x:c r="S153" s="21" t="n">
        <x:v>0</x:v>
      </x:c>
      <x:c r="T153" s="21" t="n">
        <x:f>IF(OR(F153="Hard Case",F153="Bubble Hard Case"),15,IF(F153="Twist Leather Case",5,IF(F153="Z-Fold Case",4,IFERROR(VLOOKUP(B153,'Cost Overrides'!$A$2:$B$17,2,FALSE),S153))))</x:f>
        <x:v>5</x:v>
      </x:c>
      <x:c r="U153" s="21" t="str">
        <x:f>IF(OR(F153="Hard Case",F153="Bubble Hard Case"),"Confirmed: Hard Case",IF(F153="Twist Leather Case","Confirmed: Twist Leather Case",IF(F153="Z-Fold Case","Confirmed: Z-Fold Case",IF(COUNTIF('Cost Overrides'!$A$2:$A$17,B153)&gt;0,"Confirmed: Owner cost override",IF(S153&lt;=0,"Needs cost","Source cost")))))</x:f>
        <x:v>Confirmed: Twist Leather Case</x:v>
      </x:c>
      <x:c r="V153" s="21" t="n">
        <x:v>39.95</x:v>
      </x:c>
      <x:c r="W153" s="21" t="n">
        <x:f>V153</x:f>
        <x:v>39.95</x:v>
      </x:c>
      <x:c r="X153" s="19" t="str">
        <x:v>NO</x:v>
      </x:c>
      <x:c r="Y153" s="19" t="str">
        <x:v>NO</x:v>
      </x:c>
      <x:c r="Z153" s="19" t="str">
        <x:v>42456457</x:v>
      </x:c>
      <x:c r="AA153" s="19" t="str">
        <x:v>50755838</x:v>
      </x:c>
      <x:c r="AB153" s="22" t="str">
        <x:f>IF(OR(M153&lt;&gt;"Approved",U153="Needs cost",O153=""),"Needs review","Ready after approval")</x:f>
        <x:v>Ready after approval</x:v>
      </x:c>
      <x:c r="AC153" s="22" t="str"/>
    </x:row>
    <x:row r="154">
      <x:c r="A154" s="19" t="str">
        <x:v>6744</x:v>
      </x:c>
      <x:c r="B154" s="19" t="str">
        <x:v>TM8-TAB-6744</x:v>
      </x:c>
      <x:c r="C154" s="19" t="str">
        <x:v>2999000067442</x:v>
      </x:c>
      <x:c r="D154" s="22" t="str">
        <x:v>Twist Leather Case 12.9 Inch Red</x:v>
      </x:c>
      <x:c r="E154" s="22" t="str">
        <x:v>Twist Leather Case for iPad Pro 12.9-inch (2018-2022) - Red</x:v>
      </x:c>
      <x:c r="F154" s="22" t="str">
        <x:v>Twist Leather Case</x:v>
      </x:c>
      <x:c r="G154" s="22" t="str">
        <x:v>Red</x:v>
      </x:c>
      <x:c r="H154" s="22" t="str">
        <x:v>TM8-GRP-IPAD-129-LEGACY-TLC</x:v>
      </x:c>
      <x:c r="I154" s="22" t="str">
        <x:v>Twist Leather Case for iPad Pro 12.9-inch (2018-2022)</x:v>
      </x:c>
      <x:c r="J154" s="22" t="str">
        <x:v>iPad 12.9 inch</x:v>
      </x:c>
      <x:c r="K154" s="22" t="str">
        <x:v>IPAD-129-LEGACY</x:v>
      </x:c>
      <x:c r="L154" s="22" t="str">
        <x:v>iPad Pro 12.9-inch (2018-2022)</x:v>
      </x:c>
      <x:c r="M154" s="22" t="str">
        <x:v>Approved</x:v>
      </x:c>
      <x:c r="N154" s="22" t="str">
        <x:v>https://dghyt15qon7us.cloudfront.net/images/productTheme/Inventory/small/165387891342456456.jpg</x:v>
      </x:c>
      <x:c r="O154" s="22" t="str">
        <x:v>https://dghyt15qon7us.cloudfront.net/images/productTheme/Inventory/small/1653878700.jpg</x:v>
      </x:c>
      <x:c r="P154" s="19" t="str">
        <x:v>park-ridge</x:v>
      </x:c>
      <x:c r="Q154" s="20" t="n">
        <x:v>2</x:v>
      </x:c>
      <x:c r="R154" s="20" t="n">
        <x:f>MAX(0,Q154)</x:f>
        <x:v>2</x:v>
      </x:c>
      <x:c r="S154" s="21" t="n">
        <x:v>4</x:v>
      </x:c>
      <x:c r="T154" s="21" t="n">
        <x:f>IF(OR(F154="Hard Case",F154="Bubble Hard Case"),15,IF(F154="Twist Leather Case",5,IF(F154="Z-Fold Case",4,IFERROR(VLOOKUP(B154,'Cost Overrides'!$A$2:$B$17,2,FALSE),S154))))</x:f>
        <x:v>5</x:v>
      </x:c>
      <x:c r="U154" s="21" t="str">
        <x:f>IF(OR(F154="Hard Case",F154="Bubble Hard Case"),"Confirmed: Hard Case",IF(F154="Twist Leather Case","Confirmed: Twist Leather Case",IF(F154="Z-Fold Case","Confirmed: Z-Fold Case",IF(COUNTIF('Cost Overrides'!$A$2:$A$17,B154)&gt;0,"Confirmed: Owner cost override",IF(S154&lt;=0,"Needs cost","Source cost")))))</x:f>
        <x:v>Confirmed: Twist Leather Case</x:v>
      </x:c>
      <x:c r="V154" s="21" t="n">
        <x:v>39.95</x:v>
      </x:c>
      <x:c r="W154" s="21" t="n">
        <x:f>V154</x:f>
        <x:v>39.95</x:v>
      </x:c>
      <x:c r="X154" s="19" t="str">
        <x:v>NO</x:v>
      </x:c>
      <x:c r="Y154" s="19" t="str">
        <x:v>NO</x:v>
      </x:c>
      <x:c r="Z154" s="19" t="str">
        <x:v>42456456</x:v>
      </x:c>
      <x:c r="AA154" s="19" t="str">
        <x:v>50755837</x:v>
      </x:c>
      <x:c r="AB154" s="22" t="str">
        <x:f>IF(OR(M154&lt;&gt;"Approved",U154="Needs cost",O154=""),"Needs review","Ready after approval")</x:f>
        <x:v>Ready after approval</x:v>
      </x:c>
      <x:c r="AC154" s="22" t="str"/>
    </x:row>
    <x:row r="155">
      <x:c r="A155" s="19" t="str">
        <x:v>6743</x:v>
      </x:c>
      <x:c r="B155" s="19" t="str">
        <x:v>TM8-TAB-6743</x:v>
      </x:c>
      <x:c r="C155" s="19" t="str">
        <x:v>2999000067435</x:v>
      </x:c>
      <x:c r="D155" s="22" t="str">
        <x:v>Twist Leather Case 12.9 Inch Black</x:v>
      </x:c>
      <x:c r="E155" s="22" t="str">
        <x:v>Twist Leather Case for iPad Pro 12.9-inch (2018-2022) - Black</x:v>
      </x:c>
      <x:c r="F155" s="22" t="str">
        <x:v>Twist Leather Case</x:v>
      </x:c>
      <x:c r="G155" s="22" t="str">
        <x:v>Black</x:v>
      </x:c>
      <x:c r="H155" s="22" t="str">
        <x:v>TM8-GRP-IPAD-129-LEGACY-TLC</x:v>
      </x:c>
      <x:c r="I155" s="22" t="str">
        <x:v>Twist Leather Case for iPad Pro 12.9-inch (2018-2022)</x:v>
      </x:c>
      <x:c r="J155" s="22" t="str">
        <x:v>iPad 12.9 inch</x:v>
      </x:c>
      <x:c r="K155" s="22" t="str">
        <x:v>IPAD-129-LEGACY</x:v>
      </x:c>
      <x:c r="L155" s="22" t="str">
        <x:v>iPad Pro 12.9-inch (2018-2022)</x:v>
      </x:c>
      <x:c r="M155" s="22" t="str">
        <x:v>Approved</x:v>
      </x:c>
      <x:c r="N155" s="22" t="str">
        <x:v>https://dghyt15qon7us.cloudfront.net/images/productTheme/Inventory/small/1653878700.jpg</x:v>
      </x:c>
      <x:c r="O155" s="22" t="str">
        <x:v>https://dghyt15qon7us.cloudfront.net/images/productTheme/Inventory/small/1653878700.jpg</x:v>
      </x:c>
      <x:c r="P155" s="19" t="str">
        <x:v>park-ridge</x:v>
      </x:c>
      <x:c r="Q155" s="20" t="n">
        <x:v>2</x:v>
      </x:c>
      <x:c r="R155" s="20" t="n">
        <x:f>MAX(0,Q155)</x:f>
        <x:v>2</x:v>
      </x:c>
      <x:c r="S155" s="21" t="n">
        <x:v>0</x:v>
      </x:c>
      <x:c r="T155" s="21" t="n">
        <x:f>IF(OR(F155="Hard Case",F155="Bubble Hard Case"),15,IF(F155="Twist Leather Case",5,IF(F155="Z-Fold Case",4,IFERROR(VLOOKUP(B155,'Cost Overrides'!$A$2:$B$17,2,FALSE),S155))))</x:f>
        <x:v>5</x:v>
      </x:c>
      <x:c r="U155" s="21" t="str">
        <x:f>IF(OR(F155="Hard Case",F155="Bubble Hard Case"),"Confirmed: Hard Case",IF(F155="Twist Leather Case","Confirmed: Twist Leather Case",IF(F155="Z-Fold Case","Confirmed: Z-Fold Case",IF(COUNTIF('Cost Overrides'!$A$2:$A$17,B155)&gt;0,"Confirmed: Owner cost override",IF(S155&lt;=0,"Needs cost","Source cost")))))</x:f>
        <x:v>Confirmed: Twist Leather Case</x:v>
      </x:c>
      <x:c r="V155" s="21" t="n">
        <x:v>39.95</x:v>
      </x:c>
      <x:c r="W155" s="21" t="n">
        <x:f>V155</x:f>
        <x:v>39.95</x:v>
      </x:c>
      <x:c r="X155" s="19" t="str">
        <x:v>NO</x:v>
      </x:c>
      <x:c r="Y155" s="19" t="str">
        <x:v>NO</x:v>
      </x:c>
      <x:c r="Z155" s="19" t="str">
        <x:v>42456455</x:v>
      </x:c>
      <x:c r="AA155" s="19" t="str">
        <x:v>50755828</x:v>
      </x:c>
      <x:c r="AB155" s="22" t="str">
        <x:f>IF(OR(M155&lt;&gt;"Approved",U155="Needs cost",O155=""),"Needs review","Ready after approval")</x:f>
        <x:v>Ready after approval</x:v>
      </x:c>
      <x:c r="AC155" s="22" t="str"/>
    </x:row>
    <x:row r="156">
      <x:c r="A156" s="19" t="str">
        <x:v>6742</x:v>
      </x:c>
      <x:c r="B156" s="19" t="str">
        <x:v>TM8-TAB-6742</x:v>
      </x:c>
      <x:c r="C156" s="19" t="str">
        <x:v>2999000067428</x:v>
      </x:c>
      <x:c r="D156" s="22" t="str">
        <x:v>Twist Leather Case 12.9 Inch Pink</x:v>
      </x:c>
      <x:c r="E156" s="22" t="str">
        <x:v>Twist Leather Case for iPad Pro 12.9-inch (2018-2022) - Pink</x:v>
      </x:c>
      <x:c r="F156" s="22" t="str">
        <x:v>Twist Leather Case</x:v>
      </x:c>
      <x:c r="G156" s="22" t="str">
        <x:v>Pink</x:v>
      </x:c>
      <x:c r="H156" s="22" t="str">
        <x:v>TM8-GRP-IPAD-129-LEGACY-TLC</x:v>
      </x:c>
      <x:c r="I156" s="22" t="str">
        <x:v>Twist Leather Case for iPad Pro 12.9-inch (2018-2022)</x:v>
      </x:c>
      <x:c r="J156" s="22" t="str">
        <x:v>iPad 12.9 inch</x:v>
      </x:c>
      <x:c r="K156" s="22" t="str">
        <x:v>IPAD-129-LEGACY</x:v>
      </x:c>
      <x:c r="L156" s="22" t="str">
        <x:v>iPad Pro 12.9-inch (2018-2022)</x:v>
      </x:c>
      <x:c r="M156" s="22" t="str">
        <x:v>Approved</x:v>
      </x:c>
      <x:c r="N156" s="22" t="str">
        <x:v>https://dghyt15qon7us.cloudfront.net/images/productTheme/Inventory/small/1653878608.jpg</x:v>
      </x:c>
      <x:c r="O156" s="22" t="str">
        <x:v>https://dghyt15qon7us.cloudfront.net/images/productTheme/Inventory/small/1653878700.jpg</x:v>
      </x:c>
      <x:c r="P156" s="19" t="str">
        <x:v>park-ridge</x:v>
      </x:c>
      <x:c r="Q156" s="20" t="n">
        <x:v>2</x:v>
      </x:c>
      <x:c r="R156" s="20" t="n">
        <x:f>MAX(0,Q156)</x:f>
        <x:v>2</x:v>
      </x:c>
      <x:c r="S156" s="21" t="n">
        <x:v>4</x:v>
      </x:c>
      <x:c r="T156" s="21" t="n">
        <x:f>IF(OR(F156="Hard Case",F156="Bubble Hard Case"),15,IF(F156="Twist Leather Case",5,IF(F156="Z-Fold Case",4,IFERROR(VLOOKUP(B156,'Cost Overrides'!$A$2:$B$17,2,FALSE),S156))))</x:f>
        <x:v>5</x:v>
      </x:c>
      <x:c r="U156" s="21" t="str">
        <x:f>IF(OR(F156="Hard Case",F156="Bubble Hard Case"),"Confirmed: Hard Case",IF(F156="Twist Leather Case","Confirmed: Twist Leather Case",IF(F156="Z-Fold Case","Confirmed: Z-Fold Case",IF(COUNTIF('Cost Overrides'!$A$2:$A$17,B156)&gt;0,"Confirmed: Owner cost override",IF(S156&lt;=0,"Needs cost","Source cost")))))</x:f>
        <x:v>Confirmed: Twist Leather Case</x:v>
      </x:c>
      <x:c r="V156" s="21" t="n">
        <x:v>39.95</x:v>
      </x:c>
      <x:c r="W156" s="21" t="n">
        <x:f>V156</x:f>
        <x:v>39.95</x:v>
      </x:c>
      <x:c r="X156" s="19" t="str">
        <x:v>NO</x:v>
      </x:c>
      <x:c r="Y156" s="19" t="str">
        <x:v>NO</x:v>
      </x:c>
      <x:c r="Z156" s="19" t="str">
        <x:v>42456454</x:v>
      </x:c>
      <x:c r="AA156" s="19" t="str">
        <x:v>50755826</x:v>
      </x:c>
      <x:c r="AB156" s="22" t="str">
        <x:f>IF(OR(M156&lt;&gt;"Approved",U156="Needs cost",O156=""),"Needs review","Ready after approval")</x:f>
        <x:v>Ready after approval</x:v>
      </x:c>
      <x:c r="AC156" s="22" t="str"/>
    </x:row>
    <x:row r="157">
      <x:c r="A157" s="19" t="str">
        <x:v>6741</x:v>
      </x:c>
      <x:c r="B157" s="19" t="str">
        <x:v>TM8-TAB-6741</x:v>
      </x:c>
      <x:c r="C157" s="19" t="str">
        <x:v>2999000067411</x:v>
      </x:c>
      <x:c r="D157" s="22" t="str">
        <x:v>Twist Leather Case 12.9 Inch Gold</x:v>
      </x:c>
      <x:c r="E157" s="22" t="str">
        <x:v>Twist Leather Case for iPad Pro 12.9-inch (2018-2022) - Gold</x:v>
      </x:c>
      <x:c r="F157" s="22" t="str">
        <x:v>Twist Leather Case</x:v>
      </x:c>
      <x:c r="G157" s="22" t="str">
        <x:v>Gold</x:v>
      </x:c>
      <x:c r="H157" s="22" t="str">
        <x:v>TM8-GRP-IPAD-129-LEGACY-TLC</x:v>
      </x:c>
      <x:c r="I157" s="22" t="str">
        <x:v>Twist Leather Case for iPad Pro 12.9-inch (2018-2022)</x:v>
      </x:c>
      <x:c r="J157" s="22" t="str">
        <x:v>iPad 12.9 inch</x:v>
      </x:c>
      <x:c r="K157" s="22" t="str">
        <x:v>IPAD-129-LEGACY</x:v>
      </x:c>
      <x:c r="L157" s="22" t="str">
        <x:v>iPad Pro 12.9-inch (2018-2022)</x:v>
      </x:c>
      <x:c r="M157" s="22" t="str">
        <x:v>Approved</x:v>
      </x:c>
      <x:c r="N157" s="22" t="str">
        <x:v>https://dghyt15qon7us.cloudfront.net/images/productTheme/Inventory/small/1653878587.jpg</x:v>
      </x:c>
      <x:c r="O157" s="22" t="str">
        <x:v>https://dghyt15qon7us.cloudfront.net/images/productTheme/Inventory/small/1653878700.jpg</x:v>
      </x:c>
      <x:c r="P157" s="19" t="str">
        <x:v>park-ridge</x:v>
      </x:c>
      <x:c r="Q157" s="20" t="n">
        <x:v>1</x:v>
      </x:c>
      <x:c r="R157" s="20" t="n">
        <x:f>MAX(0,Q157)</x:f>
        <x:v>1</x:v>
      </x:c>
      <x:c r="S157" s="21" t="n">
        <x:v>4</x:v>
      </x:c>
      <x:c r="T157" s="21" t="n">
        <x:f>IF(OR(F157="Hard Case",F157="Bubble Hard Case"),15,IF(F157="Twist Leather Case",5,IF(F157="Z-Fold Case",4,IFERROR(VLOOKUP(B157,'Cost Overrides'!$A$2:$B$17,2,FALSE),S157))))</x:f>
        <x:v>5</x:v>
      </x:c>
      <x:c r="U157" s="21" t="str">
        <x:f>IF(OR(F157="Hard Case",F157="Bubble Hard Case"),"Confirmed: Hard Case",IF(F157="Twist Leather Case","Confirmed: Twist Leather Case",IF(F157="Z-Fold Case","Confirmed: Z-Fold Case",IF(COUNTIF('Cost Overrides'!$A$2:$A$17,B157)&gt;0,"Confirmed: Owner cost override",IF(S157&lt;=0,"Needs cost","Source cost")))))</x:f>
        <x:v>Confirmed: Twist Leather Case</x:v>
      </x:c>
      <x:c r="V157" s="21" t="n">
        <x:v>39.95</x:v>
      </x:c>
      <x:c r="W157" s="21" t="n">
        <x:f>V157</x:f>
        <x:v>39.95</x:v>
      </x:c>
      <x:c r="X157" s="19" t="str">
        <x:v>NO</x:v>
      </x:c>
      <x:c r="Y157" s="19" t="str">
        <x:v>NO</x:v>
      </x:c>
      <x:c r="Z157" s="19" t="str">
        <x:v>42456453</x:v>
      </x:c>
      <x:c r="AA157" s="19" t="str">
        <x:v>50755824</x:v>
      </x:c>
      <x:c r="AB157" s="22" t="str">
        <x:f>IF(OR(M157&lt;&gt;"Approved",U157="Needs cost",O157=""),"Needs review","Ready after approval")</x:f>
        <x:v>Ready after approval</x:v>
      </x:c>
      <x:c r="AC157" s="22" t="str"/>
    </x:row>
    <x:row r="158">
      <x:c r="A158" s="19" t="str">
        <x:v>6740</x:v>
      </x:c>
      <x:c r="B158" s="19" t="str">
        <x:v>TM8-TAB-6740</x:v>
      </x:c>
      <x:c r="C158" s="19" t="str">
        <x:v>2999000067404</x:v>
      </x:c>
      <x:c r="D158" s="22" t="str">
        <x:v>Twist Leather Case 12.9 Inch Blue</x:v>
      </x:c>
      <x:c r="E158" s="22" t="str">
        <x:v>Twist Leather Case for iPad Pro 12.9-inch (2018-2022) - Blue</x:v>
      </x:c>
      <x:c r="F158" s="22" t="str">
        <x:v>Twist Leather Case</x:v>
      </x:c>
      <x:c r="G158" s="22" t="str">
        <x:v>Blue</x:v>
      </x:c>
      <x:c r="H158" s="22" t="str">
        <x:v>TM8-GRP-IPAD-129-LEGACY-TLC</x:v>
      </x:c>
      <x:c r="I158" s="22" t="str">
        <x:v>Twist Leather Case for iPad Pro 12.9-inch (2018-2022)</x:v>
      </x:c>
      <x:c r="J158" s="22" t="str">
        <x:v>iPad 12.9 inch</x:v>
      </x:c>
      <x:c r="K158" s="22" t="str">
        <x:v>IPAD-129-LEGACY</x:v>
      </x:c>
      <x:c r="L158" s="22" t="str">
        <x:v>iPad Pro 12.9-inch (2018-2022)</x:v>
      </x:c>
      <x:c r="M158" s="22" t="str">
        <x:v>Approved</x:v>
      </x:c>
      <x:c r="N158" s="22" t="str">
        <x:v>https://dghyt15qon7us.cloudfront.net/images/productTheme/Inventory/small/1653878538.jpg</x:v>
      </x:c>
      <x:c r="O158" s="22" t="str">
        <x:v>https://dghyt15qon7us.cloudfront.net/images/productTheme/Inventory/small/1653878700.jpg</x:v>
      </x:c>
      <x:c r="P158" s="19" t="str">
        <x:v>park-ridge</x:v>
      </x:c>
      <x:c r="Q158" s="20" t="n">
        <x:v>1</x:v>
      </x:c>
      <x:c r="R158" s="20" t="n">
        <x:f>MAX(0,Q158)</x:f>
        <x:v>1</x:v>
      </x:c>
      <x:c r="S158" s="21" t="n">
        <x:v>4</x:v>
      </x:c>
      <x:c r="T158" s="21" t="n">
        <x:f>IF(OR(F158="Hard Case",F158="Bubble Hard Case"),15,IF(F158="Twist Leather Case",5,IF(F158="Z-Fold Case",4,IFERROR(VLOOKUP(B158,'Cost Overrides'!$A$2:$B$17,2,FALSE),S158))))</x:f>
        <x:v>5</x:v>
      </x:c>
      <x:c r="U158" s="21" t="str">
        <x:f>IF(OR(F158="Hard Case",F158="Bubble Hard Case"),"Confirmed: Hard Case",IF(F158="Twist Leather Case","Confirmed: Twist Leather Case",IF(F158="Z-Fold Case","Confirmed: Z-Fold Case",IF(COUNTIF('Cost Overrides'!$A$2:$A$17,B158)&gt;0,"Confirmed: Owner cost override",IF(S158&lt;=0,"Needs cost","Source cost")))))</x:f>
        <x:v>Confirmed: Twist Leather Case</x:v>
      </x:c>
      <x:c r="V158" s="21" t="n">
        <x:v>39.95</x:v>
      </x:c>
      <x:c r="W158" s="21" t="n">
        <x:f>V158</x:f>
        <x:v>39.95</x:v>
      </x:c>
      <x:c r="X158" s="19" t="str">
        <x:v>NO</x:v>
      </x:c>
      <x:c r="Y158" s="19" t="str">
        <x:v>NO</x:v>
      </x:c>
      <x:c r="Z158" s="19" t="str">
        <x:v>42456452</x:v>
      </x:c>
      <x:c r="AA158" s="19" t="str">
        <x:v>50755822</x:v>
      </x:c>
      <x:c r="AB158" s="22" t="str">
        <x:f>IF(OR(M158&lt;&gt;"Approved",U158="Needs cost",O158=""),"Needs review","Ready after approval")</x:f>
        <x:v>Ready after approval</x:v>
      </x:c>
      <x:c r="AC158" s="22" t="str"/>
    </x:row>
    <x:row r="159">
      <x:c r="A159" s="19" t="str">
        <x:v>6739</x:v>
      </x:c>
      <x:c r="B159" s="19" t="str">
        <x:v>TM8-TAB-6739</x:v>
      </x:c>
      <x:c r="C159" s="19" t="str">
        <x:v>2999000067398</x:v>
      </x:c>
      <x:c r="D159" s="22" t="str">
        <x:v>Twist Leather Case 12.9 Inch Green</x:v>
      </x:c>
      <x:c r="E159" s="22" t="str">
        <x:v>Twist Leather Case for iPad Pro 12.9-inch (2018-2022) - Green</x:v>
      </x:c>
      <x:c r="F159" s="22" t="str">
        <x:v>Twist Leather Case</x:v>
      </x:c>
      <x:c r="G159" s="22" t="str">
        <x:v>Green</x:v>
      </x:c>
      <x:c r="H159" s="22" t="str">
        <x:v>TM8-GRP-IPAD-129-LEGACY-TLC</x:v>
      </x:c>
      <x:c r="I159" s="22" t="str">
        <x:v>Twist Leather Case for iPad Pro 12.9-inch (2018-2022)</x:v>
      </x:c>
      <x:c r="J159" s="22" t="str">
        <x:v>iPad 12.9 inch</x:v>
      </x:c>
      <x:c r="K159" s="22" t="str">
        <x:v>IPAD-129-LEGACY</x:v>
      </x:c>
      <x:c r="L159" s="22" t="str">
        <x:v>iPad Pro 12.9-inch (2018-2022)</x:v>
      </x:c>
      <x:c r="M159" s="22" t="str">
        <x:v>Approved</x:v>
      </x:c>
      <x:c r="N159" s="22" t="str">
        <x:v>https://dghyt15qon7us.cloudfront.net/images/productTheme/Inventory/small/1653878503.jpg</x:v>
      </x:c>
      <x:c r="O159" s="22" t="str">
        <x:v>https://dghyt15qon7us.cloudfront.net/images/productTheme/Inventory/small/1653878700.jpg</x:v>
      </x:c>
      <x:c r="P159" s="19" t="str">
        <x:v>park-ridge</x:v>
      </x:c>
      <x:c r="Q159" s="20" t="n">
        <x:v>2</x:v>
      </x:c>
      <x:c r="R159" s="20" t="n">
        <x:f>MAX(0,Q159)</x:f>
        <x:v>2</x:v>
      </x:c>
      <x:c r="S159" s="21" t="n">
        <x:v>4</x:v>
      </x:c>
      <x:c r="T159" s="21" t="n">
        <x:f>IF(OR(F159="Hard Case",F159="Bubble Hard Case"),15,IF(F159="Twist Leather Case",5,IF(F159="Z-Fold Case",4,IFERROR(VLOOKUP(B159,'Cost Overrides'!$A$2:$B$17,2,FALSE),S159))))</x:f>
        <x:v>5</x:v>
      </x:c>
      <x:c r="U159" s="21" t="str">
        <x:f>IF(OR(F159="Hard Case",F159="Bubble Hard Case"),"Confirmed: Hard Case",IF(F159="Twist Leather Case","Confirmed: Twist Leather Case",IF(F159="Z-Fold Case","Confirmed: Z-Fold Case",IF(COUNTIF('Cost Overrides'!$A$2:$A$17,B159)&gt;0,"Confirmed: Owner cost override",IF(S159&lt;=0,"Needs cost","Source cost")))))</x:f>
        <x:v>Confirmed: Twist Leather Case</x:v>
      </x:c>
      <x:c r="V159" s="21" t="n">
        <x:v>39.95</x:v>
      </x:c>
      <x:c r="W159" s="21" t="n">
        <x:f>V159</x:f>
        <x:v>39.95</x:v>
      </x:c>
      <x:c r="X159" s="19" t="str">
        <x:v>NO</x:v>
      </x:c>
      <x:c r="Y159" s="19" t="str">
        <x:v>NO</x:v>
      </x:c>
      <x:c r="Z159" s="19" t="str">
        <x:v>42456451</x:v>
      </x:c>
      <x:c r="AA159" s="19" t="str">
        <x:v>50755820</x:v>
      </x:c>
      <x:c r="AB159" s="22" t="str">
        <x:f>IF(OR(M159&lt;&gt;"Approved",U159="Needs cost",O159=""),"Needs review","Ready after approval")</x:f>
        <x:v>Ready after approval</x:v>
      </x:c>
      <x:c r="AC159" s="22" t="str"/>
    </x:row>
    <x:row r="160">
      <x:c r="A160" s="19" t="str">
        <x:v>6738</x:v>
      </x:c>
      <x:c r="B160" s="19" t="str">
        <x:v>TM8-TAB-6738</x:v>
      </x:c>
      <x:c r="C160" s="19" t="str">
        <x:v>2999000067381</x:v>
      </x:c>
      <x:c r="D160" s="22" t="str">
        <x:v>Twist Leather Case Mini 6 Rose Gold</x:v>
      </x:c>
      <x:c r="E160" s="22" t="str">
        <x:v>Twist Leather Case for iPad mini 6 - Rose Gold</x:v>
      </x:c>
      <x:c r="F160" s="22" t="str">
        <x:v>Twist Leather Case</x:v>
      </x:c>
      <x:c r="G160" s="22" t="str">
        <x:v>Rose Gold</x:v>
      </x:c>
      <x:c r="H160" s="22" t="str">
        <x:v>TM8-GRP-IPAD-MINI6-TLC</x:v>
      </x:c>
      <x:c r="I160" s="22" t="str">
        <x:v>Twist Leather Case for iPad mini 6</x:v>
      </x:c>
      <x:c r="J160" s="22" t="str">
        <x:v>iPad mini 6</x:v>
      </x:c>
      <x:c r="K160" s="22" t="str">
        <x:v>IPAD-MINI6</x:v>
      </x:c>
      <x:c r="L160" s="22" t="str">
        <x:v>iPad mini 6</x:v>
      </x:c>
      <x:c r="M160" s="22" t="str">
        <x:v>Proposed</x:v>
      </x:c>
      <x:c r="N160" s="22" t="str">
        <x:v>https://dghyt15qon7us.cloudfront.net/images/productTheme/Inventory/small/1653878427.jpg</x:v>
      </x:c>
      <x:c r="O160" s="22" t="str">
        <x:v>https://dghyt15qon7us.cloudfront.net/images/productTheme/Inventory/small/1651288942.jpg</x:v>
      </x:c>
      <x:c r="P160" s="19" t="str">
        <x:v>park-ridge</x:v>
      </x:c>
      <x:c r="Q160" s="20" t="n">
        <x:v>1</x:v>
      </x:c>
      <x:c r="R160" s="20" t="n">
        <x:f>MAX(0,Q160)</x:f>
        <x:v>1</x:v>
      </x:c>
      <x:c r="S160" s="21" t="n">
        <x:v>3</x:v>
      </x:c>
      <x:c r="T160" s="21" t="n">
        <x:f>IF(OR(F160="Hard Case",F160="Bubble Hard Case"),15,IF(F160="Twist Leather Case",5,IF(F160="Z-Fold Case",4,IFERROR(VLOOKUP(B160,'Cost Overrides'!$A$2:$B$17,2,FALSE),S160))))</x:f>
        <x:v>5</x:v>
      </x:c>
      <x:c r="U160" s="21" t="str">
        <x:f>IF(OR(F160="Hard Case",F160="Bubble Hard Case"),"Confirmed: Hard Case",IF(F160="Twist Leather Case","Confirmed: Twist Leather Case",IF(F160="Z-Fold Case","Confirmed: Z-Fold Case",IF(COUNTIF('Cost Overrides'!$A$2:$A$17,B160)&gt;0,"Confirmed: Owner cost override",IF(S160&lt;=0,"Needs cost","Source cost")))))</x:f>
        <x:v>Confirmed: Twist Leather Case</x:v>
      </x:c>
      <x:c r="V160" s="21" t="n">
        <x:v>39.95</x:v>
      </x:c>
      <x:c r="W160" s="21" t="n">
        <x:f>V160</x:f>
        <x:v>39.95</x:v>
      </x:c>
      <x:c r="X160" s="19" t="str">
        <x:v>NO</x:v>
      </x:c>
      <x:c r="Y160" s="19" t="str">
        <x:v>NO</x:v>
      </x:c>
      <x:c r="Z160" s="19" t="str">
        <x:v>42456450</x:v>
      </x:c>
      <x:c r="AA160" s="19" t="str">
        <x:v>50755818</x:v>
      </x:c>
      <x:c r="AB160" s="22" t="str">
        <x:f>IF(OR(M160&lt;&gt;"Approved",U160="Needs cost",O160=""),"Needs review","Ready after approval")</x:f>
        <x:v>Needs review</x:v>
      </x:c>
      <x:c r="AC160" s="22" t="str"/>
    </x:row>
    <x:row r="161">
      <x:c r="A161" s="19" t="str">
        <x:v>6737</x:v>
      </x:c>
      <x:c r="B161" s="19" t="str">
        <x:v>TM8-TAB-6737</x:v>
      </x:c>
      <x:c r="C161" s="19" t="str">
        <x:v>2999000067374</x:v>
      </x:c>
      <x:c r="D161" s="22" t="str">
        <x:v>Twist Leather Case Mini 6 Red</x:v>
      </x:c>
      <x:c r="E161" s="22" t="str">
        <x:v>Twist Leather Case for iPad mini 6 - Red</x:v>
      </x:c>
      <x:c r="F161" s="22" t="str">
        <x:v>Twist Leather Case</x:v>
      </x:c>
      <x:c r="G161" s="22" t="str">
        <x:v>Red</x:v>
      </x:c>
      <x:c r="H161" s="22" t="str">
        <x:v>TM8-GRP-IPAD-MINI6-TLC</x:v>
      </x:c>
      <x:c r="I161" s="22" t="str">
        <x:v>Twist Leather Case for iPad mini 6</x:v>
      </x:c>
      <x:c r="J161" s="22" t="str">
        <x:v>iPad mini 6</x:v>
      </x:c>
      <x:c r="K161" s="22" t="str">
        <x:v>IPAD-MINI6</x:v>
      </x:c>
      <x:c r="L161" s="22" t="str">
        <x:v>iPad mini 6</x:v>
      </x:c>
      <x:c r="M161" s="22" t="str">
        <x:v>Proposed</x:v>
      </x:c>
      <x:c r="N161" s="22" t="str">
        <x:v>https://dghyt15qon7us.cloudfront.net/images/productTheme/Inventory/small/1653878388.jpg</x:v>
      </x:c>
      <x:c r="O161" s="22" t="str">
        <x:v>https://dghyt15qon7us.cloudfront.net/images/productTheme/Inventory/small/1651288942.jpg</x:v>
      </x:c>
      <x:c r="P161" s="19" t="str">
        <x:v>park-ridge</x:v>
      </x:c>
      <x:c r="Q161" s="20" t="n">
        <x:v>2</x:v>
      </x:c>
      <x:c r="R161" s="20" t="n">
        <x:f>MAX(0,Q161)</x:f>
        <x:v>2</x:v>
      </x:c>
      <x:c r="S161" s="21" t="n">
        <x:v>0</x:v>
      </x:c>
      <x:c r="T161" s="21" t="n">
        <x:f>IF(OR(F161="Hard Case",F161="Bubble Hard Case"),15,IF(F161="Twist Leather Case",5,IF(F161="Z-Fold Case",4,IFERROR(VLOOKUP(B161,'Cost Overrides'!$A$2:$B$17,2,FALSE),S161))))</x:f>
        <x:v>5</x:v>
      </x:c>
      <x:c r="U161" s="21" t="str">
        <x:f>IF(OR(F161="Hard Case",F161="Bubble Hard Case"),"Confirmed: Hard Case",IF(F161="Twist Leather Case","Confirmed: Twist Leather Case",IF(F161="Z-Fold Case","Confirmed: Z-Fold Case",IF(COUNTIF('Cost Overrides'!$A$2:$A$17,B161)&gt;0,"Confirmed: Owner cost override",IF(S161&lt;=0,"Needs cost","Source cost")))))</x:f>
        <x:v>Confirmed: Twist Leather Case</x:v>
      </x:c>
      <x:c r="V161" s="21" t="n">
        <x:v>39.95</x:v>
      </x:c>
      <x:c r="W161" s="21" t="n">
        <x:f>V161</x:f>
        <x:v>39.95</x:v>
      </x:c>
      <x:c r="X161" s="19" t="str">
        <x:v>NO</x:v>
      </x:c>
      <x:c r="Y161" s="19" t="str">
        <x:v>NO</x:v>
      </x:c>
      <x:c r="Z161" s="19" t="str">
        <x:v>42456449</x:v>
      </x:c>
      <x:c r="AA161" s="19" t="str">
        <x:v>50755816</x:v>
      </x:c>
      <x:c r="AB161" s="22" t="str">
        <x:f>IF(OR(M161&lt;&gt;"Approved",U161="Needs cost",O161=""),"Needs review","Ready after approval")</x:f>
        <x:v>Needs review</x:v>
      </x:c>
      <x:c r="AC161" s="22" t="str"/>
    </x:row>
    <x:row r="162">
      <x:c r="A162" s="19" t="str">
        <x:v>6736</x:v>
      </x:c>
      <x:c r="B162" s="19" t="str">
        <x:v>TM8-TAB-6736</x:v>
      </x:c>
      <x:c r="C162" s="19" t="str">
        <x:v>2999000067367</x:v>
      </x:c>
      <x:c r="D162" s="22" t="str">
        <x:v>Twist Leather Case Mini 4/5 Rose Gold</x:v>
      </x:c>
      <x:c r="E162" s="22" t="str">
        <x:v>Twist Leather Case for iPad mini 4/5 - Rose Gold</x:v>
      </x:c>
      <x:c r="F162" s="22" t="str">
        <x:v>Twist Leather Case</x:v>
      </x:c>
      <x:c r="G162" s="22" t="str">
        <x:v>Rose Gold</x:v>
      </x:c>
      <x:c r="H162" s="22" t="str">
        <x:v>TM8-GRP-IPAD-MINI45-TLC</x:v>
      </x:c>
      <x:c r="I162" s="22" t="str">
        <x:v>Twist Leather Case for iPad mini 4/5</x:v>
      </x:c>
      <x:c r="J162" s="22" t="str">
        <x:v>iPad mini 4/5</x:v>
      </x:c>
      <x:c r="K162" s="22" t="str">
        <x:v>IPAD-MINI45</x:v>
      </x:c>
      <x:c r="L162" s="22" t="str">
        <x:v>iPad mini 4/5</x:v>
      </x:c>
      <x:c r="M162" s="22" t="str">
        <x:v>Proposed</x:v>
      </x:c>
      <x:c r="N162" s="22" t="str">
        <x:v>https://dghyt15qon7us.cloudfront.net/images/productTheme/Inventory/small/1653878337.jpg</x:v>
      </x:c>
      <x:c r="O162" s="22" t="str">
        <x:v>https://dghyt15qon7us.cloudfront.net/images/productTheme/Inventory/small/1651285708.jpg</x:v>
      </x:c>
      <x:c r="P162" s="19" t="str">
        <x:v>park-ridge</x:v>
      </x:c>
      <x:c r="Q162" s="20" t="n">
        <x:v>0</x:v>
      </x:c>
      <x:c r="R162" s="20" t="n">
        <x:f>MAX(0,Q162)</x:f>
        <x:v>0</x:v>
      </x:c>
      <x:c r="S162" s="21" t="n">
        <x:v>3</x:v>
      </x:c>
      <x:c r="T162" s="21" t="n">
        <x:f>IF(OR(F162="Hard Case",F162="Bubble Hard Case"),15,IF(F162="Twist Leather Case",5,IF(F162="Z-Fold Case",4,IFERROR(VLOOKUP(B162,'Cost Overrides'!$A$2:$B$17,2,FALSE),S162))))</x:f>
        <x:v>5</x:v>
      </x:c>
      <x:c r="U162" s="21" t="str">
        <x:f>IF(OR(F162="Hard Case",F162="Bubble Hard Case"),"Confirmed: Hard Case",IF(F162="Twist Leather Case","Confirmed: Twist Leather Case",IF(F162="Z-Fold Case","Confirmed: Z-Fold Case",IF(COUNTIF('Cost Overrides'!$A$2:$A$17,B162)&gt;0,"Confirmed: Owner cost override",IF(S162&lt;=0,"Needs cost","Source cost")))))</x:f>
        <x:v>Confirmed: Twist Leather Case</x:v>
      </x:c>
      <x:c r="V162" s="21" t="n">
        <x:v>39.95</x:v>
      </x:c>
      <x:c r="W162" s="21" t="n">
        <x:f>V162</x:f>
        <x:v>39.95</x:v>
      </x:c>
      <x:c r="X162" s="19" t="str">
        <x:v>NO</x:v>
      </x:c>
      <x:c r="Y162" s="19" t="str">
        <x:v>NO</x:v>
      </x:c>
      <x:c r="Z162" s="19" t="str">
        <x:v>42456448</x:v>
      </x:c>
      <x:c r="AA162" s="19" t="str">
        <x:v>50755814</x:v>
      </x:c>
      <x:c r="AB162" s="22" t="str">
        <x:f>IF(OR(M162&lt;&gt;"Approved",U162="Needs cost",O162=""),"Needs review","Ready after approval")</x:f>
        <x:v>Needs review</x:v>
      </x:c>
      <x:c r="AC162" s="22" t="str"/>
    </x:row>
    <x:row r="163">
      <x:c r="A163" s="19" t="str">
        <x:v>6735</x:v>
      </x:c>
      <x:c r="B163" s="19" t="str">
        <x:v>TM8-TAB-6735</x:v>
      </x:c>
      <x:c r="C163" s="19" t="str">
        <x:v>2999000067350</x:v>
      </x:c>
      <x:c r="D163" s="22" t="str">
        <x:v>Twist Leather Case Mini 4/5 Red</x:v>
      </x:c>
      <x:c r="E163" s="22" t="str">
        <x:v>Twist Leather Case for iPad mini 4/5 - Red</x:v>
      </x:c>
      <x:c r="F163" s="22" t="str">
        <x:v>Twist Leather Case</x:v>
      </x:c>
      <x:c r="G163" s="22" t="str">
        <x:v>Red</x:v>
      </x:c>
      <x:c r="H163" s="22" t="str">
        <x:v>TM8-GRP-IPAD-MINI45-TLC</x:v>
      </x:c>
      <x:c r="I163" s="22" t="str">
        <x:v>Twist Leather Case for iPad mini 4/5</x:v>
      </x:c>
      <x:c r="J163" s="22" t="str">
        <x:v>iPad mini 4/5</x:v>
      </x:c>
      <x:c r="K163" s="22" t="str">
        <x:v>IPAD-MINI45</x:v>
      </x:c>
      <x:c r="L163" s="22" t="str">
        <x:v>iPad mini 4/5</x:v>
      </x:c>
      <x:c r="M163" s="22" t="str">
        <x:v>Proposed</x:v>
      </x:c>
      <x:c r="N163" s="22" t="str">
        <x:v>https://dghyt15qon7us.cloudfront.net/images/productTheme/Inventory/small/1653878305.jpg</x:v>
      </x:c>
      <x:c r="O163" s="22" t="str">
        <x:v>https://dghyt15qon7us.cloudfront.net/images/productTheme/Inventory/small/1651285708.jpg</x:v>
      </x:c>
      <x:c r="P163" s="19" t="str">
        <x:v>park-ridge</x:v>
      </x:c>
      <x:c r="Q163" s="20" t="n">
        <x:v>0</x:v>
      </x:c>
      <x:c r="R163" s="20" t="n">
        <x:f>MAX(0,Q163)</x:f>
        <x:v>0</x:v>
      </x:c>
      <x:c r="S163" s="21" t="n">
        <x:v>3</x:v>
      </x:c>
      <x:c r="T163" s="21" t="n">
        <x:f>IF(OR(F163="Hard Case",F163="Bubble Hard Case"),15,IF(F163="Twist Leather Case",5,IF(F163="Z-Fold Case",4,IFERROR(VLOOKUP(B163,'Cost Overrides'!$A$2:$B$17,2,FALSE),S163))))</x:f>
        <x:v>5</x:v>
      </x:c>
      <x:c r="U163" s="21" t="str">
        <x:f>IF(OR(F163="Hard Case",F163="Bubble Hard Case"),"Confirmed: Hard Case",IF(F163="Twist Leather Case","Confirmed: Twist Leather Case",IF(F163="Z-Fold Case","Confirmed: Z-Fold Case",IF(COUNTIF('Cost Overrides'!$A$2:$A$17,B163)&gt;0,"Confirmed: Owner cost override",IF(S163&lt;=0,"Needs cost","Source cost")))))</x:f>
        <x:v>Confirmed: Twist Leather Case</x:v>
      </x:c>
      <x:c r="V163" s="21" t="n">
        <x:v>39.95</x:v>
      </x:c>
      <x:c r="W163" s="21" t="n">
        <x:f>V163</x:f>
        <x:v>39.95</x:v>
      </x:c>
      <x:c r="X163" s="19" t="str">
        <x:v>NO</x:v>
      </x:c>
      <x:c r="Y163" s="19" t="str">
        <x:v>NO</x:v>
      </x:c>
      <x:c r="Z163" s="19" t="str">
        <x:v>42456447</x:v>
      </x:c>
      <x:c r="AA163" s="19" t="str">
        <x:v>50755812</x:v>
      </x:c>
      <x:c r="AB163" s="22" t="str">
        <x:f>IF(OR(M163&lt;&gt;"Approved",U163="Needs cost",O163=""),"Needs review","Ready after approval")</x:f>
        <x:v>Needs review</x:v>
      </x:c>
      <x:c r="AC163" s="22" t="str"/>
    </x:row>
    <x:row r="164">
      <x:c r="A164" s="19" t="str">
        <x:v>6734</x:v>
      </x:c>
      <x:c r="B164" s="19" t="str">
        <x:v>TM8-TAB-6734</x:v>
      </x:c>
      <x:c r="C164" s="19" t="str">
        <x:v>2999000067343</x:v>
      </x:c>
      <x:c r="D164" s="22" t="str">
        <x:v>Twist Leather Case 9.7 Inch Rose Gold</x:v>
      </x:c>
      <x:c r="E164" s="22" t="str">
        <x:v>Twist Leather Case for iPad 9.7-inch (Gen 5/6 and Air 1/2) - Rose Gold</x:v>
      </x:c>
      <x:c r="F164" s="22" t="str">
        <x:v>Twist Leather Case</x:v>
      </x:c>
      <x:c r="G164" s="22" t="str">
        <x:v>Rose Gold</x:v>
      </x:c>
      <x:c r="H164" s="22" t="str">
        <x:v>TM8-GRP-IPAD-97-LEGACY-TLC</x:v>
      </x:c>
      <x:c r="I164" s="22" t="str">
        <x:v>Twist Leather Case for iPad 9.7-inch (Gen 5/6 and Air 1/2)</x:v>
      </x:c>
      <x:c r="J164" s="22" t="str">
        <x:v>iPad 9.7 Inch</x:v>
      </x:c>
      <x:c r="K164" s="22" t="str">
        <x:v>IPAD-97-LEGACY</x:v>
      </x:c>
      <x:c r="L164" s="22" t="str">
        <x:v>iPad 9.7-inch (Gen 5/6 and Air 1/2)</x:v>
      </x:c>
      <x:c r="M164" s="22" t="str">
        <x:v>Approved</x:v>
      </x:c>
      <x:c r="N164" s="22" t="str">
        <x:v>https://dghyt15qon7us.cloudfront.net/images/productTheme/Inventory/small/1653877871.jpg</x:v>
      </x:c>
      <x:c r="O164" s="22" t="str">
        <x:v>https://dghyt15qon7us.cloudfront.net/images/productTheme/Inventory/small/1651289074.jpg</x:v>
      </x:c>
      <x:c r="P164" s="19" t="str">
        <x:v>park-ridge</x:v>
      </x:c>
      <x:c r="Q164" s="20" t="n">
        <x:v>2</x:v>
      </x:c>
      <x:c r="R164" s="20" t="n">
        <x:f>MAX(0,Q164)</x:f>
        <x:v>2</x:v>
      </x:c>
      <x:c r="S164" s="21" t="n">
        <x:v>0</x:v>
      </x:c>
      <x:c r="T164" s="21" t="n">
        <x:f>IF(OR(F164="Hard Case",F164="Bubble Hard Case"),15,IF(F164="Twist Leather Case",5,IF(F164="Z-Fold Case",4,IFERROR(VLOOKUP(B164,'Cost Overrides'!$A$2:$B$17,2,FALSE),S164))))</x:f>
        <x:v>5</x:v>
      </x:c>
      <x:c r="U164" s="21" t="str">
        <x:f>IF(OR(F164="Hard Case",F164="Bubble Hard Case"),"Confirmed: Hard Case",IF(F164="Twist Leather Case","Confirmed: Twist Leather Case",IF(F164="Z-Fold Case","Confirmed: Z-Fold Case",IF(COUNTIF('Cost Overrides'!$A$2:$A$17,B164)&gt;0,"Confirmed: Owner cost override",IF(S164&lt;=0,"Needs cost","Source cost")))))</x:f>
        <x:v>Confirmed: Twist Leather Case</x:v>
      </x:c>
      <x:c r="V164" s="21" t="n">
        <x:v>39.95</x:v>
      </x:c>
      <x:c r="W164" s="21" t="n">
        <x:f>V164</x:f>
        <x:v>39.95</x:v>
      </x:c>
      <x:c r="X164" s="19" t="str">
        <x:v>NO</x:v>
      </x:c>
      <x:c r="Y164" s="19" t="str">
        <x:v>NO</x:v>
      </x:c>
      <x:c r="Z164" s="19" t="str">
        <x:v>42456446</x:v>
      </x:c>
      <x:c r="AA164" s="19" t="str">
        <x:v>50755810</x:v>
      </x:c>
      <x:c r="AB164" s="22" t="str">
        <x:f>IF(OR(M164&lt;&gt;"Approved",U164="Needs cost",O164=""),"Needs review","Ready after approval")</x:f>
        <x:v>Ready after approval</x:v>
      </x:c>
      <x:c r="AC164" s="22" t="str"/>
    </x:row>
    <x:row r="165">
      <x:c r="A165" s="19" t="str">
        <x:v>6733</x:v>
      </x:c>
      <x:c r="B165" s="19" t="str">
        <x:v>TM8-TAB-6733</x:v>
      </x:c>
      <x:c r="C165" s="19" t="str">
        <x:v>2999000067336</x:v>
      </x:c>
      <x:c r="D165" s="22" t="str">
        <x:v>Twist Leather Case 9.7 Inch Red</x:v>
      </x:c>
      <x:c r="E165" s="22" t="str">
        <x:v>Twist Leather Case for iPad 9.7-inch (Gen 5/6 and Air 1/2) - Red</x:v>
      </x:c>
      <x:c r="F165" s="22" t="str">
        <x:v>Twist Leather Case</x:v>
      </x:c>
      <x:c r="G165" s="22" t="str">
        <x:v>Red</x:v>
      </x:c>
      <x:c r="H165" s="22" t="str">
        <x:v>TM8-GRP-IPAD-97-LEGACY-TLC</x:v>
      </x:c>
      <x:c r="I165" s="22" t="str">
        <x:v>Twist Leather Case for iPad 9.7-inch (Gen 5/6 and Air 1/2)</x:v>
      </x:c>
      <x:c r="J165" s="22" t="str">
        <x:v>iPad 9.7 Inch</x:v>
      </x:c>
      <x:c r="K165" s="22" t="str">
        <x:v>IPAD-97-LEGACY</x:v>
      </x:c>
      <x:c r="L165" s="22" t="str">
        <x:v>iPad 9.7-inch (Gen 5/6 and Air 1/2)</x:v>
      </x:c>
      <x:c r="M165" s="22" t="str">
        <x:v>Approved</x:v>
      </x:c>
      <x:c r="N165" s="22" t="str">
        <x:v>https://dghyt15qon7us.cloudfront.net/images/productTheme/Inventory/small/1653877836.jpg</x:v>
      </x:c>
      <x:c r="O165" s="22" t="str">
        <x:v>https://dghyt15qon7us.cloudfront.net/images/productTheme/Inventory/small/1651289074.jpg</x:v>
      </x:c>
      <x:c r="P165" s="19" t="str">
        <x:v>park-ridge</x:v>
      </x:c>
      <x:c r="Q165" s="20" t="n">
        <x:v>0</x:v>
      </x:c>
      <x:c r="R165" s="20" t="n">
        <x:f>MAX(0,Q165)</x:f>
        <x:v>0</x:v>
      </x:c>
      <x:c r="S165" s="21" t="n">
        <x:v>0</x:v>
      </x:c>
      <x:c r="T165" s="21" t="n">
        <x:f>IF(OR(F165="Hard Case",F165="Bubble Hard Case"),15,IF(F165="Twist Leather Case",5,IF(F165="Z-Fold Case",4,IFERROR(VLOOKUP(B165,'Cost Overrides'!$A$2:$B$17,2,FALSE),S165))))</x:f>
        <x:v>5</x:v>
      </x:c>
      <x:c r="U165" s="21" t="str">
        <x:f>IF(OR(F165="Hard Case",F165="Bubble Hard Case"),"Confirmed: Hard Case",IF(F165="Twist Leather Case","Confirmed: Twist Leather Case",IF(F165="Z-Fold Case","Confirmed: Z-Fold Case",IF(COUNTIF('Cost Overrides'!$A$2:$A$17,B165)&gt;0,"Confirmed: Owner cost override",IF(S165&lt;=0,"Needs cost","Source cost")))))</x:f>
        <x:v>Confirmed: Twist Leather Case</x:v>
      </x:c>
      <x:c r="V165" s="21" t="n">
        <x:v>39.95</x:v>
      </x:c>
      <x:c r="W165" s="21" t="n">
        <x:f>V165</x:f>
        <x:v>39.95</x:v>
      </x:c>
      <x:c r="X165" s="19" t="str">
        <x:v>NO</x:v>
      </x:c>
      <x:c r="Y165" s="19" t="str">
        <x:v>NO</x:v>
      </x:c>
      <x:c r="Z165" s="19" t="str">
        <x:v>42456445</x:v>
      </x:c>
      <x:c r="AA165" s="19" t="str">
        <x:v>50755808</x:v>
      </x:c>
      <x:c r="AB165" s="22" t="str">
        <x:f>IF(OR(M165&lt;&gt;"Approved",U165="Needs cost",O165=""),"Needs review","Ready after approval")</x:f>
        <x:v>Ready after approval</x:v>
      </x:c>
      <x:c r="AC165" s="22" t="str"/>
    </x:row>
    <x:row r="166">
      <x:c r="A166" s="19" t="str">
        <x:v>6732</x:v>
      </x:c>
      <x:c r="B166" s="19" t="str">
        <x:v>TM8-TAB-6732</x:v>
      </x:c>
      <x:c r="C166" s="19" t="str">
        <x:v>2999000067329</x:v>
      </x:c>
      <x:c r="D166" s="22" t="str">
        <x:v>Twist Leather Case 9.7 Inch Purple</x:v>
      </x:c>
      <x:c r="E166" s="22" t="str">
        <x:v>Twist Leather Case for iPad 9.7-inch (Gen 5/6 and Air 1/2) - Purple</x:v>
      </x:c>
      <x:c r="F166" s="22" t="str">
        <x:v>Twist Leather Case</x:v>
      </x:c>
      <x:c r="G166" s="22" t="str">
        <x:v>Purple</x:v>
      </x:c>
      <x:c r="H166" s="22" t="str">
        <x:v>TM8-GRP-IPAD-97-LEGACY-TLC</x:v>
      </x:c>
      <x:c r="I166" s="22" t="str">
        <x:v>Twist Leather Case for iPad 9.7-inch (Gen 5/6 and Air 1/2)</x:v>
      </x:c>
      <x:c r="J166" s="22" t="str">
        <x:v>iPad 9.7 Inch</x:v>
      </x:c>
      <x:c r="K166" s="22" t="str">
        <x:v>IPAD-97-LEGACY</x:v>
      </x:c>
      <x:c r="L166" s="22" t="str">
        <x:v>iPad 9.7-inch (Gen 5/6 and Air 1/2)</x:v>
      </x:c>
      <x:c r="M166" s="22" t="str">
        <x:v>Approved</x:v>
      </x:c>
      <x:c r="N166" s="22" t="str">
        <x:v>https://dghyt15qon7us.cloudfront.net/images/productTheme/Inventory/small/1653877804.jpg</x:v>
      </x:c>
      <x:c r="O166" s="22" t="str">
        <x:v>https://dghyt15qon7us.cloudfront.net/images/productTheme/Inventory/small/1651289074.jpg</x:v>
      </x:c>
      <x:c r="P166" s="19" t="str">
        <x:v>park-ridge</x:v>
      </x:c>
      <x:c r="Q166" s="20" t="n">
        <x:v>0</x:v>
      </x:c>
      <x:c r="R166" s="20" t="n">
        <x:f>MAX(0,Q166)</x:f>
        <x:v>0</x:v>
      </x:c>
      <x:c r="S166" s="21" t="n">
        <x:v>3</x:v>
      </x:c>
      <x:c r="T166" s="21" t="n">
        <x:f>IF(OR(F166="Hard Case",F166="Bubble Hard Case"),15,IF(F166="Twist Leather Case",5,IF(F166="Z-Fold Case",4,IFERROR(VLOOKUP(B166,'Cost Overrides'!$A$2:$B$17,2,FALSE),S166))))</x:f>
        <x:v>5</x:v>
      </x:c>
      <x:c r="U166" s="21" t="str">
        <x:f>IF(OR(F166="Hard Case",F166="Bubble Hard Case"),"Confirmed: Hard Case",IF(F166="Twist Leather Case","Confirmed: Twist Leather Case",IF(F166="Z-Fold Case","Confirmed: Z-Fold Case",IF(COUNTIF('Cost Overrides'!$A$2:$A$17,B166)&gt;0,"Confirmed: Owner cost override",IF(S166&lt;=0,"Needs cost","Source cost")))))</x:f>
        <x:v>Confirmed: Twist Leather Case</x:v>
      </x:c>
      <x:c r="V166" s="21" t="n">
        <x:v>39.95</x:v>
      </x:c>
      <x:c r="W166" s="21" t="n">
        <x:f>V166</x:f>
        <x:v>39.95</x:v>
      </x:c>
      <x:c r="X166" s="19" t="str">
        <x:v>NO</x:v>
      </x:c>
      <x:c r="Y166" s="19" t="str">
        <x:v>NO</x:v>
      </x:c>
      <x:c r="Z166" s="19" t="str">
        <x:v>42456444</x:v>
      </x:c>
      <x:c r="AA166" s="19" t="str">
        <x:v>50755806</x:v>
      </x:c>
      <x:c r="AB166" s="22" t="str">
        <x:f>IF(OR(M166&lt;&gt;"Approved",U166="Needs cost",O166=""),"Needs review","Ready after approval")</x:f>
        <x:v>Ready after approval</x:v>
      </x:c>
      <x:c r="AC166" s="22" t="str"/>
    </x:row>
    <x:row r="167">
      <x:c r="A167" s="19" t="str">
        <x:v>6731</x:v>
      </x:c>
      <x:c r="B167" s="19" t="str">
        <x:v>TM8-TAB-6731</x:v>
      </x:c>
      <x:c r="C167" s="19" t="str">
        <x:v>2999000067312</x:v>
      </x:c>
      <x:c r="D167" s="22" t="str">
        <x:v>Twist Leather Case 9.7 Inch Brown</x:v>
      </x:c>
      <x:c r="E167" s="22" t="str">
        <x:v>Twist Leather Case for iPad 9.7-inch (Gen 5/6 and Air 1/2) - Brown</x:v>
      </x:c>
      <x:c r="F167" s="22" t="str">
        <x:v>Twist Leather Case</x:v>
      </x:c>
      <x:c r="G167" s="22" t="str">
        <x:v>Brown</x:v>
      </x:c>
      <x:c r="H167" s="22" t="str">
        <x:v>TM8-GRP-IPAD-97-LEGACY-TLC</x:v>
      </x:c>
      <x:c r="I167" s="22" t="str">
        <x:v>Twist Leather Case for iPad 9.7-inch (Gen 5/6 and Air 1/2)</x:v>
      </x:c>
      <x:c r="J167" s="22" t="str">
        <x:v>iPad 9.7 Inch</x:v>
      </x:c>
      <x:c r="K167" s="22" t="str">
        <x:v>IPAD-97-LEGACY</x:v>
      </x:c>
      <x:c r="L167" s="22" t="str">
        <x:v>iPad 9.7-inch (Gen 5/6 and Air 1/2)</x:v>
      </x:c>
      <x:c r="M167" s="22" t="str">
        <x:v>Approved</x:v>
      </x:c>
      <x:c r="N167" s="22" t="str">
        <x:v>https://dghyt15qon7us.cloudfront.net/images/productTheme/Inventory/small/1653877753.jpg</x:v>
      </x:c>
      <x:c r="O167" s="22" t="str">
        <x:v>https://dghyt15qon7us.cloudfront.net/images/productTheme/Inventory/small/1651289074.jpg</x:v>
      </x:c>
      <x:c r="P167" s="19" t="str">
        <x:v>park-ridge</x:v>
      </x:c>
      <x:c r="Q167" s="20" t="n">
        <x:v>0</x:v>
      </x:c>
      <x:c r="R167" s="20" t="n">
        <x:f>MAX(0,Q167)</x:f>
        <x:v>0</x:v>
      </x:c>
      <x:c r="S167" s="21" t="n">
        <x:v>0</x:v>
      </x:c>
      <x:c r="T167" s="21" t="n">
        <x:f>IF(OR(F167="Hard Case",F167="Bubble Hard Case"),15,IF(F167="Twist Leather Case",5,IF(F167="Z-Fold Case",4,IFERROR(VLOOKUP(B167,'Cost Overrides'!$A$2:$B$17,2,FALSE),S167))))</x:f>
        <x:v>5</x:v>
      </x:c>
      <x:c r="U167" s="21" t="str">
        <x:f>IF(OR(F167="Hard Case",F167="Bubble Hard Case"),"Confirmed: Hard Case",IF(F167="Twist Leather Case","Confirmed: Twist Leather Case",IF(F167="Z-Fold Case","Confirmed: Z-Fold Case",IF(COUNTIF('Cost Overrides'!$A$2:$A$17,B167)&gt;0,"Confirmed: Owner cost override",IF(S167&lt;=0,"Needs cost","Source cost")))))</x:f>
        <x:v>Confirmed: Twist Leather Case</x:v>
      </x:c>
      <x:c r="V167" s="21" t="n">
        <x:v>39.95</x:v>
      </x:c>
      <x:c r="W167" s="21" t="n">
        <x:f>V167</x:f>
        <x:v>39.95</x:v>
      </x:c>
      <x:c r="X167" s="19" t="str">
        <x:v>NO</x:v>
      </x:c>
      <x:c r="Y167" s="19" t="str">
        <x:v>NO</x:v>
      </x:c>
      <x:c r="Z167" s="19" t="str">
        <x:v>42456443</x:v>
      </x:c>
      <x:c r="AA167" s="19" t="str">
        <x:v>50755804</x:v>
      </x:c>
      <x:c r="AB167" s="22" t="str">
        <x:f>IF(OR(M167&lt;&gt;"Approved",U167="Needs cost",O167=""),"Needs review","Ready after approval")</x:f>
        <x:v>Ready after approval</x:v>
      </x:c>
      <x:c r="AC167" s="22" t="str"/>
    </x:row>
    <x:row r="168">
      <x:c r="A168" s="19" t="str">
        <x:v>6730</x:v>
      </x:c>
      <x:c r="B168" s="19" t="str">
        <x:v>TM8-TAB-6730</x:v>
      </x:c>
      <x:c r="C168" s="19" t="str">
        <x:v>2999000067305</x:v>
      </x:c>
      <x:c r="D168" s="22" t="str">
        <x:v>Twist Leather Case Air 4/5 , Por 11 Rose Gold</x:v>
      </x:c>
      <x:c r="E168" s="22" t="str">
        <x:v>Twist Leather Case for iPad Air 4/5 and iPad Pro 11 (2018-2022) - Rose Gold</x:v>
      </x:c>
      <x:c r="F168" s="22" t="str">
        <x:v>Twist Leather Case</x:v>
      </x:c>
      <x:c r="G168" s="22" t="str">
        <x:v>Rose Gold</x:v>
      </x:c>
      <x:c r="H168" s="22" t="str">
        <x:v>TM8-GRP-IPAD-AIR45-PRO11-TLC</x:v>
      </x:c>
      <x:c r="I168" s="22" t="str">
        <x:v>Twist Leather Case for iPad Air 4/5 and iPad Pro 11 (2018-2022)</x:v>
      </x:c>
      <x:c r="J168" s="22" t="str">
        <x:v>iPad Air 4/5, Pro 11</x:v>
      </x:c>
      <x:c r="K168" s="22" t="str">
        <x:v>IPAD-AIR45-PRO11</x:v>
      </x:c>
      <x:c r="L168" s="22" t="str">
        <x:v>iPad Air 4/5 and iPad Pro 11 (2018-2022)</x:v>
      </x:c>
      <x:c r="M168" s="22" t="str">
        <x:v>Approved</x:v>
      </x:c>
      <x:c r="N168" s="22" t="str">
        <x:v>https://dghyt15qon7us.cloudfront.net/images/productTheme/Inventory/small/165387821842456442.jpg</x:v>
      </x:c>
      <x:c r="O168" s="22" t="str">
        <x:v>https://dghyt15qon7us.cloudfront.net/images/productTheme/Inventory/small/1651289741.jpg</x:v>
      </x:c>
      <x:c r="P168" s="19" t="str">
        <x:v>park-ridge</x:v>
      </x:c>
      <x:c r="Q168" s="20" t="n">
        <x:v>0</x:v>
      </x:c>
      <x:c r="R168" s="20" t="n">
        <x:f>MAX(0,Q168)</x:f>
        <x:v>0</x:v>
      </x:c>
      <x:c r="S168" s="21" t="n">
        <x:v>3</x:v>
      </x:c>
      <x:c r="T168" s="21" t="n">
        <x:f>IF(OR(F168="Hard Case",F168="Bubble Hard Case"),15,IF(F168="Twist Leather Case",5,IF(F168="Z-Fold Case",4,IFERROR(VLOOKUP(B168,'Cost Overrides'!$A$2:$B$17,2,FALSE),S168))))</x:f>
        <x:v>5</x:v>
      </x:c>
      <x:c r="U168" s="21" t="str">
        <x:f>IF(OR(F168="Hard Case",F168="Bubble Hard Case"),"Confirmed: Hard Case",IF(F168="Twist Leather Case","Confirmed: Twist Leather Case",IF(F168="Z-Fold Case","Confirmed: Z-Fold Case",IF(COUNTIF('Cost Overrides'!$A$2:$A$17,B168)&gt;0,"Confirmed: Owner cost override",IF(S168&lt;=0,"Needs cost","Source cost")))))</x:f>
        <x:v>Confirmed: Twist Leather Case</x:v>
      </x:c>
      <x:c r="V168" s="21" t="n">
        <x:v>39.95</x:v>
      </x:c>
      <x:c r="W168" s="21" t="n">
        <x:f>V168</x:f>
        <x:v>39.95</x:v>
      </x:c>
      <x:c r="X168" s="19" t="str">
        <x:v>NO</x:v>
      </x:c>
      <x:c r="Y168" s="19" t="str">
        <x:v>NO</x:v>
      </x:c>
      <x:c r="Z168" s="19" t="str">
        <x:v>42456442</x:v>
      </x:c>
      <x:c r="AA168" s="19" t="str">
        <x:v>50755802</x:v>
      </x:c>
      <x:c r="AB168" s="22" t="str">
        <x:f>IF(OR(M168&lt;&gt;"Approved",U168="Needs cost",O168=""),"Needs review","Ready after approval")</x:f>
        <x:v>Ready after approval</x:v>
      </x:c>
      <x:c r="AC168" s="22" t="str"/>
    </x:row>
    <x:row r="169">
      <x:c r="A169" s="19" t="str">
        <x:v>6729</x:v>
      </x:c>
      <x:c r="B169" s="19" t="str">
        <x:v>TM8-TAB-6729</x:v>
      </x:c>
      <x:c r="C169" s="19" t="str">
        <x:v>2999000067299</x:v>
      </x:c>
      <x:c r="D169" s="22" t="str">
        <x:v>Twist Leather Case Air 4/5 , Por 11 Red</x:v>
      </x:c>
      <x:c r="E169" s="22" t="str">
        <x:v>Twist Leather Case for iPad Air 4/5 and iPad Pro 11 (2018-2022) - Red</x:v>
      </x:c>
      <x:c r="F169" s="22" t="str">
        <x:v>Twist Leather Case</x:v>
      </x:c>
      <x:c r="G169" s="22" t="str">
        <x:v>Red</x:v>
      </x:c>
      <x:c r="H169" s="22" t="str">
        <x:v>TM8-GRP-IPAD-AIR45-PRO11-TLC</x:v>
      </x:c>
      <x:c r="I169" s="22" t="str">
        <x:v>Twist Leather Case for iPad Air 4/5 and iPad Pro 11 (2018-2022)</x:v>
      </x:c>
      <x:c r="J169" s="22" t="str">
        <x:v>iPad Air 4/5, Pro 11</x:v>
      </x:c>
      <x:c r="K169" s="22" t="str">
        <x:v>IPAD-AIR45-PRO11</x:v>
      </x:c>
      <x:c r="L169" s="22" t="str">
        <x:v>iPad Air 4/5 and iPad Pro 11 (2018-2022)</x:v>
      </x:c>
      <x:c r="M169" s="22" t="str">
        <x:v>Approved</x:v>
      </x:c>
      <x:c r="N169" s="22" t="str">
        <x:v>https://dghyt15qon7us.cloudfront.net/images/productTheme/Inventory/small/1653877467.jpg</x:v>
      </x:c>
      <x:c r="O169" s="22" t="str">
        <x:v>https://dghyt15qon7us.cloudfront.net/images/productTheme/Inventory/small/1651289741.jpg</x:v>
      </x:c>
      <x:c r="P169" s="19" t="str">
        <x:v>park-ridge</x:v>
      </x:c>
      <x:c r="Q169" s="20" t="n">
        <x:v>1</x:v>
      </x:c>
      <x:c r="R169" s="20" t="n">
        <x:f>MAX(0,Q169)</x:f>
        <x:v>1</x:v>
      </x:c>
      <x:c r="S169" s="21" t="n">
        <x:v>3</x:v>
      </x:c>
      <x:c r="T169" s="21" t="n">
        <x:f>IF(OR(F169="Hard Case",F169="Bubble Hard Case"),15,IF(F169="Twist Leather Case",5,IF(F169="Z-Fold Case",4,IFERROR(VLOOKUP(B169,'Cost Overrides'!$A$2:$B$17,2,FALSE),S169))))</x:f>
        <x:v>5</x:v>
      </x:c>
      <x:c r="U169" s="21" t="str">
        <x:f>IF(OR(F169="Hard Case",F169="Bubble Hard Case"),"Confirmed: Hard Case",IF(F169="Twist Leather Case","Confirmed: Twist Leather Case",IF(F169="Z-Fold Case","Confirmed: Z-Fold Case",IF(COUNTIF('Cost Overrides'!$A$2:$A$17,B169)&gt;0,"Confirmed: Owner cost override",IF(S169&lt;=0,"Needs cost","Source cost")))))</x:f>
        <x:v>Confirmed: Twist Leather Case</x:v>
      </x:c>
      <x:c r="V169" s="21" t="n">
        <x:v>39.95</x:v>
      </x:c>
      <x:c r="W169" s="21" t="n">
        <x:f>V169</x:f>
        <x:v>39.95</x:v>
      </x:c>
      <x:c r="X169" s="19" t="str">
        <x:v>NO</x:v>
      </x:c>
      <x:c r="Y169" s="19" t="str">
        <x:v>NO</x:v>
      </x:c>
      <x:c r="Z169" s="19" t="str">
        <x:v>42456441</x:v>
      </x:c>
      <x:c r="AA169" s="19" t="str">
        <x:v>50755800</x:v>
      </x:c>
      <x:c r="AB169" s="22" t="str">
        <x:f>IF(OR(M169&lt;&gt;"Approved",U169="Needs cost",O169=""),"Needs review","Ready after approval")</x:f>
        <x:v>Ready after approval</x:v>
      </x:c>
      <x:c r="AC169" s="22" t="str"/>
    </x:row>
    <x:row r="170">
      <x:c r="A170" s="19" t="str">
        <x:v>6728</x:v>
      </x:c>
      <x:c r="B170" s="19" t="str">
        <x:v>TM8-TAB-6728</x:v>
      </x:c>
      <x:c r="C170" s="19" t="str">
        <x:v>2999000067282</x:v>
      </x:c>
      <x:c r="D170" s="22" t="str">
        <x:v>Twist Leather Case 10.2 Inch Rose Gold</x:v>
      </x:c>
      <x:c r="E170" s="22" t="str">
        <x:v>Twist Leather Case for iPad 10.2-inch (Gen 7/8/9) - Rose Gold</x:v>
      </x:c>
      <x:c r="F170" s="22" t="str">
        <x:v>Twist Leather Case</x:v>
      </x:c>
      <x:c r="G170" s="22" t="str">
        <x:v>Rose Gold</x:v>
      </x:c>
      <x:c r="H170" s="22" t="str">
        <x:v>TM8-GRP-IPAD-102-GEN789-TLC</x:v>
      </x:c>
      <x:c r="I170" s="22" t="str">
        <x:v>Twist Leather Case for iPad 10.2-inch (Gen 7/8/9)</x:v>
      </x:c>
      <x:c r="J170" s="22" t="str">
        <x:v>iPad 10.2 Inch</x:v>
      </x:c>
      <x:c r="K170" s="22" t="str">
        <x:v>IPAD-102-GEN789</x:v>
      </x:c>
      <x:c r="L170" s="22" t="str">
        <x:v>iPad 10.2-inch (Gen 7/8/9)</x:v>
      </x:c>
      <x:c r="M170" s="22" t="str">
        <x:v>Proposed</x:v>
      </x:c>
      <x:c r="N170" s="22" t="str">
        <x:v>https://dghyt15qon7us.cloudfront.net/images/productTheme/Inventory/small/1653877329.jpg</x:v>
      </x:c>
      <x:c r="O170" s="22" t="str">
        <x:v>https://dghyt15qon7us.cloudfront.net/images/productTheme/Inventory/small/1651290060.jpg</x:v>
      </x:c>
      <x:c r="P170" s="19" t="str">
        <x:v>park-ridge</x:v>
      </x:c>
      <x:c r="Q170" s="20" t="n">
        <x:v>5</x:v>
      </x:c>
      <x:c r="R170" s="20" t="n">
        <x:f>MAX(0,Q170)</x:f>
        <x:v>5</x:v>
      </x:c>
      <x:c r="S170" s="21" t="n">
        <x:v>3</x:v>
      </x:c>
      <x:c r="T170" s="21" t="n">
        <x:f>IF(OR(F170="Hard Case",F170="Bubble Hard Case"),15,IF(F170="Twist Leather Case",5,IF(F170="Z-Fold Case",4,IFERROR(VLOOKUP(B170,'Cost Overrides'!$A$2:$B$17,2,FALSE),S170))))</x:f>
        <x:v>5</x:v>
      </x:c>
      <x:c r="U170" s="21" t="str">
        <x:f>IF(OR(F170="Hard Case",F170="Bubble Hard Case"),"Confirmed: Hard Case",IF(F170="Twist Leather Case","Confirmed: Twist Leather Case",IF(F170="Z-Fold Case","Confirmed: Z-Fold Case",IF(COUNTIF('Cost Overrides'!$A$2:$A$17,B170)&gt;0,"Confirmed: Owner cost override",IF(S170&lt;=0,"Needs cost","Source cost")))))</x:f>
        <x:v>Confirmed: Twist Leather Case</x:v>
      </x:c>
      <x:c r="V170" s="21" t="n">
        <x:v>39.95</x:v>
      </x:c>
      <x:c r="W170" s="21" t="n">
        <x:f>V170</x:f>
        <x:v>39.95</x:v>
      </x:c>
      <x:c r="X170" s="19" t="str">
        <x:v>NO</x:v>
      </x:c>
      <x:c r="Y170" s="19" t="str">
        <x:v>NO</x:v>
      </x:c>
      <x:c r="Z170" s="19" t="str">
        <x:v>42456440</x:v>
      </x:c>
      <x:c r="AA170" s="19" t="str">
        <x:v>50755798</x:v>
      </x:c>
      <x:c r="AB170" s="22" t="str">
        <x:f>IF(OR(M170&lt;&gt;"Approved",U170="Needs cost",O170=""),"Needs review","Ready after approval")</x:f>
        <x:v>Needs review</x:v>
      </x:c>
      <x:c r="AC170" s="22" t="str"/>
    </x:row>
    <x:row r="171">
      <x:c r="A171" s="19" t="str">
        <x:v>6727</x:v>
      </x:c>
      <x:c r="B171" s="19" t="str">
        <x:v>TM8-TAB-6727</x:v>
      </x:c>
      <x:c r="C171" s="19" t="str">
        <x:v>2999000067275</x:v>
      </x:c>
      <x:c r="D171" s="22" t="str">
        <x:v>Twist Leather Case 10.2 Inch Red</x:v>
      </x:c>
      <x:c r="E171" s="22" t="str">
        <x:v>Twist Leather Case for iPad 10.2-inch (Gen 7/8/9) - Red</x:v>
      </x:c>
      <x:c r="F171" s="22" t="str">
        <x:v>Twist Leather Case</x:v>
      </x:c>
      <x:c r="G171" s="22" t="str">
        <x:v>Red</x:v>
      </x:c>
      <x:c r="H171" s="22" t="str">
        <x:v>TM8-GRP-IPAD-102-GEN789-TLC</x:v>
      </x:c>
      <x:c r="I171" s="22" t="str">
        <x:v>Twist Leather Case for iPad 10.2-inch (Gen 7/8/9)</x:v>
      </x:c>
      <x:c r="J171" s="22" t="str">
        <x:v>iPad 10.2 Inch</x:v>
      </x:c>
      <x:c r="K171" s="22" t="str">
        <x:v>IPAD-102-GEN789</x:v>
      </x:c>
      <x:c r="L171" s="22" t="str">
        <x:v>iPad 10.2-inch (Gen 7/8/9)</x:v>
      </x:c>
      <x:c r="M171" s="22" t="str">
        <x:v>Proposed</x:v>
      </x:c>
      <x:c r="N171" s="22" t="str">
        <x:v>https://dghyt15qon7us.cloudfront.net/images/productTheme/Inventory/small/1653877271.jpg</x:v>
      </x:c>
      <x:c r="O171" s="22" t="str">
        <x:v>https://dghyt15qon7us.cloudfront.net/images/productTheme/Inventory/small/1651290060.jpg</x:v>
      </x:c>
      <x:c r="P171" s="19" t="str">
        <x:v>park-ridge</x:v>
      </x:c>
      <x:c r="Q171" s="20" t="n">
        <x:v>3</x:v>
      </x:c>
      <x:c r="R171" s="20" t="n">
        <x:f>MAX(0,Q171)</x:f>
        <x:v>3</x:v>
      </x:c>
      <x:c r="S171" s="21" t="n">
        <x:v>0</x:v>
      </x:c>
      <x:c r="T171" s="21" t="n">
        <x:f>IF(OR(F171="Hard Case",F171="Bubble Hard Case"),15,IF(F171="Twist Leather Case",5,IF(F171="Z-Fold Case",4,IFERROR(VLOOKUP(B171,'Cost Overrides'!$A$2:$B$17,2,FALSE),S171))))</x:f>
        <x:v>5</x:v>
      </x:c>
      <x:c r="U171" s="21" t="str">
        <x:f>IF(OR(F171="Hard Case",F171="Bubble Hard Case"),"Confirmed: Hard Case",IF(F171="Twist Leather Case","Confirmed: Twist Leather Case",IF(F171="Z-Fold Case","Confirmed: Z-Fold Case",IF(COUNTIF('Cost Overrides'!$A$2:$A$17,B171)&gt;0,"Confirmed: Owner cost override",IF(S171&lt;=0,"Needs cost","Source cost")))))</x:f>
        <x:v>Confirmed: Twist Leather Case</x:v>
      </x:c>
      <x:c r="V171" s="21" t="n">
        <x:v>39.95</x:v>
      </x:c>
      <x:c r="W171" s="21" t="n">
        <x:f>V171</x:f>
        <x:v>39.95</x:v>
      </x:c>
      <x:c r="X171" s="19" t="str">
        <x:v>NO</x:v>
      </x:c>
      <x:c r="Y171" s="19" t="str">
        <x:v>NO</x:v>
      </x:c>
      <x:c r="Z171" s="19" t="str">
        <x:v>42456439</x:v>
      </x:c>
      <x:c r="AA171" s="19" t="str">
        <x:v>50755796</x:v>
      </x:c>
      <x:c r="AB171" s="22" t="str">
        <x:f>IF(OR(M171&lt;&gt;"Approved",U171="Needs cost",O171=""),"Needs review","Ready after approval")</x:f>
        <x:v>Needs review</x:v>
      </x:c>
      <x:c r="AC171" s="22" t="str"/>
    </x:row>
    <x:row r="172">
      <x:c r="A172" s="19" t="str">
        <x:v>6691</x:v>
      </x:c>
      <x:c r="B172" s="19" t="str">
        <x:v>TM8-TAB-6691</x:v>
      </x:c>
      <x:c r="C172" s="19" t="str">
        <x:v>2999000066919</x:v>
      </x:c>
      <x:c r="D172" s="22" t="str">
        <x:v>iPad Hard Case Samsung A8</x:v>
      </x:c>
      <x:c r="E172" s="22" t="str">
        <x:v>Hard Case for Samsung Galaxy Tab A8</x:v>
      </x:c>
      <x:c r="F172" s="22" t="str">
        <x:v>Hard Case</x:v>
      </x:c>
      <x:c r="G172" s="22" t="str">
        <x:v>Unspecified</x:v>
      </x:c>
      <x:c r="H172" s="22" t="str">
        <x:v>TM8-GRP-SAMSUNG-A8-HDC</x:v>
      </x:c>
      <x:c r="I172" s="22" t="str">
        <x:v>Hard Case for Samsung Galaxy Tab A8</x:v>
      </x:c>
      <x:c r="J172" s="22" t="str">
        <x:v>Samsung Tablet</x:v>
      </x:c>
      <x:c r="K172" s="22" t="str">
        <x:v>SAMSUNG-A8</x:v>
      </x:c>
      <x:c r="L172" s="22" t="str">
        <x:v>Samsung Galaxy Tab A8</x:v>
      </x:c>
      <x:c r="M172" s="22" t="str">
        <x:v>Proposed</x:v>
      </x:c>
      <x:c r="N172" s="22" t="str">
        <x:v>https://dghyt15qon7us.cloudfront.net/images/productTheme/Inventory/small/1651814860.jpg</x:v>
      </x:c>
      <x:c r="O172" s="22" t="str">
        <x:v>https://dghyt15qon7us.cloudfront.net/images/productTheme/Inventory/small/1651814860.jpg</x:v>
      </x:c>
      <x:c r="P172" s="19" t="str">
        <x:v>park-ridge</x:v>
      </x:c>
      <x:c r="Q172" s="20" t="n">
        <x:v>-1</x:v>
      </x:c>
      <x:c r="R172" s="20" t="n">
        <x:f>MAX(0,Q172)</x:f>
        <x:v>0</x:v>
      </x:c>
      <x:c r="S172" s="21" t="n">
        <x:v>0</x:v>
      </x:c>
      <x:c r="T172" s="21" t="n">
        <x:f>IF(OR(F172="Hard Case",F172="Bubble Hard Case"),15,IF(F172="Twist Leather Case",5,IF(F172="Z-Fold Case",4,IFERROR(VLOOKUP(B172,'Cost Overrides'!$A$2:$B$17,2,FALSE),S172))))</x:f>
        <x:v>15</x:v>
      </x:c>
      <x:c r="U172" s="21" t="str">
        <x:f>IF(OR(F172="Hard Case",F172="Bubble Hard Case"),"Confirmed: Hard Case",IF(F172="Twist Leather Case","Confirmed: Twist Leather Case",IF(F172="Z-Fold Case","Confirmed: Z-Fold Case",IF(COUNTIF('Cost Overrides'!$A$2:$A$17,B172)&gt;0,"Confirmed: Owner cost override",IF(S172&lt;=0,"Needs cost","Source cost")))))</x:f>
        <x:v>Confirmed: Hard Case</x:v>
      </x:c>
      <x:c r="V172" s="21" t="n">
        <x:v>49.95</x:v>
      </x:c>
      <x:c r="W172" s="21" t="n">
        <x:f>V172</x:f>
        <x:v>49.95</x:v>
      </x:c>
      <x:c r="X172" s="19" t="str">
        <x:v>NO</x:v>
      </x:c>
      <x:c r="Y172" s="19" t="str">
        <x:v>NO</x:v>
      </x:c>
      <x:c r="Z172" s="19" t="str">
        <x:v>42456403</x:v>
      </x:c>
      <x:c r="AA172" s="19" t="str">
        <x:v>50755724</x:v>
      </x:c>
      <x:c r="AB172" s="22" t="str">
        <x:f>IF(OR(M172&lt;&gt;"Approved",U172="Needs cost",O172=""),"Needs review","Ready after approval")</x:f>
        <x:v>Needs review</x:v>
      </x:c>
      <x:c r="AC172" s="22" t="str">
        <x:v>Negative source stock clipped to zero.</x:v>
      </x:c>
    </x:row>
    <x:row r="173">
      <x:c r="A173" s="19" t="str">
        <x:v>6663</x:v>
      </x:c>
      <x:c r="B173" s="19" t="str">
        <x:v>TM8-TAB-6663</x:v>
      </x:c>
      <x:c r="C173" s="19" t="str">
        <x:v>2999000066636</x:v>
      </x:c>
      <x:c r="D173" s="22" t="str">
        <x:v>Kids ibuy 9.7 Inch</x:v>
      </x:c>
      <x:c r="E173" s="22" t="str">
        <x:v>Unclassified Case for iPad 9.7-inch (Gen 5/6 and Air 1/2)</x:v>
      </x:c>
      <x:c r="F173" s="22" t="str">
        <x:v>Unclassified Case</x:v>
      </x:c>
      <x:c r="G173" s="22" t="str">
        <x:v>Unspecified</x:v>
      </x:c>
      <x:c r="H173" s="22" t="str">
        <x:v>TM8-GRP-IPAD-97-LEGACY-UNC</x:v>
      </x:c>
      <x:c r="I173" s="22" t="str">
        <x:v>Unclassified Case for iPad 9.7-inch (Gen 5/6 and Air 1/2)</x:v>
      </x:c>
      <x:c r="J173" s="22" t="str">
        <x:v>iPad 9.7 Inch</x:v>
      </x:c>
      <x:c r="K173" s="22" t="str">
        <x:v>IPAD-97-LEGACY</x:v>
      </x:c>
      <x:c r="L173" s="22" t="str">
        <x:v>iPad 9.7-inch (Gen 5/6 and Air 1/2)</x:v>
      </x:c>
      <x:c r="M173" s="22" t="str">
        <x:v>Approved</x:v>
      </x:c>
      <x:c r="N173" s="22" t="str">
        <x:v>https://dghyt15qon7us.cloudfront.net/images/productTheme/Inventory/small/1651364133.jpg</x:v>
      </x:c>
      <x:c r="O173" s="22" t="str">
        <x:v>https://dghyt15qon7us.cloudfront.net/images/productTheme/Inventory/small/1651364133.jpg</x:v>
      </x:c>
      <x:c r="P173" s="19" t="str">
        <x:v>park-ridge</x:v>
      </x:c>
      <x:c r="Q173" s="20" t="n">
        <x:v>0</x:v>
      </x:c>
      <x:c r="R173" s="20" t="n">
        <x:f>MAX(0,Q173)</x:f>
        <x:v>0</x:v>
      </x:c>
      <x:c r="S173" s="21" t="n">
        <x:v>0</x:v>
      </x:c>
      <x:c r="T173" s="21" t="n">
        <x:f>IF(OR(F173="Hard Case",F173="Bubble Hard Case"),15,IF(F173="Twist Leather Case",5,IF(F173="Z-Fold Case",4,IFERROR(VLOOKUP(B173,'Cost Overrides'!$A$2:$B$17,2,FALSE),S173))))</x:f>
        <x:v>15</x:v>
      </x:c>
      <x:c r="U173" s="21" t="str">
        <x:f>IF(OR(F173="Hard Case",F173="Bubble Hard Case"),"Confirmed: Hard Case",IF(F173="Twist Leather Case","Confirmed: Twist Leather Case",IF(F173="Z-Fold Case","Confirmed: Z-Fold Case",IF(COUNTIF('Cost Overrides'!$A$2:$A$17,B173)&gt;0,"Confirmed: Owner cost override",IF(S173&lt;=0,"Needs cost","Source cost")))))</x:f>
        <x:v>Confirmed: Owner cost override</x:v>
      </x:c>
      <x:c r="V173" s="21" t="n">
        <x:v>45</x:v>
      </x:c>
      <x:c r="W173" s="21" t="n">
        <x:f>V173</x:f>
        <x:v>45</x:v>
      </x:c>
      <x:c r="X173" s="19" t="str">
        <x:v>NO</x:v>
      </x:c>
      <x:c r="Y173" s="19" t="str">
        <x:v>NO</x:v>
      </x:c>
      <x:c r="Z173" s="19" t="str">
        <x:v>42456375</x:v>
      </x:c>
      <x:c r="AA173" s="19" t="str">
        <x:v>50755675</x:v>
      </x:c>
      <x:c r="AB173" s="22" t="str">
        <x:f>IF(OR(M173&lt;&gt;"Approved",U173="Needs cost",O173=""),"Needs review","Ready after approval")</x:f>
        <x:v>Ready after approval</x:v>
      </x:c>
      <x:c r="AC173" s="22" t="str"/>
    </x:row>
    <x:row r="174">
      <x:c r="A174" s="19" t="str">
        <x:v>6657</x:v>
      </x:c>
      <x:c r="B174" s="19" t="str">
        <x:v>TM8-TAB-6657</x:v>
      </x:c>
      <x:c r="C174" s="19" t="str">
        <x:v>2999000066575</x:v>
      </x:c>
      <x:c r="D174" s="22" t="str">
        <x:v>Twist Leather Case 10.2 Inch Pink</x:v>
      </x:c>
      <x:c r="E174" s="22" t="str">
        <x:v>Twist Leather Case for iPad 10.2-inch (Gen 7/8/9) - Pink</x:v>
      </x:c>
      <x:c r="F174" s="22" t="str">
        <x:v>Twist Leather Case</x:v>
      </x:c>
      <x:c r="G174" s="22" t="str">
        <x:v>Pink</x:v>
      </x:c>
      <x:c r="H174" s="22" t="str">
        <x:v>TM8-GRP-IPAD-102-GEN789-TLC</x:v>
      </x:c>
      <x:c r="I174" s="22" t="str">
        <x:v>Twist Leather Case for iPad 10.2-inch (Gen 7/8/9)</x:v>
      </x:c>
      <x:c r="J174" s="22" t="str">
        <x:v>iPad 10.2 Inch</x:v>
      </x:c>
      <x:c r="K174" s="22" t="str">
        <x:v>IPAD-102-GEN789</x:v>
      </x:c>
      <x:c r="L174" s="22" t="str">
        <x:v>iPad 10.2-inch (Gen 7/8/9)</x:v>
      </x:c>
      <x:c r="M174" s="22" t="str">
        <x:v>Proposed</x:v>
      </x:c>
      <x:c r="N174" s="22" t="str">
        <x:v>https://dghyt15qon7us.cloudfront.net/images/productTheme/Inventory/small/1651290196.jpg</x:v>
      </x:c>
      <x:c r="O174" s="22" t="str">
        <x:v>https://dghyt15qon7us.cloudfront.net/images/productTheme/Inventory/small/1651290060.jpg</x:v>
      </x:c>
      <x:c r="P174" s="19" t="str">
        <x:v>park-ridge</x:v>
      </x:c>
      <x:c r="Q174" s="20" t="n">
        <x:v>1</x:v>
      </x:c>
      <x:c r="R174" s="20" t="n">
        <x:f>MAX(0,Q174)</x:f>
        <x:v>1</x:v>
      </x:c>
      <x:c r="S174" s="21" t="n">
        <x:v>3</x:v>
      </x:c>
      <x:c r="T174" s="21" t="n">
        <x:f>IF(OR(F174="Hard Case",F174="Bubble Hard Case"),15,IF(F174="Twist Leather Case",5,IF(F174="Z-Fold Case",4,IFERROR(VLOOKUP(B174,'Cost Overrides'!$A$2:$B$17,2,FALSE),S174))))</x:f>
        <x:v>5</x:v>
      </x:c>
      <x:c r="U174" s="21" t="str">
        <x:f>IF(OR(F174="Hard Case",F174="Bubble Hard Case"),"Confirmed: Hard Case",IF(F174="Twist Leather Case","Confirmed: Twist Leather Case",IF(F174="Z-Fold Case","Confirmed: Z-Fold Case",IF(COUNTIF('Cost Overrides'!$A$2:$A$17,B174)&gt;0,"Confirmed: Owner cost override",IF(S174&lt;=0,"Needs cost","Source cost")))))</x:f>
        <x:v>Confirmed: Twist Leather Case</x:v>
      </x:c>
      <x:c r="V174" s="21" t="n">
        <x:v>39.95</x:v>
      </x:c>
      <x:c r="W174" s="21" t="n">
        <x:f>V174</x:f>
        <x:v>39.95</x:v>
      </x:c>
      <x:c r="X174" s="19" t="str">
        <x:v>NO</x:v>
      </x:c>
      <x:c r="Y174" s="19" t="str">
        <x:v>NO</x:v>
      </x:c>
      <x:c r="Z174" s="19" t="str">
        <x:v>42456369</x:v>
      </x:c>
      <x:c r="AA174" s="19" t="str">
        <x:v>50755655</x:v>
      </x:c>
      <x:c r="AB174" s="22" t="str">
        <x:f>IF(OR(M174&lt;&gt;"Approved",U174="Needs cost",O174=""),"Needs review","Ready after approval")</x:f>
        <x:v>Needs review</x:v>
      </x:c>
      <x:c r="AC174" s="22" t="str"/>
    </x:row>
    <x:row r="175">
      <x:c r="A175" s="19" t="str">
        <x:v>6656</x:v>
      </x:c>
      <x:c r="B175" s="19" t="str">
        <x:v>TM8-TAB-6656</x:v>
      </x:c>
      <x:c r="C175" s="19" t="str">
        <x:v>2999000066568</x:v>
      </x:c>
      <x:c r="D175" s="22" t="str">
        <x:v>Twist Leather Case 10.2 Inch Gold</x:v>
      </x:c>
      <x:c r="E175" s="22" t="str">
        <x:v>Twist Leather Case for iPad 10.2-inch (Gen 7/8/9) - Gold</x:v>
      </x:c>
      <x:c r="F175" s="22" t="str">
        <x:v>Twist Leather Case</x:v>
      </x:c>
      <x:c r="G175" s="22" t="str">
        <x:v>Gold</x:v>
      </x:c>
      <x:c r="H175" s="22" t="str">
        <x:v>TM8-GRP-IPAD-102-GEN789-TLC</x:v>
      </x:c>
      <x:c r="I175" s="22" t="str">
        <x:v>Twist Leather Case for iPad 10.2-inch (Gen 7/8/9)</x:v>
      </x:c>
      <x:c r="J175" s="22" t="str">
        <x:v>iPad 10.2 Inch</x:v>
      </x:c>
      <x:c r="K175" s="22" t="str">
        <x:v>IPAD-102-GEN789</x:v>
      </x:c>
      <x:c r="L175" s="22" t="str">
        <x:v>iPad 10.2-inch (Gen 7/8/9)</x:v>
      </x:c>
      <x:c r="M175" s="22" t="str">
        <x:v>Proposed</x:v>
      </x:c>
      <x:c r="N175" s="22" t="str">
        <x:v>https://dghyt15qon7us.cloudfront.net/images/productTheme/Inventory/small/1651290161.jpg</x:v>
      </x:c>
      <x:c r="O175" s="22" t="str">
        <x:v>https://dghyt15qon7us.cloudfront.net/images/productTheme/Inventory/small/1651290060.jpg</x:v>
      </x:c>
      <x:c r="P175" s="19" t="str">
        <x:v>park-ridge</x:v>
      </x:c>
      <x:c r="Q175" s="20" t="n">
        <x:v>2</x:v>
      </x:c>
      <x:c r="R175" s="20" t="n">
        <x:f>MAX(0,Q175)</x:f>
        <x:v>2</x:v>
      </x:c>
      <x:c r="S175" s="21" t="n">
        <x:v>0</x:v>
      </x:c>
      <x:c r="T175" s="21" t="n">
        <x:f>IF(OR(F175="Hard Case",F175="Bubble Hard Case"),15,IF(F175="Twist Leather Case",5,IF(F175="Z-Fold Case",4,IFERROR(VLOOKUP(B175,'Cost Overrides'!$A$2:$B$17,2,FALSE),S175))))</x:f>
        <x:v>5</x:v>
      </x:c>
      <x:c r="U175" s="21" t="str">
        <x:f>IF(OR(F175="Hard Case",F175="Bubble Hard Case"),"Confirmed: Hard Case",IF(F175="Twist Leather Case","Confirmed: Twist Leather Case",IF(F175="Z-Fold Case","Confirmed: Z-Fold Case",IF(COUNTIF('Cost Overrides'!$A$2:$A$17,B175)&gt;0,"Confirmed: Owner cost override",IF(S175&lt;=0,"Needs cost","Source cost")))))</x:f>
        <x:v>Confirmed: Twist Leather Case</x:v>
      </x:c>
      <x:c r="V175" s="21" t="n">
        <x:v>39.95</x:v>
      </x:c>
      <x:c r="W175" s="21" t="n">
        <x:f>V175</x:f>
        <x:v>39.95</x:v>
      </x:c>
      <x:c r="X175" s="19" t="str">
        <x:v>NO</x:v>
      </x:c>
      <x:c r="Y175" s="19" t="str">
        <x:v>NO</x:v>
      </x:c>
      <x:c r="Z175" s="19" t="str">
        <x:v>42456368</x:v>
      </x:c>
      <x:c r="AA175" s="19" t="str">
        <x:v>50755653</x:v>
      </x:c>
      <x:c r="AB175" s="22" t="str">
        <x:f>IF(OR(M175&lt;&gt;"Approved",U175="Needs cost",O175=""),"Needs review","Ready after approval")</x:f>
        <x:v>Needs review</x:v>
      </x:c>
      <x:c r="AC175" s="22" t="str"/>
    </x:row>
    <x:row r="176">
      <x:c r="A176" s="19" t="str">
        <x:v>6655</x:v>
      </x:c>
      <x:c r="B176" s="19" t="str">
        <x:v>TM8-TAB-6655</x:v>
      </x:c>
      <x:c r="C176" s="19" t="str">
        <x:v>2999000066551</x:v>
      </x:c>
      <x:c r="D176" s="22" t="str">
        <x:v>Twist Leather Case 10.2 Inch Blue</x:v>
      </x:c>
      <x:c r="E176" s="22" t="str">
        <x:v>Twist Leather Case for iPad 10.2-inch (Gen 7/8/9) - Blue</x:v>
      </x:c>
      <x:c r="F176" s="22" t="str">
        <x:v>Twist Leather Case</x:v>
      </x:c>
      <x:c r="G176" s="22" t="str">
        <x:v>Blue</x:v>
      </x:c>
      <x:c r="H176" s="22" t="str">
        <x:v>TM8-GRP-IPAD-102-GEN789-TLC</x:v>
      </x:c>
      <x:c r="I176" s="22" t="str">
        <x:v>Twist Leather Case for iPad 10.2-inch (Gen 7/8/9)</x:v>
      </x:c>
      <x:c r="J176" s="22" t="str">
        <x:v>iPad 10.2 Inch</x:v>
      </x:c>
      <x:c r="K176" s="22" t="str">
        <x:v>IPAD-102-GEN789</x:v>
      </x:c>
      <x:c r="L176" s="22" t="str">
        <x:v>iPad 10.2-inch (Gen 7/8/9)</x:v>
      </x:c>
      <x:c r="M176" s="22" t="str">
        <x:v>Proposed</x:v>
      </x:c>
      <x:c r="N176" s="22" t="str">
        <x:v>https://dghyt15qon7us.cloudfront.net/images/productTheme/Inventory/small/1651290128.jpg</x:v>
      </x:c>
      <x:c r="O176" s="22" t="str">
        <x:v>https://dghyt15qon7us.cloudfront.net/images/productTheme/Inventory/small/1651290060.jpg</x:v>
      </x:c>
      <x:c r="P176" s="19" t="str">
        <x:v>park-ridge</x:v>
      </x:c>
      <x:c r="Q176" s="20" t="n">
        <x:v>2</x:v>
      </x:c>
      <x:c r="R176" s="20" t="n">
        <x:f>MAX(0,Q176)</x:f>
        <x:v>2</x:v>
      </x:c>
      <x:c r="S176" s="21" t="n">
        <x:v>3</x:v>
      </x:c>
      <x:c r="T176" s="21" t="n">
        <x:f>IF(OR(F176="Hard Case",F176="Bubble Hard Case"),15,IF(F176="Twist Leather Case",5,IF(F176="Z-Fold Case",4,IFERROR(VLOOKUP(B176,'Cost Overrides'!$A$2:$B$17,2,FALSE),S176))))</x:f>
        <x:v>5</x:v>
      </x:c>
      <x:c r="U176" s="21" t="str">
        <x:f>IF(OR(F176="Hard Case",F176="Bubble Hard Case"),"Confirmed: Hard Case",IF(F176="Twist Leather Case","Confirmed: Twist Leather Case",IF(F176="Z-Fold Case","Confirmed: Z-Fold Case",IF(COUNTIF('Cost Overrides'!$A$2:$A$17,B176)&gt;0,"Confirmed: Owner cost override",IF(S176&lt;=0,"Needs cost","Source cost")))))</x:f>
        <x:v>Confirmed: Twist Leather Case</x:v>
      </x:c>
      <x:c r="V176" s="21" t="n">
        <x:v>39.95</x:v>
      </x:c>
      <x:c r="W176" s="21" t="n">
        <x:f>V176</x:f>
        <x:v>39.95</x:v>
      </x:c>
      <x:c r="X176" s="19" t="str">
        <x:v>NO</x:v>
      </x:c>
      <x:c r="Y176" s="19" t="str">
        <x:v>NO</x:v>
      </x:c>
      <x:c r="Z176" s="19" t="str">
        <x:v>42456367</x:v>
      </x:c>
      <x:c r="AA176" s="19" t="str">
        <x:v>50755651</x:v>
      </x:c>
      <x:c r="AB176" s="22" t="str">
        <x:f>IF(OR(M176&lt;&gt;"Approved",U176="Needs cost",O176=""),"Needs review","Ready after approval")</x:f>
        <x:v>Needs review</x:v>
      </x:c>
      <x:c r="AC176" s="22" t="str"/>
    </x:row>
    <x:row r="177">
      <x:c r="A177" s="19" t="str">
        <x:v>6654</x:v>
      </x:c>
      <x:c r="B177" s="19" t="str">
        <x:v>TM8-TAB-6654</x:v>
      </x:c>
      <x:c r="C177" s="19" t="str">
        <x:v>2999000066544</x:v>
      </x:c>
      <x:c r="D177" s="22" t="str">
        <x:v>Twist Leather Case 10.2 Inch Green</x:v>
      </x:c>
      <x:c r="E177" s="22" t="str">
        <x:v>Twist Leather Case for iPad 10.2-inch (Gen 7/8/9) - Green</x:v>
      </x:c>
      <x:c r="F177" s="22" t="str">
        <x:v>Twist Leather Case</x:v>
      </x:c>
      <x:c r="G177" s="22" t="str">
        <x:v>Green</x:v>
      </x:c>
      <x:c r="H177" s="22" t="str">
        <x:v>TM8-GRP-IPAD-102-GEN789-TLC</x:v>
      </x:c>
      <x:c r="I177" s="22" t="str">
        <x:v>Twist Leather Case for iPad 10.2-inch (Gen 7/8/9)</x:v>
      </x:c>
      <x:c r="J177" s="22" t="str">
        <x:v>iPad 10.2 Inch</x:v>
      </x:c>
      <x:c r="K177" s="22" t="str">
        <x:v>IPAD-102-GEN789</x:v>
      </x:c>
      <x:c r="L177" s="22" t="str">
        <x:v>iPad 10.2-inch (Gen 7/8/9)</x:v>
      </x:c>
      <x:c r="M177" s="22" t="str">
        <x:v>Proposed</x:v>
      </x:c>
      <x:c r="N177" s="22" t="str">
        <x:v>https://dghyt15qon7us.cloudfront.net/images/productTheme/Inventory/small/1651290107.jpg</x:v>
      </x:c>
      <x:c r="O177" s="22" t="str">
        <x:v>https://dghyt15qon7us.cloudfront.net/images/productTheme/Inventory/small/1651290060.jpg</x:v>
      </x:c>
      <x:c r="P177" s="19" t="str">
        <x:v>park-ridge</x:v>
      </x:c>
      <x:c r="Q177" s="20" t="n">
        <x:v>1</x:v>
      </x:c>
      <x:c r="R177" s="20" t="n">
        <x:f>MAX(0,Q177)</x:f>
        <x:v>1</x:v>
      </x:c>
      <x:c r="S177" s="21" t="n">
        <x:v>3</x:v>
      </x:c>
      <x:c r="T177" s="21" t="n">
        <x:f>IF(OR(F177="Hard Case",F177="Bubble Hard Case"),15,IF(F177="Twist Leather Case",5,IF(F177="Z-Fold Case",4,IFERROR(VLOOKUP(B177,'Cost Overrides'!$A$2:$B$17,2,FALSE),S177))))</x:f>
        <x:v>5</x:v>
      </x:c>
      <x:c r="U177" s="21" t="str">
        <x:f>IF(OR(F177="Hard Case",F177="Bubble Hard Case"),"Confirmed: Hard Case",IF(F177="Twist Leather Case","Confirmed: Twist Leather Case",IF(F177="Z-Fold Case","Confirmed: Z-Fold Case",IF(COUNTIF('Cost Overrides'!$A$2:$A$17,B177)&gt;0,"Confirmed: Owner cost override",IF(S177&lt;=0,"Needs cost","Source cost")))))</x:f>
        <x:v>Confirmed: Twist Leather Case</x:v>
      </x:c>
      <x:c r="V177" s="21" t="n">
        <x:v>39.95</x:v>
      </x:c>
      <x:c r="W177" s="21" t="n">
        <x:f>V177</x:f>
        <x:v>39.95</x:v>
      </x:c>
      <x:c r="X177" s="19" t="str">
        <x:v>NO</x:v>
      </x:c>
      <x:c r="Y177" s="19" t="str">
        <x:v>NO</x:v>
      </x:c>
      <x:c r="Z177" s="19" t="str">
        <x:v>42456366</x:v>
      </x:c>
      <x:c r="AA177" s="19" t="str">
        <x:v>50755649</x:v>
      </x:c>
      <x:c r="AB177" s="22" t="str">
        <x:f>IF(OR(M177&lt;&gt;"Approved",U177="Needs cost",O177=""),"Needs review","Ready after approval")</x:f>
        <x:v>Needs review</x:v>
      </x:c>
      <x:c r="AC177" s="22" t="str"/>
    </x:row>
    <x:row r="178">
      <x:c r="A178" s="19" t="str">
        <x:v>6653</x:v>
      </x:c>
      <x:c r="B178" s="19" t="str">
        <x:v>TM8-TAB-6653</x:v>
      </x:c>
      <x:c r="C178" s="19" t="str">
        <x:v>2999000066537</x:v>
      </x:c>
      <x:c r="D178" s="22" t="str">
        <x:v>Twist Leather Case 10.2 Inch Black</x:v>
      </x:c>
      <x:c r="E178" s="22" t="str">
        <x:v>Twist Leather Case for iPad 10.2-inch (Gen 7/8/9) - Black</x:v>
      </x:c>
      <x:c r="F178" s="22" t="str">
        <x:v>Twist Leather Case</x:v>
      </x:c>
      <x:c r="G178" s="22" t="str">
        <x:v>Black</x:v>
      </x:c>
      <x:c r="H178" s="22" t="str">
        <x:v>TM8-GRP-IPAD-102-GEN789-TLC</x:v>
      </x:c>
      <x:c r="I178" s="22" t="str">
        <x:v>Twist Leather Case for iPad 10.2-inch (Gen 7/8/9)</x:v>
      </x:c>
      <x:c r="J178" s="22" t="str">
        <x:v>iPad 10.2 Inch</x:v>
      </x:c>
      <x:c r="K178" s="22" t="str">
        <x:v>IPAD-102-GEN789</x:v>
      </x:c>
      <x:c r="L178" s="22" t="str">
        <x:v>iPad 10.2-inch (Gen 7/8/9)</x:v>
      </x:c>
      <x:c r="M178" s="22" t="str">
        <x:v>Proposed</x:v>
      </x:c>
      <x:c r="N178" s="22" t="str">
        <x:v>https://dghyt15qon7us.cloudfront.net/images/productTheme/Inventory/small/1651290060.jpg</x:v>
      </x:c>
      <x:c r="O178" s="22" t="str">
        <x:v>https://dghyt15qon7us.cloudfront.net/images/productTheme/Inventory/small/1651290060.jpg</x:v>
      </x:c>
      <x:c r="P178" s="19" t="str">
        <x:v>park-ridge</x:v>
      </x:c>
      <x:c r="Q178" s="20" t="n">
        <x:v>0</x:v>
      </x:c>
      <x:c r="R178" s="20" t="n">
        <x:f>MAX(0,Q178)</x:f>
        <x:v>0</x:v>
      </x:c>
      <x:c r="S178" s="21" t="n">
        <x:v>3</x:v>
      </x:c>
      <x:c r="T178" s="21" t="n">
        <x:f>IF(OR(F178="Hard Case",F178="Bubble Hard Case"),15,IF(F178="Twist Leather Case",5,IF(F178="Z-Fold Case",4,IFERROR(VLOOKUP(B178,'Cost Overrides'!$A$2:$B$17,2,FALSE),S178))))</x:f>
        <x:v>5</x:v>
      </x:c>
      <x:c r="U178" s="21" t="str">
        <x:f>IF(OR(F178="Hard Case",F178="Bubble Hard Case"),"Confirmed: Hard Case",IF(F178="Twist Leather Case","Confirmed: Twist Leather Case",IF(F178="Z-Fold Case","Confirmed: Z-Fold Case",IF(COUNTIF('Cost Overrides'!$A$2:$A$17,B178)&gt;0,"Confirmed: Owner cost override",IF(S178&lt;=0,"Needs cost","Source cost")))))</x:f>
        <x:v>Confirmed: Twist Leather Case</x:v>
      </x:c>
      <x:c r="V178" s="21" t="n">
        <x:v>39.95</x:v>
      </x:c>
      <x:c r="W178" s="21" t="n">
        <x:f>V178</x:f>
        <x:v>39.95</x:v>
      </x:c>
      <x:c r="X178" s="19" t="str">
        <x:v>NO</x:v>
      </x:c>
      <x:c r="Y178" s="19" t="str">
        <x:v>NO</x:v>
      </x:c>
      <x:c r="Z178" s="19" t="str">
        <x:v>42456365</x:v>
      </x:c>
      <x:c r="AA178" s="19" t="str">
        <x:v>50755647</x:v>
      </x:c>
      <x:c r="AB178" s="22" t="str">
        <x:f>IF(OR(M178&lt;&gt;"Approved",U178="Needs cost",O178=""),"Needs review","Ready after approval")</x:f>
        <x:v>Needs review</x:v>
      </x:c>
      <x:c r="AC178" s="22" t="str"/>
    </x:row>
    <x:row r="179">
      <x:c r="A179" s="19" t="str">
        <x:v>6652</x:v>
      </x:c>
      <x:c r="B179" s="19" t="str">
        <x:v>TM8-TAB-6652</x:v>
      </x:c>
      <x:c r="C179" s="19" t="str">
        <x:v>2999000066520</x:v>
      </x:c>
      <x:c r="D179" s="22" t="str">
        <x:v>Twist Leather Case 10.2 Inch Purple</x:v>
      </x:c>
      <x:c r="E179" s="22" t="str">
        <x:v>Twist Leather Case for iPad 10.2-inch (Gen 7/8/9) - Purple</x:v>
      </x:c>
      <x:c r="F179" s="22" t="str">
        <x:v>Twist Leather Case</x:v>
      </x:c>
      <x:c r="G179" s="22" t="str">
        <x:v>Purple</x:v>
      </x:c>
      <x:c r="H179" s="22" t="str">
        <x:v>TM8-GRP-IPAD-102-GEN789-TLC</x:v>
      </x:c>
      <x:c r="I179" s="22" t="str">
        <x:v>Twist Leather Case for iPad 10.2-inch (Gen 7/8/9)</x:v>
      </x:c>
      <x:c r="J179" s="22" t="str">
        <x:v>iPad 10.2 Inch</x:v>
      </x:c>
      <x:c r="K179" s="22" t="str">
        <x:v>IPAD-102-GEN789</x:v>
      </x:c>
      <x:c r="L179" s="22" t="str">
        <x:v>iPad 10.2-inch (Gen 7/8/9)</x:v>
      </x:c>
      <x:c r="M179" s="22" t="str">
        <x:v>Proposed</x:v>
      </x:c>
      <x:c r="N179" s="22" t="str">
        <x:v>https://dghyt15qon7us.cloudfront.net/images/productTheme/Inventory/small/1651289805.jpg</x:v>
      </x:c>
      <x:c r="O179" s="22" t="str">
        <x:v>https://dghyt15qon7us.cloudfront.net/images/productTheme/Inventory/small/1651290060.jpg</x:v>
      </x:c>
      <x:c r="P179" s="19" t="str">
        <x:v>park-ridge</x:v>
      </x:c>
      <x:c r="Q179" s="20" t="n">
        <x:v>0</x:v>
      </x:c>
      <x:c r="R179" s="20" t="n">
        <x:f>MAX(0,Q179)</x:f>
        <x:v>0</x:v>
      </x:c>
      <x:c r="S179" s="21" t="n">
        <x:v>0</x:v>
      </x:c>
      <x:c r="T179" s="21" t="n">
        <x:f>IF(OR(F179="Hard Case",F179="Bubble Hard Case"),15,IF(F179="Twist Leather Case",5,IF(F179="Z-Fold Case",4,IFERROR(VLOOKUP(B179,'Cost Overrides'!$A$2:$B$17,2,FALSE),S179))))</x:f>
        <x:v>5</x:v>
      </x:c>
      <x:c r="U179" s="21" t="str">
        <x:f>IF(OR(F179="Hard Case",F179="Bubble Hard Case"),"Confirmed: Hard Case",IF(F179="Twist Leather Case","Confirmed: Twist Leather Case",IF(F179="Z-Fold Case","Confirmed: Z-Fold Case",IF(COUNTIF('Cost Overrides'!$A$2:$A$17,B179)&gt;0,"Confirmed: Owner cost override",IF(S179&lt;=0,"Needs cost","Source cost")))))</x:f>
        <x:v>Confirmed: Twist Leather Case</x:v>
      </x:c>
      <x:c r="V179" s="21" t="n">
        <x:v>39.95</x:v>
      </x:c>
      <x:c r="W179" s="21" t="n">
        <x:f>V179</x:f>
        <x:v>39.95</x:v>
      </x:c>
      <x:c r="X179" s="19" t="str">
        <x:v>NO</x:v>
      </x:c>
      <x:c r="Y179" s="19" t="str">
        <x:v>NO</x:v>
      </x:c>
      <x:c r="Z179" s="19" t="str">
        <x:v>42456364</x:v>
      </x:c>
      <x:c r="AA179" s="19" t="str">
        <x:v>50755645</x:v>
      </x:c>
      <x:c r="AB179" s="22" t="str">
        <x:f>IF(OR(M179&lt;&gt;"Approved",U179="Needs cost",O179=""),"Needs review","Ready after approval")</x:f>
        <x:v>Needs review</x:v>
      </x:c>
      <x:c r="AC179" s="22" t="str"/>
    </x:row>
    <x:row r="180">
      <x:c r="A180" s="19" t="str">
        <x:v>6651</x:v>
      </x:c>
      <x:c r="B180" s="19" t="str">
        <x:v>TM8-TAB-6651</x:v>
      </x:c>
      <x:c r="C180" s="19" t="str">
        <x:v>2999000066513</x:v>
      </x:c>
      <x:c r="D180" s="22" t="str">
        <x:v>Twist Leather Case 10.2 Inch Brown</x:v>
      </x:c>
      <x:c r="E180" s="22" t="str">
        <x:v>Twist Leather Case for iPad 10.2-inch (Gen 7/8/9) - Brown</x:v>
      </x:c>
      <x:c r="F180" s="22" t="str">
        <x:v>Twist Leather Case</x:v>
      </x:c>
      <x:c r="G180" s="22" t="str">
        <x:v>Brown</x:v>
      </x:c>
      <x:c r="H180" s="22" t="str">
        <x:v>TM8-GRP-IPAD-102-GEN789-TLC</x:v>
      </x:c>
      <x:c r="I180" s="22" t="str">
        <x:v>Twist Leather Case for iPad 10.2-inch (Gen 7/8/9)</x:v>
      </x:c>
      <x:c r="J180" s="22" t="str">
        <x:v>iPad 10.2 Inch</x:v>
      </x:c>
      <x:c r="K180" s="22" t="str">
        <x:v>IPAD-102-GEN789</x:v>
      </x:c>
      <x:c r="L180" s="22" t="str">
        <x:v>iPad 10.2-inch (Gen 7/8/9)</x:v>
      </x:c>
      <x:c r="M180" s="22" t="str">
        <x:v>Proposed</x:v>
      </x:c>
      <x:c r="N180" s="22" t="str">
        <x:v>https://dghyt15qon7us.cloudfront.net/images/productTheme/Inventory/small/1651289776.jpg</x:v>
      </x:c>
      <x:c r="O180" s="22" t="str">
        <x:v>https://dghyt15qon7us.cloudfront.net/images/productTheme/Inventory/small/1651290060.jpg</x:v>
      </x:c>
      <x:c r="P180" s="19" t="str">
        <x:v>park-ridge</x:v>
      </x:c>
      <x:c r="Q180" s="20" t="n">
        <x:v>1</x:v>
      </x:c>
      <x:c r="R180" s="20" t="n">
        <x:f>MAX(0,Q180)</x:f>
        <x:v>1</x:v>
      </x:c>
      <x:c r="S180" s="21" t="n">
        <x:v>3</x:v>
      </x:c>
      <x:c r="T180" s="21" t="n">
        <x:f>IF(OR(F180="Hard Case",F180="Bubble Hard Case"),15,IF(F180="Twist Leather Case",5,IF(F180="Z-Fold Case",4,IFERROR(VLOOKUP(B180,'Cost Overrides'!$A$2:$B$17,2,FALSE),S180))))</x:f>
        <x:v>5</x:v>
      </x:c>
      <x:c r="U180" s="21" t="str">
        <x:f>IF(OR(F180="Hard Case",F180="Bubble Hard Case"),"Confirmed: Hard Case",IF(F180="Twist Leather Case","Confirmed: Twist Leather Case",IF(F180="Z-Fold Case","Confirmed: Z-Fold Case",IF(COUNTIF('Cost Overrides'!$A$2:$A$17,B180)&gt;0,"Confirmed: Owner cost override",IF(S180&lt;=0,"Needs cost","Source cost")))))</x:f>
        <x:v>Confirmed: Twist Leather Case</x:v>
      </x:c>
      <x:c r="V180" s="21" t="n">
        <x:v>39.95</x:v>
      </x:c>
      <x:c r="W180" s="21" t="n">
        <x:f>V180</x:f>
        <x:v>39.95</x:v>
      </x:c>
      <x:c r="X180" s="19" t="str">
        <x:v>NO</x:v>
      </x:c>
      <x:c r="Y180" s="19" t="str">
        <x:v>NO</x:v>
      </x:c>
      <x:c r="Z180" s="19" t="str">
        <x:v>42456363</x:v>
      </x:c>
      <x:c r="AA180" s="19" t="str">
        <x:v>50755643</x:v>
      </x:c>
      <x:c r="AB180" s="22" t="str">
        <x:f>IF(OR(M180&lt;&gt;"Approved",U180="Needs cost",O180=""),"Needs review","Ready after approval")</x:f>
        <x:v>Needs review</x:v>
      </x:c>
      <x:c r="AC180" s="22" t="str"/>
    </x:row>
    <x:row r="181">
      <x:c r="A181" s="19" t="str">
        <x:v>6650</x:v>
      </x:c>
      <x:c r="B181" s="19" t="str">
        <x:v>TM8-TAB-6650</x:v>
      </x:c>
      <x:c r="C181" s="19" t="str">
        <x:v>2999000066506</x:v>
      </x:c>
      <x:c r="D181" s="22" t="str">
        <x:v>Twist Leather Case Air 4/5 , Por 11 Black</x:v>
      </x:c>
      <x:c r="E181" s="22" t="str">
        <x:v>Twist Leather Case for iPad Air 4/5 and iPad Pro 11 (2018-2022) - Black</x:v>
      </x:c>
      <x:c r="F181" s="22" t="str">
        <x:v>Twist Leather Case</x:v>
      </x:c>
      <x:c r="G181" s="22" t="str">
        <x:v>Black</x:v>
      </x:c>
      <x:c r="H181" s="22" t="str">
        <x:v>TM8-GRP-IPAD-AIR45-PRO11-TLC</x:v>
      </x:c>
      <x:c r="I181" s="22" t="str">
        <x:v>Twist Leather Case for iPad Air 4/5 and iPad Pro 11 (2018-2022)</x:v>
      </x:c>
      <x:c r="J181" s="22" t="str">
        <x:v>iPad Air 4/5, Pro 11</x:v>
      </x:c>
      <x:c r="K181" s="22" t="str">
        <x:v>IPAD-AIR45-PRO11</x:v>
      </x:c>
      <x:c r="L181" s="22" t="str">
        <x:v>iPad Air 4/5 and iPad Pro 11 (2018-2022)</x:v>
      </x:c>
      <x:c r="M181" s="22" t="str">
        <x:v>Approved</x:v>
      </x:c>
      <x:c r="N181" s="22" t="str">
        <x:v>https://dghyt15qon7us.cloudfront.net/images/productTheme/Inventory/small/1651289741.jpg</x:v>
      </x:c>
      <x:c r="O181" s="22" t="str">
        <x:v>https://dghyt15qon7us.cloudfront.net/images/productTheme/Inventory/small/1651289741.jpg</x:v>
      </x:c>
      <x:c r="P181" s="19" t="str">
        <x:v>park-ridge</x:v>
      </x:c>
      <x:c r="Q181" s="20" t="n">
        <x:v>1</x:v>
      </x:c>
      <x:c r="R181" s="20" t="n">
        <x:f>MAX(0,Q181)</x:f>
        <x:v>1</x:v>
      </x:c>
      <x:c r="S181" s="21" t="n">
        <x:v>0</x:v>
      </x:c>
      <x:c r="T181" s="21" t="n">
        <x:f>IF(OR(F181="Hard Case",F181="Bubble Hard Case"),15,IF(F181="Twist Leather Case",5,IF(F181="Z-Fold Case",4,IFERROR(VLOOKUP(B181,'Cost Overrides'!$A$2:$B$17,2,FALSE),S181))))</x:f>
        <x:v>5</x:v>
      </x:c>
      <x:c r="U181" s="21" t="str">
        <x:f>IF(OR(F181="Hard Case",F181="Bubble Hard Case"),"Confirmed: Hard Case",IF(F181="Twist Leather Case","Confirmed: Twist Leather Case",IF(F181="Z-Fold Case","Confirmed: Z-Fold Case",IF(COUNTIF('Cost Overrides'!$A$2:$A$17,B181)&gt;0,"Confirmed: Owner cost override",IF(S181&lt;=0,"Needs cost","Source cost")))))</x:f>
        <x:v>Confirmed: Twist Leather Case</x:v>
      </x:c>
      <x:c r="V181" s="21" t="n">
        <x:v>39.95</x:v>
      </x:c>
      <x:c r="W181" s="21" t="n">
        <x:f>V181</x:f>
        <x:v>39.95</x:v>
      </x:c>
      <x:c r="X181" s="19" t="str">
        <x:v>NO</x:v>
      </x:c>
      <x:c r="Y181" s="19" t="str">
        <x:v>NO</x:v>
      </x:c>
      <x:c r="Z181" s="19" t="str">
        <x:v>42456362</x:v>
      </x:c>
      <x:c r="AA181" s="19" t="str">
        <x:v>50755641</x:v>
      </x:c>
      <x:c r="AB181" s="22" t="str">
        <x:f>IF(OR(M181&lt;&gt;"Approved",U181="Needs cost",O181=""),"Needs review","Ready after approval")</x:f>
        <x:v>Ready after approval</x:v>
      </x:c>
      <x:c r="AC181" s="22" t="str"/>
    </x:row>
    <x:row r="182">
      <x:c r="A182" s="19" t="str">
        <x:v>6649</x:v>
      </x:c>
      <x:c r="B182" s="19" t="str">
        <x:v>TM8-TAB-6649</x:v>
      </x:c>
      <x:c r="C182" s="19" t="str">
        <x:v>2999000066490</x:v>
      </x:c>
      <x:c r="D182" s="22" t="str">
        <x:v>Twist Leather Case Air 4/5 , Por 11 Pink</x:v>
      </x:c>
      <x:c r="E182" s="22" t="str">
        <x:v>Twist Leather Case for iPad Air 4/5 and iPad Pro 11 (2018-2022) - Pink</x:v>
      </x:c>
      <x:c r="F182" s="22" t="str">
        <x:v>Twist Leather Case</x:v>
      </x:c>
      <x:c r="G182" s="22" t="str">
        <x:v>Pink</x:v>
      </x:c>
      <x:c r="H182" s="22" t="str">
        <x:v>TM8-GRP-IPAD-AIR45-PRO11-TLC</x:v>
      </x:c>
      <x:c r="I182" s="22" t="str">
        <x:v>Twist Leather Case for iPad Air 4/5 and iPad Pro 11 (2018-2022)</x:v>
      </x:c>
      <x:c r="J182" s="22" t="str">
        <x:v>iPad Air 4/5, Pro 11</x:v>
      </x:c>
      <x:c r="K182" s="22" t="str">
        <x:v>IPAD-AIR45-PRO11</x:v>
      </x:c>
      <x:c r="L182" s="22" t="str">
        <x:v>iPad Air 4/5 and iPad Pro 11 (2018-2022)</x:v>
      </x:c>
      <x:c r="M182" s="22" t="str">
        <x:v>Approved</x:v>
      </x:c>
      <x:c r="N182" s="22" t="str">
        <x:v>https://dghyt15qon7us.cloudfront.net/images/productTheme/Inventory/small/1651289715.jpg</x:v>
      </x:c>
      <x:c r="O182" s="22" t="str">
        <x:v>https://dghyt15qon7us.cloudfront.net/images/productTheme/Inventory/small/1651289741.jpg</x:v>
      </x:c>
      <x:c r="P182" s="19" t="str">
        <x:v>park-ridge</x:v>
      </x:c>
      <x:c r="Q182" s="20" t="n">
        <x:v>3</x:v>
      </x:c>
      <x:c r="R182" s="20" t="n">
        <x:f>MAX(0,Q182)</x:f>
        <x:v>3</x:v>
      </x:c>
      <x:c r="S182" s="21" t="n">
        <x:v>0</x:v>
      </x:c>
      <x:c r="T182" s="21" t="n">
        <x:f>IF(OR(F182="Hard Case",F182="Bubble Hard Case"),15,IF(F182="Twist Leather Case",5,IF(F182="Z-Fold Case",4,IFERROR(VLOOKUP(B182,'Cost Overrides'!$A$2:$B$17,2,FALSE),S182))))</x:f>
        <x:v>5</x:v>
      </x:c>
      <x:c r="U182" s="21" t="str">
        <x:f>IF(OR(F182="Hard Case",F182="Bubble Hard Case"),"Confirmed: Hard Case",IF(F182="Twist Leather Case","Confirmed: Twist Leather Case",IF(F182="Z-Fold Case","Confirmed: Z-Fold Case",IF(COUNTIF('Cost Overrides'!$A$2:$A$17,B182)&gt;0,"Confirmed: Owner cost override",IF(S182&lt;=0,"Needs cost","Source cost")))))</x:f>
        <x:v>Confirmed: Twist Leather Case</x:v>
      </x:c>
      <x:c r="V182" s="21" t="n">
        <x:v>39.95</x:v>
      </x:c>
      <x:c r="W182" s="21" t="n">
        <x:f>V182</x:f>
        <x:v>39.95</x:v>
      </x:c>
      <x:c r="X182" s="19" t="str">
        <x:v>NO</x:v>
      </x:c>
      <x:c r="Y182" s="19" t="str">
        <x:v>NO</x:v>
      </x:c>
      <x:c r="Z182" s="19" t="str">
        <x:v>42456361</x:v>
      </x:c>
      <x:c r="AA182" s="19" t="str">
        <x:v>50755639</x:v>
      </x:c>
      <x:c r="AB182" s="22" t="str">
        <x:f>IF(OR(M182&lt;&gt;"Approved",U182="Needs cost",O182=""),"Needs review","Ready after approval")</x:f>
        <x:v>Ready after approval</x:v>
      </x:c>
      <x:c r="AC182" s="22" t="str"/>
    </x:row>
    <x:row r="183">
      <x:c r="A183" s="19" t="str">
        <x:v>6648</x:v>
      </x:c>
      <x:c r="B183" s="19" t="str">
        <x:v>TM8-TAB-6648</x:v>
      </x:c>
      <x:c r="C183" s="19" t="str">
        <x:v>2999000066483</x:v>
      </x:c>
      <x:c r="D183" s="22" t="str">
        <x:v>Twist Leather Case Air 4/5 , Por 11 Blue</x:v>
      </x:c>
      <x:c r="E183" s="22" t="str">
        <x:v>Twist Leather Case for iPad Air 4/5 and iPad Pro 11 (2018-2022) - Blue</x:v>
      </x:c>
      <x:c r="F183" s="22" t="str">
        <x:v>Twist Leather Case</x:v>
      </x:c>
      <x:c r="G183" s="22" t="str">
        <x:v>Blue</x:v>
      </x:c>
      <x:c r="H183" s="22" t="str">
        <x:v>TM8-GRP-IPAD-AIR45-PRO11-TLC</x:v>
      </x:c>
      <x:c r="I183" s="22" t="str">
        <x:v>Twist Leather Case for iPad Air 4/5 and iPad Pro 11 (2018-2022)</x:v>
      </x:c>
      <x:c r="J183" s="22" t="str">
        <x:v>iPad Air 4/5, Pro 11</x:v>
      </x:c>
      <x:c r="K183" s="22" t="str">
        <x:v>IPAD-AIR45-PRO11</x:v>
      </x:c>
      <x:c r="L183" s="22" t="str">
        <x:v>iPad Air 4/5 and iPad Pro 11 (2018-2022)</x:v>
      </x:c>
      <x:c r="M183" s="22" t="str">
        <x:v>Approved</x:v>
      </x:c>
      <x:c r="N183" s="22" t="str">
        <x:v>https://dghyt15qon7us.cloudfront.net/images/productTheme/Inventory/small/1651289681.jpg</x:v>
      </x:c>
      <x:c r="O183" s="22" t="str">
        <x:v>https://dghyt15qon7us.cloudfront.net/images/productTheme/Inventory/small/1651289741.jpg</x:v>
      </x:c>
      <x:c r="P183" s="19" t="str">
        <x:v>park-ridge</x:v>
      </x:c>
      <x:c r="Q183" s="20" t="n">
        <x:v>2</x:v>
      </x:c>
      <x:c r="R183" s="20" t="n">
        <x:f>MAX(0,Q183)</x:f>
        <x:v>2</x:v>
      </x:c>
      <x:c r="S183" s="21" t="n">
        <x:v>0</x:v>
      </x:c>
      <x:c r="T183" s="21" t="n">
        <x:f>IF(OR(F183="Hard Case",F183="Bubble Hard Case"),15,IF(F183="Twist Leather Case",5,IF(F183="Z-Fold Case",4,IFERROR(VLOOKUP(B183,'Cost Overrides'!$A$2:$B$17,2,FALSE),S183))))</x:f>
        <x:v>5</x:v>
      </x:c>
      <x:c r="U183" s="21" t="str">
        <x:f>IF(OR(F183="Hard Case",F183="Bubble Hard Case"),"Confirmed: Hard Case",IF(F183="Twist Leather Case","Confirmed: Twist Leather Case",IF(F183="Z-Fold Case","Confirmed: Z-Fold Case",IF(COUNTIF('Cost Overrides'!$A$2:$A$17,B183)&gt;0,"Confirmed: Owner cost override",IF(S183&lt;=0,"Needs cost","Source cost")))))</x:f>
        <x:v>Confirmed: Twist Leather Case</x:v>
      </x:c>
      <x:c r="V183" s="21" t="n">
        <x:v>39.95</x:v>
      </x:c>
      <x:c r="W183" s="21" t="n">
        <x:f>V183</x:f>
        <x:v>39.95</x:v>
      </x:c>
      <x:c r="X183" s="19" t="str">
        <x:v>NO</x:v>
      </x:c>
      <x:c r="Y183" s="19" t="str">
        <x:v>NO</x:v>
      </x:c>
      <x:c r="Z183" s="19" t="str">
        <x:v>42456360</x:v>
      </x:c>
      <x:c r="AA183" s="19" t="str">
        <x:v>50755637</x:v>
      </x:c>
      <x:c r="AB183" s="22" t="str">
        <x:f>IF(OR(M183&lt;&gt;"Approved",U183="Needs cost",O183=""),"Needs review","Ready after approval")</x:f>
        <x:v>Ready after approval</x:v>
      </x:c>
      <x:c r="AC183" s="22" t="str"/>
    </x:row>
    <x:row r="184">
      <x:c r="A184" s="19" t="str">
        <x:v>6647</x:v>
      </x:c>
      <x:c r="B184" s="19" t="str">
        <x:v>TM8-TAB-6647</x:v>
      </x:c>
      <x:c r="C184" s="19" t="str">
        <x:v>2999000066476</x:v>
      </x:c>
      <x:c r="D184" s="22" t="str">
        <x:v>Twist Leather Case Air 4/5 , Por 11 Purple</x:v>
      </x:c>
      <x:c r="E184" s="22" t="str">
        <x:v>Twist Leather Case for iPad Air 4/5 and iPad Pro 11 (2018-2022) - Purple</x:v>
      </x:c>
      <x:c r="F184" s="22" t="str">
        <x:v>Twist Leather Case</x:v>
      </x:c>
      <x:c r="G184" s="22" t="str">
        <x:v>Purple</x:v>
      </x:c>
      <x:c r="H184" s="22" t="str">
        <x:v>TM8-GRP-IPAD-AIR45-PRO11-TLC</x:v>
      </x:c>
      <x:c r="I184" s="22" t="str">
        <x:v>Twist Leather Case for iPad Air 4/5 and iPad Pro 11 (2018-2022)</x:v>
      </x:c>
      <x:c r="J184" s="22" t="str">
        <x:v>iPad Air 4/5, Pro 11</x:v>
      </x:c>
      <x:c r="K184" s="22" t="str">
        <x:v>IPAD-AIR45-PRO11</x:v>
      </x:c>
      <x:c r="L184" s="22" t="str">
        <x:v>iPad Air 4/5 and iPad Pro 11 (2018-2022)</x:v>
      </x:c>
      <x:c r="M184" s="22" t="str">
        <x:v>Approved</x:v>
      </x:c>
      <x:c r="N184" s="22" t="str">
        <x:v>https://dghyt15qon7us.cloudfront.net/images/productTheme/Inventory/small/1651289429.jpg</x:v>
      </x:c>
      <x:c r="O184" s="22" t="str">
        <x:v>https://dghyt15qon7us.cloudfront.net/images/productTheme/Inventory/small/1651289741.jpg</x:v>
      </x:c>
      <x:c r="P184" s="19" t="str">
        <x:v>park-ridge</x:v>
      </x:c>
      <x:c r="Q184" s="20" t="n">
        <x:v>0</x:v>
      </x:c>
      <x:c r="R184" s="20" t="n">
        <x:f>MAX(0,Q184)</x:f>
        <x:v>0</x:v>
      </x:c>
      <x:c r="S184" s="21" t="n">
        <x:v>0</x:v>
      </x:c>
      <x:c r="T184" s="21" t="n">
        <x:f>IF(OR(F184="Hard Case",F184="Bubble Hard Case"),15,IF(F184="Twist Leather Case",5,IF(F184="Z-Fold Case",4,IFERROR(VLOOKUP(B184,'Cost Overrides'!$A$2:$B$17,2,FALSE),S184))))</x:f>
        <x:v>5</x:v>
      </x:c>
      <x:c r="U184" s="21" t="str">
        <x:f>IF(OR(F184="Hard Case",F184="Bubble Hard Case"),"Confirmed: Hard Case",IF(F184="Twist Leather Case","Confirmed: Twist Leather Case",IF(F184="Z-Fold Case","Confirmed: Z-Fold Case",IF(COUNTIF('Cost Overrides'!$A$2:$A$17,B184)&gt;0,"Confirmed: Owner cost override",IF(S184&lt;=0,"Needs cost","Source cost")))))</x:f>
        <x:v>Confirmed: Twist Leather Case</x:v>
      </x:c>
      <x:c r="V184" s="21" t="n">
        <x:v>39.95</x:v>
      </x:c>
      <x:c r="W184" s="21" t="n">
        <x:f>V184</x:f>
        <x:v>39.95</x:v>
      </x:c>
      <x:c r="X184" s="19" t="str">
        <x:v>NO</x:v>
      </x:c>
      <x:c r="Y184" s="19" t="str">
        <x:v>NO</x:v>
      </x:c>
      <x:c r="Z184" s="19" t="str">
        <x:v>42456359</x:v>
      </x:c>
      <x:c r="AA184" s="19" t="str">
        <x:v>50755635</x:v>
      </x:c>
      <x:c r="AB184" s="22" t="str">
        <x:f>IF(OR(M184&lt;&gt;"Approved",U184="Needs cost",O184=""),"Needs review","Ready after approval")</x:f>
        <x:v>Ready after approval</x:v>
      </x:c>
      <x:c r="AC184" s="22" t="str"/>
    </x:row>
    <x:row r="185">
      <x:c r="A185" s="19" t="str">
        <x:v>6646</x:v>
      </x:c>
      <x:c r="B185" s="19" t="str">
        <x:v>TM8-TAB-6646</x:v>
      </x:c>
      <x:c r="C185" s="19" t="str">
        <x:v>2999000066469</x:v>
      </x:c>
      <x:c r="D185" s="22" t="str">
        <x:v>Twist Leather Case Air 4/5 , Por 11 Brown</x:v>
      </x:c>
      <x:c r="E185" s="22" t="str">
        <x:v>Twist Leather Case for iPad Air 4/5 and iPad Pro 11 (2018-2022) - Brown</x:v>
      </x:c>
      <x:c r="F185" s="22" t="str">
        <x:v>Twist Leather Case</x:v>
      </x:c>
      <x:c r="G185" s="22" t="str">
        <x:v>Brown</x:v>
      </x:c>
      <x:c r="H185" s="22" t="str">
        <x:v>TM8-GRP-IPAD-AIR45-PRO11-TLC</x:v>
      </x:c>
      <x:c r="I185" s="22" t="str">
        <x:v>Twist Leather Case for iPad Air 4/5 and iPad Pro 11 (2018-2022)</x:v>
      </x:c>
      <x:c r="J185" s="22" t="str">
        <x:v>iPad Air 4/5, Pro 11</x:v>
      </x:c>
      <x:c r="K185" s="22" t="str">
        <x:v>IPAD-AIR45-PRO11</x:v>
      </x:c>
      <x:c r="L185" s="22" t="str">
        <x:v>iPad Air 4/5 and iPad Pro 11 (2018-2022)</x:v>
      </x:c>
      <x:c r="M185" s="22" t="str">
        <x:v>Approved</x:v>
      </x:c>
      <x:c r="N185" s="22" t="str">
        <x:v>https://dghyt15qon7us.cloudfront.net/images/productTheme/Inventory/small/1651289399.jpg</x:v>
      </x:c>
      <x:c r="O185" s="22" t="str">
        <x:v>https://dghyt15qon7us.cloudfront.net/images/productTheme/Inventory/small/1651289741.jpg</x:v>
      </x:c>
      <x:c r="P185" s="19" t="str">
        <x:v>park-ridge</x:v>
      </x:c>
      <x:c r="Q185" s="20" t="n">
        <x:v>1</x:v>
      </x:c>
      <x:c r="R185" s="20" t="n">
        <x:f>MAX(0,Q185)</x:f>
        <x:v>1</x:v>
      </x:c>
      <x:c r="S185" s="21" t="n">
        <x:v>0</x:v>
      </x:c>
      <x:c r="T185" s="21" t="n">
        <x:f>IF(OR(F185="Hard Case",F185="Bubble Hard Case"),15,IF(F185="Twist Leather Case",5,IF(F185="Z-Fold Case",4,IFERROR(VLOOKUP(B185,'Cost Overrides'!$A$2:$B$17,2,FALSE),S185))))</x:f>
        <x:v>5</x:v>
      </x:c>
      <x:c r="U185" s="21" t="str">
        <x:f>IF(OR(F185="Hard Case",F185="Bubble Hard Case"),"Confirmed: Hard Case",IF(F185="Twist Leather Case","Confirmed: Twist Leather Case",IF(F185="Z-Fold Case","Confirmed: Z-Fold Case",IF(COUNTIF('Cost Overrides'!$A$2:$A$17,B185)&gt;0,"Confirmed: Owner cost override",IF(S185&lt;=0,"Needs cost","Source cost")))))</x:f>
        <x:v>Confirmed: Twist Leather Case</x:v>
      </x:c>
      <x:c r="V185" s="21" t="n">
        <x:v>39.95</x:v>
      </x:c>
      <x:c r="W185" s="21" t="n">
        <x:f>V185</x:f>
        <x:v>39.95</x:v>
      </x:c>
      <x:c r="X185" s="19" t="str">
        <x:v>NO</x:v>
      </x:c>
      <x:c r="Y185" s="19" t="str">
        <x:v>NO</x:v>
      </x:c>
      <x:c r="Z185" s="19" t="str">
        <x:v>42456358</x:v>
      </x:c>
      <x:c r="AA185" s="19" t="str">
        <x:v>50755633</x:v>
      </x:c>
      <x:c r="AB185" s="22" t="str">
        <x:f>IF(OR(M185&lt;&gt;"Approved",U185="Needs cost",O185=""),"Needs review","Ready after approval")</x:f>
        <x:v>Ready after approval</x:v>
      </x:c>
      <x:c r="AC185" s="22" t="str"/>
    </x:row>
    <x:row r="186">
      <x:c r="A186" s="19" t="str">
        <x:v>6645</x:v>
      </x:c>
      <x:c r="B186" s="19" t="str">
        <x:v>TM8-TAB-6645</x:v>
      </x:c>
      <x:c r="C186" s="19" t="str">
        <x:v>2999000066452</x:v>
      </x:c>
      <x:c r="D186" s="22" t="str">
        <x:v>Twist Leather Case Air 4/5 , Por 11 Gold</x:v>
      </x:c>
      <x:c r="E186" s="22" t="str">
        <x:v>Twist Leather Case for iPad Air 4/5 and iPad Pro 11 (2018-2022) - Gold</x:v>
      </x:c>
      <x:c r="F186" s="22" t="str">
        <x:v>Twist Leather Case</x:v>
      </x:c>
      <x:c r="G186" s="22" t="str">
        <x:v>Gold</x:v>
      </x:c>
      <x:c r="H186" s="22" t="str">
        <x:v>TM8-GRP-IPAD-AIR45-PRO11-TLC</x:v>
      </x:c>
      <x:c r="I186" s="22" t="str">
        <x:v>Twist Leather Case for iPad Air 4/5 and iPad Pro 11 (2018-2022)</x:v>
      </x:c>
      <x:c r="J186" s="22" t="str">
        <x:v>iPad Air 4/5, Pro 11</x:v>
      </x:c>
      <x:c r="K186" s="22" t="str">
        <x:v>IPAD-AIR45-PRO11</x:v>
      </x:c>
      <x:c r="L186" s="22" t="str">
        <x:v>iPad Air 4/5 and iPad Pro 11 (2018-2022)</x:v>
      </x:c>
      <x:c r="M186" s="22" t="str">
        <x:v>Approved</x:v>
      </x:c>
      <x:c r="N186" s="22" t="str">
        <x:v>https://dghyt15qon7us.cloudfront.net/images/productTheme/Inventory/small/1651289364.jpg</x:v>
      </x:c>
      <x:c r="O186" s="22" t="str">
        <x:v>https://dghyt15qon7us.cloudfront.net/images/productTheme/Inventory/small/1651289741.jpg</x:v>
      </x:c>
      <x:c r="P186" s="19" t="str">
        <x:v>park-ridge</x:v>
      </x:c>
      <x:c r="Q186" s="20" t="n">
        <x:v>4</x:v>
      </x:c>
      <x:c r="R186" s="20" t="n">
        <x:f>MAX(0,Q186)</x:f>
        <x:v>4</x:v>
      </x:c>
      <x:c r="S186" s="21" t="n">
        <x:v>0</x:v>
      </x:c>
      <x:c r="T186" s="21" t="n">
        <x:f>IF(OR(F186="Hard Case",F186="Bubble Hard Case"),15,IF(F186="Twist Leather Case",5,IF(F186="Z-Fold Case",4,IFERROR(VLOOKUP(B186,'Cost Overrides'!$A$2:$B$17,2,FALSE),S186))))</x:f>
        <x:v>5</x:v>
      </x:c>
      <x:c r="U186" s="21" t="str">
        <x:f>IF(OR(F186="Hard Case",F186="Bubble Hard Case"),"Confirmed: Hard Case",IF(F186="Twist Leather Case","Confirmed: Twist Leather Case",IF(F186="Z-Fold Case","Confirmed: Z-Fold Case",IF(COUNTIF('Cost Overrides'!$A$2:$A$17,B186)&gt;0,"Confirmed: Owner cost override",IF(S186&lt;=0,"Needs cost","Source cost")))))</x:f>
        <x:v>Confirmed: Twist Leather Case</x:v>
      </x:c>
      <x:c r="V186" s="21" t="n">
        <x:v>39.95</x:v>
      </x:c>
      <x:c r="W186" s="21" t="n">
        <x:f>V186</x:f>
        <x:v>39.95</x:v>
      </x:c>
      <x:c r="X186" s="19" t="str">
        <x:v>NO</x:v>
      </x:c>
      <x:c r="Y186" s="19" t="str">
        <x:v>NO</x:v>
      </x:c>
      <x:c r="Z186" s="19" t="str">
        <x:v>42456357</x:v>
      </x:c>
      <x:c r="AA186" s="19" t="str">
        <x:v>50755631</x:v>
      </x:c>
      <x:c r="AB186" s="22" t="str">
        <x:f>IF(OR(M186&lt;&gt;"Approved",U186="Needs cost",O186=""),"Needs review","Ready after approval")</x:f>
        <x:v>Ready after approval</x:v>
      </x:c>
      <x:c r="AC186" s="22" t="str"/>
    </x:row>
    <x:row r="187">
      <x:c r="A187" s="19" t="str">
        <x:v>6644</x:v>
      </x:c>
      <x:c r="B187" s="19" t="str">
        <x:v>TM8-TAB-6644</x:v>
      </x:c>
      <x:c r="C187" s="19" t="str">
        <x:v>2999000066445</x:v>
      </x:c>
      <x:c r="D187" s="22" t="str">
        <x:v>Twist Leather Case Air 4/5 , Por 11 Green</x:v>
      </x:c>
      <x:c r="E187" s="22" t="str">
        <x:v>Twist Leather Case for iPad Air 4/5 and iPad Pro 11 (2018-2022) - Green</x:v>
      </x:c>
      <x:c r="F187" s="22" t="str">
        <x:v>Twist Leather Case</x:v>
      </x:c>
      <x:c r="G187" s="22" t="str">
        <x:v>Green</x:v>
      </x:c>
      <x:c r="H187" s="22" t="str">
        <x:v>TM8-GRP-IPAD-AIR45-PRO11-TLC</x:v>
      </x:c>
      <x:c r="I187" s="22" t="str">
        <x:v>Twist Leather Case for iPad Air 4/5 and iPad Pro 11 (2018-2022)</x:v>
      </x:c>
      <x:c r="J187" s="22" t="str">
        <x:v>iPad Air 4/5, Pro 11</x:v>
      </x:c>
      <x:c r="K187" s="22" t="str">
        <x:v>IPAD-AIR45-PRO11</x:v>
      </x:c>
      <x:c r="L187" s="22" t="str">
        <x:v>iPad Air 4/5 and iPad Pro 11 (2018-2022)</x:v>
      </x:c>
      <x:c r="M187" s="22" t="str">
        <x:v>Approved</x:v>
      </x:c>
      <x:c r="N187" s="22" t="str">
        <x:v>https://dghyt15qon7us.cloudfront.net/images/productTheme/Inventory/small/1651289331.jpg</x:v>
      </x:c>
      <x:c r="O187" s="22" t="str">
        <x:v>https://dghyt15qon7us.cloudfront.net/images/productTheme/Inventory/small/1651289741.jpg</x:v>
      </x:c>
      <x:c r="P187" s="19" t="str">
        <x:v>park-ridge</x:v>
      </x:c>
      <x:c r="Q187" s="20" t="n">
        <x:v>3</x:v>
      </x:c>
      <x:c r="R187" s="20" t="n">
        <x:f>MAX(0,Q187)</x:f>
        <x:v>3</x:v>
      </x:c>
      <x:c r="S187" s="21" t="n">
        <x:v>0</x:v>
      </x:c>
      <x:c r="T187" s="21" t="n">
        <x:f>IF(OR(F187="Hard Case",F187="Bubble Hard Case"),15,IF(F187="Twist Leather Case",5,IF(F187="Z-Fold Case",4,IFERROR(VLOOKUP(B187,'Cost Overrides'!$A$2:$B$17,2,FALSE),S187))))</x:f>
        <x:v>5</x:v>
      </x:c>
      <x:c r="U187" s="21" t="str">
        <x:f>IF(OR(F187="Hard Case",F187="Bubble Hard Case"),"Confirmed: Hard Case",IF(F187="Twist Leather Case","Confirmed: Twist Leather Case",IF(F187="Z-Fold Case","Confirmed: Z-Fold Case",IF(COUNTIF('Cost Overrides'!$A$2:$A$17,B187)&gt;0,"Confirmed: Owner cost override",IF(S187&lt;=0,"Needs cost","Source cost")))))</x:f>
        <x:v>Confirmed: Twist Leather Case</x:v>
      </x:c>
      <x:c r="V187" s="21" t="n">
        <x:v>39.95</x:v>
      </x:c>
      <x:c r="W187" s="21" t="n">
        <x:f>V187</x:f>
        <x:v>39.95</x:v>
      </x:c>
      <x:c r="X187" s="19" t="str">
        <x:v>NO</x:v>
      </x:c>
      <x:c r="Y187" s="19" t="str">
        <x:v>NO</x:v>
      </x:c>
      <x:c r="Z187" s="19" t="str">
        <x:v>42456356</x:v>
      </x:c>
      <x:c r="AA187" s="19" t="str">
        <x:v>50755629</x:v>
      </x:c>
      <x:c r="AB187" s="22" t="str">
        <x:f>IF(OR(M187&lt;&gt;"Approved",U187="Needs cost",O187=""),"Needs review","Ready after approval")</x:f>
        <x:v>Ready after approval</x:v>
      </x:c>
      <x:c r="AC187" s="22" t="str"/>
    </x:row>
    <x:row r="188">
      <x:c r="A188" s="19" t="str">
        <x:v>6643</x:v>
      </x:c>
      <x:c r="B188" s="19" t="str">
        <x:v>TM8-TAB-6643</x:v>
      </x:c>
      <x:c r="C188" s="19" t="str">
        <x:v>2999000066438</x:v>
      </x:c>
      <x:c r="D188" s="22" t="str">
        <x:v>Twist Leather Case 9.7 Inch Gold</x:v>
      </x:c>
      <x:c r="E188" s="22" t="str">
        <x:v>Twist Leather Case for iPad 9.7-inch (Gen 5/6 and Air 1/2) - Gold</x:v>
      </x:c>
      <x:c r="F188" s="22" t="str">
        <x:v>Twist Leather Case</x:v>
      </x:c>
      <x:c r="G188" s="22" t="str">
        <x:v>Gold</x:v>
      </x:c>
      <x:c r="H188" s="22" t="str">
        <x:v>TM8-GRP-IPAD-97-LEGACY-TLC</x:v>
      </x:c>
      <x:c r="I188" s="22" t="str">
        <x:v>Twist Leather Case for iPad 9.7-inch (Gen 5/6 and Air 1/2)</x:v>
      </x:c>
      <x:c r="J188" s="22" t="str">
        <x:v>iPad 9.7 Inch</x:v>
      </x:c>
      <x:c r="K188" s="22" t="str">
        <x:v>IPAD-97-LEGACY</x:v>
      </x:c>
      <x:c r="L188" s="22" t="str">
        <x:v>iPad 9.7-inch (Gen 5/6 and Air 1/2)</x:v>
      </x:c>
      <x:c r="M188" s="22" t="str">
        <x:v>Approved</x:v>
      </x:c>
      <x:c r="N188" s="22" t="str">
        <x:v>https://dghyt15qon7us.cloudfront.net/images/productTheme/Inventory/small/1651289221.jpg</x:v>
      </x:c>
      <x:c r="O188" s="22" t="str">
        <x:v>https://dghyt15qon7us.cloudfront.net/images/productTheme/Inventory/small/1651289074.jpg</x:v>
      </x:c>
      <x:c r="P188" s="19" t="str">
        <x:v>park-ridge</x:v>
      </x:c>
      <x:c r="Q188" s="20" t="n">
        <x:v>1</x:v>
      </x:c>
      <x:c r="R188" s="20" t="n">
        <x:f>MAX(0,Q188)</x:f>
        <x:v>1</x:v>
      </x:c>
      <x:c r="S188" s="21" t="n">
        <x:v>0</x:v>
      </x:c>
      <x:c r="T188" s="21" t="n">
        <x:f>IF(OR(F188="Hard Case",F188="Bubble Hard Case"),15,IF(F188="Twist Leather Case",5,IF(F188="Z-Fold Case",4,IFERROR(VLOOKUP(B188,'Cost Overrides'!$A$2:$B$17,2,FALSE),S188))))</x:f>
        <x:v>5</x:v>
      </x:c>
      <x:c r="U188" s="21" t="str">
        <x:f>IF(OR(F188="Hard Case",F188="Bubble Hard Case"),"Confirmed: Hard Case",IF(F188="Twist Leather Case","Confirmed: Twist Leather Case",IF(F188="Z-Fold Case","Confirmed: Z-Fold Case",IF(COUNTIF('Cost Overrides'!$A$2:$A$17,B188)&gt;0,"Confirmed: Owner cost override",IF(S188&lt;=0,"Needs cost","Source cost")))))</x:f>
        <x:v>Confirmed: Twist Leather Case</x:v>
      </x:c>
      <x:c r="V188" s="21" t="n">
        <x:v>39.95</x:v>
      </x:c>
      <x:c r="W188" s="21" t="n">
        <x:f>V188</x:f>
        <x:v>39.95</x:v>
      </x:c>
      <x:c r="X188" s="19" t="str">
        <x:v>NO</x:v>
      </x:c>
      <x:c r="Y188" s="19" t="str">
        <x:v>NO</x:v>
      </x:c>
      <x:c r="Z188" s="19" t="str">
        <x:v>42456355</x:v>
      </x:c>
      <x:c r="AA188" s="19" t="str">
        <x:v>50755627</x:v>
      </x:c>
      <x:c r="AB188" s="22" t="str">
        <x:f>IF(OR(M188&lt;&gt;"Approved",U188="Needs cost",O188=""),"Needs review","Ready after approval")</x:f>
        <x:v>Ready after approval</x:v>
      </x:c>
      <x:c r="AC188" s="22" t="str"/>
    </x:row>
    <x:row r="189">
      <x:c r="A189" s="19" t="str">
        <x:v>6642</x:v>
      </x:c>
      <x:c r="B189" s="19" t="str">
        <x:v>TM8-TAB-6642</x:v>
      </x:c>
      <x:c r="C189" s="19" t="str">
        <x:v>2999000066421</x:v>
      </x:c>
      <x:c r="D189" s="22" t="str">
        <x:v>Twist Leather Case 9.7 Inch Green</x:v>
      </x:c>
      <x:c r="E189" s="22" t="str">
        <x:v>Twist Leather Case for iPad 9.7-inch (Gen 5/6 and Air 1/2) - Green</x:v>
      </x:c>
      <x:c r="F189" s="22" t="str">
        <x:v>Twist Leather Case</x:v>
      </x:c>
      <x:c r="G189" s="22" t="str">
        <x:v>Green</x:v>
      </x:c>
      <x:c r="H189" s="22" t="str">
        <x:v>TM8-GRP-IPAD-97-LEGACY-TLC</x:v>
      </x:c>
      <x:c r="I189" s="22" t="str">
        <x:v>Twist Leather Case for iPad 9.7-inch (Gen 5/6 and Air 1/2)</x:v>
      </x:c>
      <x:c r="J189" s="22" t="str">
        <x:v>iPad 9.7 Inch</x:v>
      </x:c>
      <x:c r="K189" s="22" t="str">
        <x:v>IPAD-97-LEGACY</x:v>
      </x:c>
      <x:c r="L189" s="22" t="str">
        <x:v>iPad 9.7-inch (Gen 5/6 and Air 1/2)</x:v>
      </x:c>
      <x:c r="M189" s="22" t="str">
        <x:v>Approved</x:v>
      </x:c>
      <x:c r="N189" s="22" t="str">
        <x:v>https://dghyt15qon7us.cloudfront.net/images/productTheme/Inventory/small/1651289181.jpg</x:v>
      </x:c>
      <x:c r="O189" s="22" t="str">
        <x:v>https://dghyt15qon7us.cloudfront.net/images/productTheme/Inventory/small/1651289074.jpg</x:v>
      </x:c>
      <x:c r="P189" s="19" t="str">
        <x:v>park-ridge</x:v>
      </x:c>
      <x:c r="Q189" s="20" t="n">
        <x:v>0</x:v>
      </x:c>
      <x:c r="R189" s="20" t="n">
        <x:f>MAX(0,Q189)</x:f>
        <x:v>0</x:v>
      </x:c>
      <x:c r="S189" s="21" t="n">
        <x:v>3</x:v>
      </x:c>
      <x:c r="T189" s="21" t="n">
        <x:f>IF(OR(F189="Hard Case",F189="Bubble Hard Case"),15,IF(F189="Twist Leather Case",5,IF(F189="Z-Fold Case",4,IFERROR(VLOOKUP(B189,'Cost Overrides'!$A$2:$B$17,2,FALSE),S189))))</x:f>
        <x:v>5</x:v>
      </x:c>
      <x:c r="U189" s="21" t="str">
        <x:f>IF(OR(F189="Hard Case",F189="Bubble Hard Case"),"Confirmed: Hard Case",IF(F189="Twist Leather Case","Confirmed: Twist Leather Case",IF(F189="Z-Fold Case","Confirmed: Z-Fold Case",IF(COUNTIF('Cost Overrides'!$A$2:$A$17,B189)&gt;0,"Confirmed: Owner cost override",IF(S189&lt;=0,"Needs cost","Source cost")))))</x:f>
        <x:v>Confirmed: Twist Leather Case</x:v>
      </x:c>
      <x:c r="V189" s="21" t="n">
        <x:v>39.95</x:v>
      </x:c>
      <x:c r="W189" s="21" t="n">
        <x:f>V189</x:f>
        <x:v>39.95</x:v>
      </x:c>
      <x:c r="X189" s="19" t="str">
        <x:v>NO</x:v>
      </x:c>
      <x:c r="Y189" s="19" t="str">
        <x:v>NO</x:v>
      </x:c>
      <x:c r="Z189" s="19" t="str">
        <x:v>42456354</x:v>
      </x:c>
      <x:c r="AA189" s="19" t="str">
        <x:v>50755625</x:v>
      </x:c>
      <x:c r="AB189" s="22" t="str">
        <x:f>IF(OR(M189&lt;&gt;"Approved",U189="Needs cost",O189=""),"Needs review","Ready after approval")</x:f>
        <x:v>Ready after approval</x:v>
      </x:c>
      <x:c r="AC189" s="22" t="str"/>
    </x:row>
    <x:row r="190">
      <x:c r="A190" s="19" t="str">
        <x:v>6641</x:v>
      </x:c>
      <x:c r="B190" s="19" t="str">
        <x:v>TM8-TAB-6641</x:v>
      </x:c>
      <x:c r="C190" s="19" t="str">
        <x:v>2999000066414</x:v>
      </x:c>
      <x:c r="D190" s="22" t="str">
        <x:v>Twist Leather Case 9.7 Inch Blue</x:v>
      </x:c>
      <x:c r="E190" s="22" t="str">
        <x:v>Twist Leather Case for iPad 9.7-inch (Gen 5/6 and Air 1/2) - Blue</x:v>
      </x:c>
      <x:c r="F190" s="22" t="str">
        <x:v>Twist Leather Case</x:v>
      </x:c>
      <x:c r="G190" s="22" t="str">
        <x:v>Blue</x:v>
      </x:c>
      <x:c r="H190" s="22" t="str">
        <x:v>TM8-GRP-IPAD-97-LEGACY-TLC</x:v>
      </x:c>
      <x:c r="I190" s="22" t="str">
        <x:v>Twist Leather Case for iPad 9.7-inch (Gen 5/6 and Air 1/2)</x:v>
      </x:c>
      <x:c r="J190" s="22" t="str">
        <x:v>iPad 9.7 Inch</x:v>
      </x:c>
      <x:c r="K190" s="22" t="str">
        <x:v>IPAD-97-LEGACY</x:v>
      </x:c>
      <x:c r="L190" s="22" t="str">
        <x:v>iPad 9.7-inch (Gen 5/6 and Air 1/2)</x:v>
      </x:c>
      <x:c r="M190" s="22" t="str">
        <x:v>Approved</x:v>
      </x:c>
      <x:c r="N190" s="22" t="str">
        <x:v>https://dghyt15qon7us.cloudfront.net/images/productTheme/Inventory/small/1651289155.jpg</x:v>
      </x:c>
      <x:c r="O190" s="22" t="str">
        <x:v>https://dghyt15qon7us.cloudfront.net/images/productTheme/Inventory/small/1651289074.jpg</x:v>
      </x:c>
      <x:c r="P190" s="19" t="str">
        <x:v>park-ridge</x:v>
      </x:c>
      <x:c r="Q190" s="20" t="n">
        <x:v>0</x:v>
      </x:c>
      <x:c r="R190" s="20" t="n">
        <x:f>MAX(0,Q190)</x:f>
        <x:v>0</x:v>
      </x:c>
      <x:c r="S190" s="21" t="n">
        <x:v>3</x:v>
      </x:c>
      <x:c r="T190" s="21" t="n">
        <x:f>IF(OR(F190="Hard Case",F190="Bubble Hard Case"),15,IF(F190="Twist Leather Case",5,IF(F190="Z-Fold Case",4,IFERROR(VLOOKUP(B190,'Cost Overrides'!$A$2:$B$17,2,FALSE),S190))))</x:f>
        <x:v>5</x:v>
      </x:c>
      <x:c r="U190" s="21" t="str">
        <x:f>IF(OR(F190="Hard Case",F190="Bubble Hard Case"),"Confirmed: Hard Case",IF(F190="Twist Leather Case","Confirmed: Twist Leather Case",IF(F190="Z-Fold Case","Confirmed: Z-Fold Case",IF(COUNTIF('Cost Overrides'!$A$2:$A$17,B190)&gt;0,"Confirmed: Owner cost override",IF(S190&lt;=0,"Needs cost","Source cost")))))</x:f>
        <x:v>Confirmed: Twist Leather Case</x:v>
      </x:c>
      <x:c r="V190" s="21" t="n">
        <x:v>39.95</x:v>
      </x:c>
      <x:c r="W190" s="21" t="n">
        <x:f>V190</x:f>
        <x:v>39.95</x:v>
      </x:c>
      <x:c r="X190" s="19" t="str">
        <x:v>NO</x:v>
      </x:c>
      <x:c r="Y190" s="19" t="str">
        <x:v>NO</x:v>
      </x:c>
      <x:c r="Z190" s="19" t="str">
        <x:v>42456353</x:v>
      </x:c>
      <x:c r="AA190" s="19" t="str">
        <x:v>50755623</x:v>
      </x:c>
      <x:c r="AB190" s="22" t="str">
        <x:f>IF(OR(M190&lt;&gt;"Approved",U190="Needs cost",O190=""),"Needs review","Ready after approval")</x:f>
        <x:v>Ready after approval</x:v>
      </x:c>
      <x:c r="AC190" s="22" t="str"/>
    </x:row>
    <x:row r="191">
      <x:c r="A191" s="19" t="str">
        <x:v>6640</x:v>
      </x:c>
      <x:c r="B191" s="19" t="str">
        <x:v>TM8-TAB-6640</x:v>
      </x:c>
      <x:c r="C191" s="19" t="str">
        <x:v>2999000066407</x:v>
      </x:c>
      <x:c r="D191" s="22" t="str">
        <x:v>Twist Leather Case 9.7 Inch Pink</x:v>
      </x:c>
      <x:c r="E191" s="22" t="str">
        <x:v>Twist Leather Case for iPad 9.7-inch (Gen 5/6 and Air 1/2) - Pink</x:v>
      </x:c>
      <x:c r="F191" s="22" t="str">
        <x:v>Twist Leather Case</x:v>
      </x:c>
      <x:c r="G191" s="22" t="str">
        <x:v>Pink</x:v>
      </x:c>
      <x:c r="H191" s="22" t="str">
        <x:v>TM8-GRP-IPAD-97-LEGACY-TLC</x:v>
      </x:c>
      <x:c r="I191" s="22" t="str">
        <x:v>Twist Leather Case for iPad 9.7-inch (Gen 5/6 and Air 1/2)</x:v>
      </x:c>
      <x:c r="J191" s="22" t="str">
        <x:v>iPad 9.7 Inch</x:v>
      </x:c>
      <x:c r="K191" s="22" t="str">
        <x:v>IPAD-97-LEGACY</x:v>
      </x:c>
      <x:c r="L191" s="22" t="str">
        <x:v>iPad 9.7-inch (Gen 5/6 and Air 1/2)</x:v>
      </x:c>
      <x:c r="M191" s="22" t="str">
        <x:v>Approved</x:v>
      </x:c>
      <x:c r="N191" s="22" t="str">
        <x:v>https://dghyt15qon7us.cloudfront.net/images/productTheme/Inventory/small/1651289121.jpg</x:v>
      </x:c>
      <x:c r="O191" s="22" t="str">
        <x:v>https://dghyt15qon7us.cloudfront.net/images/productTheme/Inventory/small/1651289074.jpg</x:v>
      </x:c>
      <x:c r="P191" s="19" t="str">
        <x:v>park-ridge</x:v>
      </x:c>
      <x:c r="Q191" s="20" t="n">
        <x:v>-2</x:v>
      </x:c>
      <x:c r="R191" s="20" t="n">
        <x:f>MAX(0,Q191)</x:f>
        <x:v>0</x:v>
      </x:c>
      <x:c r="S191" s="21" t="n">
        <x:v>3</x:v>
      </x:c>
      <x:c r="T191" s="21" t="n">
        <x:f>IF(OR(F191="Hard Case",F191="Bubble Hard Case"),15,IF(F191="Twist Leather Case",5,IF(F191="Z-Fold Case",4,IFERROR(VLOOKUP(B191,'Cost Overrides'!$A$2:$B$17,2,FALSE),S191))))</x:f>
        <x:v>5</x:v>
      </x:c>
      <x:c r="U191" s="21" t="str">
        <x:f>IF(OR(F191="Hard Case",F191="Bubble Hard Case"),"Confirmed: Hard Case",IF(F191="Twist Leather Case","Confirmed: Twist Leather Case",IF(F191="Z-Fold Case","Confirmed: Z-Fold Case",IF(COUNTIF('Cost Overrides'!$A$2:$A$17,B191)&gt;0,"Confirmed: Owner cost override",IF(S191&lt;=0,"Needs cost","Source cost")))))</x:f>
        <x:v>Confirmed: Twist Leather Case</x:v>
      </x:c>
      <x:c r="V191" s="21" t="n">
        <x:v>39.95</x:v>
      </x:c>
      <x:c r="W191" s="21" t="n">
        <x:f>V191</x:f>
        <x:v>39.95</x:v>
      </x:c>
      <x:c r="X191" s="19" t="str">
        <x:v>NO</x:v>
      </x:c>
      <x:c r="Y191" s="19" t="str">
        <x:v>NO</x:v>
      </x:c>
      <x:c r="Z191" s="19" t="str">
        <x:v>42456352</x:v>
      </x:c>
      <x:c r="AA191" s="19" t="str">
        <x:v>50755621</x:v>
      </x:c>
      <x:c r="AB191" s="22" t="str">
        <x:f>IF(OR(M191&lt;&gt;"Approved",U191="Needs cost",O191=""),"Needs review","Ready after approval")</x:f>
        <x:v>Ready after approval</x:v>
      </x:c>
      <x:c r="AC191" s="22" t="str">
        <x:v>Negative source stock clipped to zero.</x:v>
      </x:c>
    </x:row>
    <x:row r="192">
      <x:c r="A192" s="19" t="str">
        <x:v>6639</x:v>
      </x:c>
      <x:c r="B192" s="19" t="str">
        <x:v>TM8-TAB-6639</x:v>
      </x:c>
      <x:c r="C192" s="19" t="str">
        <x:v>2999000066391</x:v>
      </x:c>
      <x:c r="D192" s="22" t="str">
        <x:v>Twist Leather Case 9.7 Inch Black</x:v>
      </x:c>
      <x:c r="E192" s="22" t="str">
        <x:v>Twist Leather Case for iPad 9.7-inch (Gen 5/6 and Air 1/2) - Black</x:v>
      </x:c>
      <x:c r="F192" s="22" t="str">
        <x:v>Twist Leather Case</x:v>
      </x:c>
      <x:c r="G192" s="22" t="str">
        <x:v>Black</x:v>
      </x:c>
      <x:c r="H192" s="22" t="str">
        <x:v>TM8-GRP-IPAD-97-LEGACY-TLC</x:v>
      </x:c>
      <x:c r="I192" s="22" t="str">
        <x:v>Twist Leather Case for iPad 9.7-inch (Gen 5/6 and Air 1/2)</x:v>
      </x:c>
      <x:c r="J192" s="22" t="str">
        <x:v>iPad 9.7 Inch</x:v>
      </x:c>
      <x:c r="K192" s="22" t="str">
        <x:v>IPAD-97-LEGACY</x:v>
      </x:c>
      <x:c r="L192" s="22" t="str">
        <x:v>iPad 9.7-inch (Gen 5/6 and Air 1/2)</x:v>
      </x:c>
      <x:c r="M192" s="22" t="str">
        <x:v>Approved</x:v>
      </x:c>
      <x:c r="N192" s="22" t="str">
        <x:v>https://dghyt15qon7us.cloudfront.net/images/productTheme/Inventory/small/1651289074.jpg</x:v>
      </x:c>
      <x:c r="O192" s="22" t="str">
        <x:v>https://dghyt15qon7us.cloudfront.net/images/productTheme/Inventory/small/1651289074.jpg</x:v>
      </x:c>
      <x:c r="P192" s="19" t="str">
        <x:v>park-ridge</x:v>
      </x:c>
      <x:c r="Q192" s="20" t="n">
        <x:v>-1</x:v>
      </x:c>
      <x:c r="R192" s="20" t="n">
        <x:f>MAX(0,Q192)</x:f>
        <x:v>0</x:v>
      </x:c>
      <x:c r="S192" s="21" t="n">
        <x:v>3</x:v>
      </x:c>
      <x:c r="T192" s="21" t="n">
        <x:f>IF(OR(F192="Hard Case",F192="Bubble Hard Case"),15,IF(F192="Twist Leather Case",5,IF(F192="Z-Fold Case",4,IFERROR(VLOOKUP(B192,'Cost Overrides'!$A$2:$B$17,2,FALSE),S192))))</x:f>
        <x:v>5</x:v>
      </x:c>
      <x:c r="U192" s="21" t="str">
        <x:f>IF(OR(F192="Hard Case",F192="Bubble Hard Case"),"Confirmed: Hard Case",IF(F192="Twist Leather Case","Confirmed: Twist Leather Case",IF(F192="Z-Fold Case","Confirmed: Z-Fold Case",IF(COUNTIF('Cost Overrides'!$A$2:$A$17,B192)&gt;0,"Confirmed: Owner cost override",IF(S192&lt;=0,"Needs cost","Source cost")))))</x:f>
        <x:v>Confirmed: Twist Leather Case</x:v>
      </x:c>
      <x:c r="V192" s="21" t="n">
        <x:v>39.95</x:v>
      </x:c>
      <x:c r="W192" s="21" t="n">
        <x:f>V192</x:f>
        <x:v>39.95</x:v>
      </x:c>
      <x:c r="X192" s="19" t="str">
        <x:v>NO</x:v>
      </x:c>
      <x:c r="Y192" s="19" t="str">
        <x:v>NO</x:v>
      </x:c>
      <x:c r="Z192" s="19" t="str">
        <x:v>42456351</x:v>
      </x:c>
      <x:c r="AA192" s="19" t="str">
        <x:v>50755619</x:v>
      </x:c>
      <x:c r="AB192" s="22" t="str">
        <x:f>IF(OR(M192&lt;&gt;"Approved",U192="Needs cost",O192=""),"Needs review","Ready after approval")</x:f>
        <x:v>Ready after approval</x:v>
      </x:c>
      <x:c r="AC192" s="22" t="str">
        <x:v>Negative source stock clipped to zero.</x:v>
      </x:c>
    </x:row>
    <x:row r="193">
      <x:c r="A193" s="19" t="str">
        <x:v>6638</x:v>
      </x:c>
      <x:c r="B193" s="19" t="str">
        <x:v>TM8-TAB-6638</x:v>
      </x:c>
      <x:c r="C193" s="19" t="str">
        <x:v>2999000066384</x:v>
      </x:c>
      <x:c r="D193" s="22" t="str">
        <x:v>Twist Leather Case Mini 6 Gold</x:v>
      </x:c>
      <x:c r="E193" s="22" t="str">
        <x:v>Twist Leather Case for iPad mini 6 - Gold</x:v>
      </x:c>
      <x:c r="F193" s="22" t="str">
        <x:v>Twist Leather Case</x:v>
      </x:c>
      <x:c r="G193" s="22" t="str">
        <x:v>Gold</x:v>
      </x:c>
      <x:c r="H193" s="22" t="str">
        <x:v>TM8-GRP-IPAD-MINI6-TLC</x:v>
      </x:c>
      <x:c r="I193" s="22" t="str">
        <x:v>Twist Leather Case for iPad mini 6</x:v>
      </x:c>
      <x:c r="J193" s="22" t="str">
        <x:v>iPad mini 6</x:v>
      </x:c>
      <x:c r="K193" s="22" t="str">
        <x:v>IPAD-MINI6</x:v>
      </x:c>
      <x:c r="L193" s="22" t="str">
        <x:v>iPad mini 6</x:v>
      </x:c>
      <x:c r="M193" s="22" t="str">
        <x:v>Proposed</x:v>
      </x:c>
      <x:c r="N193" s="22" t="str">
        <x:v>https://dghyt15qon7us.cloudfront.net/images/productTheme/Inventory/small/1651288968.jpg</x:v>
      </x:c>
      <x:c r="O193" s="22" t="str">
        <x:v>https://dghyt15qon7us.cloudfront.net/images/productTheme/Inventory/small/1651288942.jpg</x:v>
      </x:c>
      <x:c r="P193" s="19" t="str">
        <x:v>park-ridge</x:v>
      </x:c>
      <x:c r="Q193" s="20" t="n">
        <x:v>3</x:v>
      </x:c>
      <x:c r="R193" s="20" t="n">
        <x:f>MAX(0,Q193)</x:f>
        <x:v>3</x:v>
      </x:c>
      <x:c r="S193" s="21" t="n">
        <x:v>0</x:v>
      </x:c>
      <x:c r="T193" s="21" t="n">
        <x:f>IF(OR(F193="Hard Case",F193="Bubble Hard Case"),15,IF(F193="Twist Leather Case",5,IF(F193="Z-Fold Case",4,IFERROR(VLOOKUP(B193,'Cost Overrides'!$A$2:$B$17,2,FALSE),S193))))</x:f>
        <x:v>5</x:v>
      </x:c>
      <x:c r="U193" s="21" t="str">
        <x:f>IF(OR(F193="Hard Case",F193="Bubble Hard Case"),"Confirmed: Hard Case",IF(F193="Twist Leather Case","Confirmed: Twist Leather Case",IF(F193="Z-Fold Case","Confirmed: Z-Fold Case",IF(COUNTIF('Cost Overrides'!$A$2:$A$17,B193)&gt;0,"Confirmed: Owner cost override",IF(S193&lt;=0,"Needs cost","Source cost")))))</x:f>
        <x:v>Confirmed: Twist Leather Case</x:v>
      </x:c>
      <x:c r="V193" s="21" t="n">
        <x:v>39.95</x:v>
      </x:c>
      <x:c r="W193" s="21" t="n">
        <x:f>V193</x:f>
        <x:v>39.95</x:v>
      </x:c>
      <x:c r="X193" s="19" t="str">
        <x:v>NO</x:v>
      </x:c>
      <x:c r="Y193" s="19" t="str">
        <x:v>NO</x:v>
      </x:c>
      <x:c r="Z193" s="19" t="str">
        <x:v>42456350</x:v>
      </x:c>
      <x:c r="AA193" s="19" t="str">
        <x:v>50755617</x:v>
      </x:c>
      <x:c r="AB193" s="22" t="str">
        <x:f>IF(OR(M193&lt;&gt;"Approved",U193="Needs cost",O193=""),"Needs review","Ready after approval")</x:f>
        <x:v>Needs review</x:v>
      </x:c>
      <x:c r="AC193" s="22" t="str"/>
    </x:row>
    <x:row r="194">
      <x:c r="A194" s="19" t="str">
        <x:v>6637</x:v>
      </x:c>
      <x:c r="B194" s="19" t="str">
        <x:v>TM8-TAB-6637</x:v>
      </x:c>
      <x:c r="C194" s="19" t="str">
        <x:v>2999000066377</x:v>
      </x:c>
      <x:c r="D194" s="22" t="str">
        <x:v>Twist Leather Case Mini 6 Black</x:v>
      </x:c>
      <x:c r="E194" s="22" t="str">
        <x:v>Twist Leather Case for iPad mini 6 - Black</x:v>
      </x:c>
      <x:c r="F194" s="22" t="str">
        <x:v>Twist Leather Case</x:v>
      </x:c>
      <x:c r="G194" s="22" t="str">
        <x:v>Black</x:v>
      </x:c>
      <x:c r="H194" s="22" t="str">
        <x:v>TM8-GRP-IPAD-MINI6-TLC</x:v>
      </x:c>
      <x:c r="I194" s="22" t="str">
        <x:v>Twist Leather Case for iPad mini 6</x:v>
      </x:c>
      <x:c r="J194" s="22" t="str">
        <x:v>iPad mini 6</x:v>
      </x:c>
      <x:c r="K194" s="22" t="str">
        <x:v>IPAD-MINI6</x:v>
      </x:c>
      <x:c r="L194" s="22" t="str">
        <x:v>iPad mini 6</x:v>
      </x:c>
      <x:c r="M194" s="22" t="str">
        <x:v>Proposed</x:v>
      </x:c>
      <x:c r="N194" s="22" t="str">
        <x:v>https://dghyt15qon7us.cloudfront.net/images/productTheme/Inventory/small/1651288942.jpg</x:v>
      </x:c>
      <x:c r="O194" s="22" t="str">
        <x:v>https://dghyt15qon7us.cloudfront.net/images/productTheme/Inventory/small/1651288942.jpg</x:v>
      </x:c>
      <x:c r="P194" s="19" t="str">
        <x:v>park-ridge</x:v>
      </x:c>
      <x:c r="Q194" s="20" t="n">
        <x:v>2</x:v>
      </x:c>
      <x:c r="R194" s="20" t="n">
        <x:f>MAX(0,Q194)</x:f>
        <x:v>2</x:v>
      </x:c>
      <x:c r="S194" s="21" t="n">
        <x:v>0</x:v>
      </x:c>
      <x:c r="T194" s="21" t="n">
        <x:f>IF(OR(F194="Hard Case",F194="Bubble Hard Case"),15,IF(F194="Twist Leather Case",5,IF(F194="Z-Fold Case",4,IFERROR(VLOOKUP(B194,'Cost Overrides'!$A$2:$B$17,2,FALSE),S194))))</x:f>
        <x:v>5</x:v>
      </x:c>
      <x:c r="U194" s="21" t="str">
        <x:f>IF(OR(F194="Hard Case",F194="Bubble Hard Case"),"Confirmed: Hard Case",IF(F194="Twist Leather Case","Confirmed: Twist Leather Case",IF(F194="Z-Fold Case","Confirmed: Z-Fold Case",IF(COUNTIF('Cost Overrides'!$A$2:$A$17,B194)&gt;0,"Confirmed: Owner cost override",IF(S194&lt;=0,"Needs cost","Source cost")))))</x:f>
        <x:v>Confirmed: Twist Leather Case</x:v>
      </x:c>
      <x:c r="V194" s="21" t="n">
        <x:v>39.95</x:v>
      </x:c>
      <x:c r="W194" s="21" t="n">
        <x:f>V194</x:f>
        <x:v>39.95</x:v>
      </x:c>
      <x:c r="X194" s="19" t="str">
        <x:v>NO</x:v>
      </x:c>
      <x:c r="Y194" s="19" t="str">
        <x:v>NO</x:v>
      </x:c>
      <x:c r="Z194" s="19" t="str">
        <x:v>42456349</x:v>
      </x:c>
      <x:c r="AA194" s="19" t="str">
        <x:v>50755615</x:v>
      </x:c>
      <x:c r="AB194" s="22" t="str">
        <x:f>IF(OR(M194&lt;&gt;"Approved",U194="Needs cost",O194=""),"Needs review","Ready after approval")</x:f>
        <x:v>Needs review</x:v>
      </x:c>
      <x:c r="AC194" s="22" t="str"/>
    </x:row>
    <x:row r="195">
      <x:c r="A195" s="19" t="str">
        <x:v>6636</x:v>
      </x:c>
      <x:c r="B195" s="19" t="str">
        <x:v>TM8-TAB-6636</x:v>
      </x:c>
      <x:c r="C195" s="19" t="str">
        <x:v>2999000066360</x:v>
      </x:c>
      <x:c r="D195" s="22" t="str">
        <x:v>Twist Leather Case Mini 6 Purple</x:v>
      </x:c>
      <x:c r="E195" s="22" t="str">
        <x:v>Twist Leather Case for iPad mini 6 - Purple</x:v>
      </x:c>
      <x:c r="F195" s="22" t="str">
        <x:v>Twist Leather Case</x:v>
      </x:c>
      <x:c r="G195" s="22" t="str">
        <x:v>Purple</x:v>
      </x:c>
      <x:c r="H195" s="22" t="str">
        <x:v>TM8-GRP-IPAD-MINI6-TLC</x:v>
      </x:c>
      <x:c r="I195" s="22" t="str">
        <x:v>Twist Leather Case for iPad mini 6</x:v>
      </x:c>
      <x:c r="J195" s="22" t="str">
        <x:v>iPad mini 6</x:v>
      </x:c>
      <x:c r="K195" s="22" t="str">
        <x:v>IPAD-MINI6</x:v>
      </x:c>
      <x:c r="L195" s="22" t="str">
        <x:v>iPad mini 6</x:v>
      </x:c>
      <x:c r="M195" s="22" t="str">
        <x:v>Proposed</x:v>
      </x:c>
      <x:c r="N195" s="22" t="str">
        <x:v>https://dghyt15qon7us.cloudfront.net/images/productTheme/Inventory/small/1651288904.jpg</x:v>
      </x:c>
      <x:c r="O195" s="22" t="str">
        <x:v>https://dghyt15qon7us.cloudfront.net/images/productTheme/Inventory/small/1651288942.jpg</x:v>
      </x:c>
      <x:c r="P195" s="19" t="str">
        <x:v>park-ridge</x:v>
      </x:c>
      <x:c r="Q195" s="20" t="n">
        <x:v>2</x:v>
      </x:c>
      <x:c r="R195" s="20" t="n">
        <x:f>MAX(0,Q195)</x:f>
        <x:v>2</x:v>
      </x:c>
      <x:c r="S195" s="21" t="n">
        <x:v>0</x:v>
      </x:c>
      <x:c r="T195" s="21" t="n">
        <x:f>IF(OR(F195="Hard Case",F195="Bubble Hard Case"),15,IF(F195="Twist Leather Case",5,IF(F195="Z-Fold Case",4,IFERROR(VLOOKUP(B195,'Cost Overrides'!$A$2:$B$17,2,FALSE),S195))))</x:f>
        <x:v>5</x:v>
      </x:c>
      <x:c r="U195" s="21" t="str">
        <x:f>IF(OR(F195="Hard Case",F195="Bubble Hard Case"),"Confirmed: Hard Case",IF(F195="Twist Leather Case","Confirmed: Twist Leather Case",IF(F195="Z-Fold Case","Confirmed: Z-Fold Case",IF(COUNTIF('Cost Overrides'!$A$2:$A$17,B195)&gt;0,"Confirmed: Owner cost override",IF(S195&lt;=0,"Needs cost","Source cost")))))</x:f>
        <x:v>Confirmed: Twist Leather Case</x:v>
      </x:c>
      <x:c r="V195" s="21" t="n">
        <x:v>39.95</x:v>
      </x:c>
      <x:c r="W195" s="21" t="n">
        <x:f>V195</x:f>
        <x:v>39.95</x:v>
      </x:c>
      <x:c r="X195" s="19" t="str">
        <x:v>NO</x:v>
      </x:c>
      <x:c r="Y195" s="19" t="str">
        <x:v>NO</x:v>
      </x:c>
      <x:c r="Z195" s="19" t="str">
        <x:v>42456348</x:v>
      </x:c>
      <x:c r="AA195" s="19" t="str">
        <x:v>50755613</x:v>
      </x:c>
      <x:c r="AB195" s="22" t="str">
        <x:f>IF(OR(M195&lt;&gt;"Approved",U195="Needs cost",O195=""),"Needs review","Ready after approval")</x:f>
        <x:v>Needs review</x:v>
      </x:c>
      <x:c r="AC195" s="22" t="str"/>
    </x:row>
    <x:row r="196">
      <x:c r="A196" s="19" t="str">
        <x:v>6635</x:v>
      </x:c>
      <x:c r="B196" s="19" t="str">
        <x:v>TM8-TAB-6635</x:v>
      </x:c>
      <x:c r="C196" s="19" t="str">
        <x:v>2999000066353</x:v>
      </x:c>
      <x:c r="D196" s="22" t="str">
        <x:v>Twist Leather Case Mini 6 Blue</x:v>
      </x:c>
      <x:c r="E196" s="22" t="str">
        <x:v>Twist Leather Case for iPad mini 6 - Blue</x:v>
      </x:c>
      <x:c r="F196" s="22" t="str">
        <x:v>Twist Leather Case</x:v>
      </x:c>
      <x:c r="G196" s="22" t="str">
        <x:v>Blue</x:v>
      </x:c>
      <x:c r="H196" s="22" t="str">
        <x:v>TM8-GRP-IPAD-MINI6-TLC</x:v>
      </x:c>
      <x:c r="I196" s="22" t="str">
        <x:v>Twist Leather Case for iPad mini 6</x:v>
      </x:c>
      <x:c r="J196" s="22" t="str">
        <x:v>iPad mini 6</x:v>
      </x:c>
      <x:c r="K196" s="22" t="str">
        <x:v>IPAD-MINI6</x:v>
      </x:c>
      <x:c r="L196" s="22" t="str">
        <x:v>iPad mini 6</x:v>
      </x:c>
      <x:c r="M196" s="22" t="str">
        <x:v>Proposed</x:v>
      </x:c>
      <x:c r="N196" s="22" t="str">
        <x:v>https://dghyt15qon7us.cloudfront.net/images/productTheme/Inventory/small/1651288882.jpg</x:v>
      </x:c>
      <x:c r="O196" s="22" t="str">
        <x:v>https://dghyt15qon7us.cloudfront.net/images/productTheme/Inventory/small/1651288942.jpg</x:v>
      </x:c>
      <x:c r="P196" s="19" t="str">
        <x:v>park-ridge</x:v>
      </x:c>
      <x:c r="Q196" s="20" t="n">
        <x:v>3</x:v>
      </x:c>
      <x:c r="R196" s="20" t="n">
        <x:f>MAX(0,Q196)</x:f>
        <x:v>3</x:v>
      </x:c>
      <x:c r="S196" s="21" t="n">
        <x:v>0</x:v>
      </x:c>
      <x:c r="T196" s="21" t="n">
        <x:f>IF(OR(F196="Hard Case",F196="Bubble Hard Case"),15,IF(F196="Twist Leather Case",5,IF(F196="Z-Fold Case",4,IFERROR(VLOOKUP(B196,'Cost Overrides'!$A$2:$B$17,2,FALSE),S196))))</x:f>
        <x:v>5</x:v>
      </x:c>
      <x:c r="U196" s="21" t="str">
        <x:f>IF(OR(F196="Hard Case",F196="Bubble Hard Case"),"Confirmed: Hard Case",IF(F196="Twist Leather Case","Confirmed: Twist Leather Case",IF(F196="Z-Fold Case","Confirmed: Z-Fold Case",IF(COUNTIF('Cost Overrides'!$A$2:$A$17,B196)&gt;0,"Confirmed: Owner cost override",IF(S196&lt;=0,"Needs cost","Source cost")))))</x:f>
        <x:v>Confirmed: Twist Leather Case</x:v>
      </x:c>
      <x:c r="V196" s="21" t="n">
        <x:v>39.95</x:v>
      </x:c>
      <x:c r="W196" s="21" t="n">
        <x:f>V196</x:f>
        <x:v>39.95</x:v>
      </x:c>
      <x:c r="X196" s="19" t="str">
        <x:v>NO</x:v>
      </x:c>
      <x:c r="Y196" s="19" t="str">
        <x:v>NO</x:v>
      </x:c>
      <x:c r="Z196" s="19" t="str">
        <x:v>42456347</x:v>
      </x:c>
      <x:c r="AA196" s="19" t="str">
        <x:v>50755611</x:v>
      </x:c>
      <x:c r="AB196" s="22" t="str">
        <x:f>IF(OR(M196&lt;&gt;"Approved",U196="Needs cost",O196=""),"Needs review","Ready after approval")</x:f>
        <x:v>Needs review</x:v>
      </x:c>
      <x:c r="AC196" s="22" t="str"/>
    </x:row>
    <x:row r="197">
      <x:c r="A197" s="19" t="str">
        <x:v>6634</x:v>
      </x:c>
      <x:c r="B197" s="19" t="str">
        <x:v>TM8-TAB-6634</x:v>
      </x:c>
      <x:c r="C197" s="19" t="str">
        <x:v>2999000066346</x:v>
      </x:c>
      <x:c r="D197" s="22" t="str">
        <x:v>Twist Leather Case Mini 6 Brown</x:v>
      </x:c>
      <x:c r="E197" s="22" t="str">
        <x:v>Twist Leather Case for iPad mini 6 - Brown</x:v>
      </x:c>
      <x:c r="F197" s="22" t="str">
        <x:v>Twist Leather Case</x:v>
      </x:c>
      <x:c r="G197" s="22" t="str">
        <x:v>Brown</x:v>
      </x:c>
      <x:c r="H197" s="22" t="str">
        <x:v>TM8-GRP-IPAD-MINI6-TLC</x:v>
      </x:c>
      <x:c r="I197" s="22" t="str">
        <x:v>Twist Leather Case for iPad mini 6</x:v>
      </x:c>
      <x:c r="J197" s="22" t="str">
        <x:v>iPad mini 6</x:v>
      </x:c>
      <x:c r="K197" s="22" t="str">
        <x:v>IPAD-MINI6</x:v>
      </x:c>
      <x:c r="L197" s="22" t="str">
        <x:v>iPad mini 6</x:v>
      </x:c>
      <x:c r="M197" s="22" t="str">
        <x:v>Proposed</x:v>
      </x:c>
      <x:c r="N197" s="22" t="str">
        <x:v>https://dghyt15qon7us.cloudfront.net/images/productTheme/Inventory/small/1651288800.jpg</x:v>
      </x:c>
      <x:c r="O197" s="22" t="str">
        <x:v>https://dghyt15qon7us.cloudfront.net/images/productTheme/Inventory/small/1651288942.jpg</x:v>
      </x:c>
      <x:c r="P197" s="19" t="str">
        <x:v>park-ridge</x:v>
      </x:c>
      <x:c r="Q197" s="20" t="n">
        <x:v>1</x:v>
      </x:c>
      <x:c r="R197" s="20" t="n">
        <x:f>MAX(0,Q197)</x:f>
        <x:v>1</x:v>
      </x:c>
      <x:c r="S197" s="21" t="n">
        <x:v>0</x:v>
      </x:c>
      <x:c r="T197" s="21" t="n">
        <x:f>IF(OR(F197="Hard Case",F197="Bubble Hard Case"),15,IF(F197="Twist Leather Case",5,IF(F197="Z-Fold Case",4,IFERROR(VLOOKUP(B197,'Cost Overrides'!$A$2:$B$17,2,FALSE),S197))))</x:f>
        <x:v>5</x:v>
      </x:c>
      <x:c r="U197" s="21" t="str">
        <x:f>IF(OR(F197="Hard Case",F197="Bubble Hard Case"),"Confirmed: Hard Case",IF(F197="Twist Leather Case","Confirmed: Twist Leather Case",IF(F197="Z-Fold Case","Confirmed: Z-Fold Case",IF(COUNTIF('Cost Overrides'!$A$2:$A$17,B197)&gt;0,"Confirmed: Owner cost override",IF(S197&lt;=0,"Needs cost","Source cost")))))</x:f>
        <x:v>Confirmed: Twist Leather Case</x:v>
      </x:c>
      <x:c r="V197" s="21" t="n">
        <x:v>39.95</x:v>
      </x:c>
      <x:c r="W197" s="21" t="n">
        <x:f>V197</x:f>
        <x:v>39.95</x:v>
      </x:c>
      <x:c r="X197" s="19" t="str">
        <x:v>NO</x:v>
      </x:c>
      <x:c r="Y197" s="19" t="str">
        <x:v>NO</x:v>
      </x:c>
      <x:c r="Z197" s="19" t="str">
        <x:v>42456346</x:v>
      </x:c>
      <x:c r="AA197" s="19" t="str">
        <x:v>50755609</x:v>
      </x:c>
      <x:c r="AB197" s="22" t="str">
        <x:f>IF(OR(M197&lt;&gt;"Approved",U197="Needs cost",O197=""),"Needs review","Ready after approval")</x:f>
        <x:v>Needs review</x:v>
      </x:c>
      <x:c r="AC197" s="22" t="str"/>
    </x:row>
    <x:row r="198">
      <x:c r="A198" s="19" t="str">
        <x:v>6633</x:v>
      </x:c>
      <x:c r="B198" s="19" t="str">
        <x:v>TM8-TAB-6633</x:v>
      </x:c>
      <x:c r="C198" s="19" t="str">
        <x:v>2999000066339</x:v>
      </x:c>
      <x:c r="D198" s="22" t="str">
        <x:v>Twist Leather Case Mini 6 Green</x:v>
      </x:c>
      <x:c r="E198" s="22" t="str">
        <x:v>Twist Leather Case for iPad mini 6 - Green</x:v>
      </x:c>
      <x:c r="F198" s="22" t="str">
        <x:v>Twist Leather Case</x:v>
      </x:c>
      <x:c r="G198" s="22" t="str">
        <x:v>Green</x:v>
      </x:c>
      <x:c r="H198" s="22" t="str">
        <x:v>TM8-GRP-IPAD-MINI6-TLC</x:v>
      </x:c>
      <x:c r="I198" s="22" t="str">
        <x:v>Twist Leather Case for iPad mini 6</x:v>
      </x:c>
      <x:c r="J198" s="22" t="str">
        <x:v>iPad mini 6</x:v>
      </x:c>
      <x:c r="K198" s="22" t="str">
        <x:v>IPAD-MINI6</x:v>
      </x:c>
      <x:c r="L198" s="22" t="str">
        <x:v>iPad mini 6</x:v>
      </x:c>
      <x:c r="M198" s="22" t="str">
        <x:v>Proposed</x:v>
      </x:c>
      <x:c r="N198" s="22" t="str">
        <x:v>https://dghyt15qon7us.cloudfront.net/images/productTheme/Inventory/small/1651286069.jpg</x:v>
      </x:c>
      <x:c r="O198" s="22" t="str">
        <x:v>https://dghyt15qon7us.cloudfront.net/images/productTheme/Inventory/small/1651288942.jpg</x:v>
      </x:c>
      <x:c r="P198" s="19" t="str">
        <x:v>park-ridge</x:v>
      </x:c>
      <x:c r="Q198" s="20" t="n">
        <x:v>2</x:v>
      </x:c>
      <x:c r="R198" s="20" t="n">
        <x:f>MAX(0,Q198)</x:f>
        <x:v>2</x:v>
      </x:c>
      <x:c r="S198" s="21" t="n">
        <x:v>0</x:v>
      </x:c>
      <x:c r="T198" s="21" t="n">
        <x:f>IF(OR(F198="Hard Case",F198="Bubble Hard Case"),15,IF(F198="Twist Leather Case",5,IF(F198="Z-Fold Case",4,IFERROR(VLOOKUP(B198,'Cost Overrides'!$A$2:$B$17,2,FALSE),S198))))</x:f>
        <x:v>5</x:v>
      </x:c>
      <x:c r="U198" s="21" t="str">
        <x:f>IF(OR(F198="Hard Case",F198="Bubble Hard Case"),"Confirmed: Hard Case",IF(F198="Twist Leather Case","Confirmed: Twist Leather Case",IF(F198="Z-Fold Case","Confirmed: Z-Fold Case",IF(COUNTIF('Cost Overrides'!$A$2:$A$17,B198)&gt;0,"Confirmed: Owner cost override",IF(S198&lt;=0,"Needs cost","Source cost")))))</x:f>
        <x:v>Confirmed: Twist Leather Case</x:v>
      </x:c>
      <x:c r="V198" s="21" t="n">
        <x:v>39.95</x:v>
      </x:c>
      <x:c r="W198" s="21" t="n">
        <x:f>V198</x:f>
        <x:v>39.95</x:v>
      </x:c>
      <x:c r="X198" s="19" t="str">
        <x:v>NO</x:v>
      </x:c>
      <x:c r="Y198" s="19" t="str">
        <x:v>NO</x:v>
      </x:c>
      <x:c r="Z198" s="19" t="str">
        <x:v>42456345</x:v>
      </x:c>
      <x:c r="AA198" s="19" t="str">
        <x:v>50755607</x:v>
      </x:c>
      <x:c r="AB198" s="22" t="str">
        <x:f>IF(OR(M198&lt;&gt;"Approved",U198="Needs cost",O198=""),"Needs review","Ready after approval")</x:f>
        <x:v>Needs review</x:v>
      </x:c>
      <x:c r="AC198" s="22" t="str"/>
    </x:row>
    <x:row r="199">
      <x:c r="A199" s="19" t="str">
        <x:v>6632</x:v>
      </x:c>
      <x:c r="B199" s="19" t="str">
        <x:v>TM8-TAB-6632</x:v>
      </x:c>
      <x:c r="C199" s="19" t="str">
        <x:v>2999000066322</x:v>
      </x:c>
      <x:c r="D199" s="22" t="str">
        <x:v>Twist Leather Case Mini 6 Pink</x:v>
      </x:c>
      <x:c r="E199" s="22" t="str">
        <x:v>Twist Leather Case for iPad mini 6 - Pink</x:v>
      </x:c>
      <x:c r="F199" s="22" t="str">
        <x:v>Twist Leather Case</x:v>
      </x:c>
      <x:c r="G199" s="22" t="str">
        <x:v>Pink</x:v>
      </x:c>
      <x:c r="H199" s="22" t="str">
        <x:v>TM8-GRP-IPAD-MINI6-TLC</x:v>
      </x:c>
      <x:c r="I199" s="22" t="str">
        <x:v>Twist Leather Case for iPad mini 6</x:v>
      </x:c>
      <x:c r="J199" s="22" t="str">
        <x:v>iPad mini 6</x:v>
      </x:c>
      <x:c r="K199" s="22" t="str">
        <x:v>IPAD-MINI6</x:v>
      </x:c>
      <x:c r="L199" s="22" t="str">
        <x:v>iPad mini 6</x:v>
      </x:c>
      <x:c r="M199" s="22" t="str">
        <x:v>Proposed</x:v>
      </x:c>
      <x:c r="N199" s="22" t="str">
        <x:v>https://dghyt15qon7us.cloudfront.net/images/productTheme/Inventory/small/1651285989.jpg</x:v>
      </x:c>
      <x:c r="O199" s="22" t="str">
        <x:v>https://dghyt15qon7us.cloudfront.net/images/productTheme/Inventory/small/1651288942.jpg</x:v>
      </x:c>
      <x:c r="P199" s="19" t="str">
        <x:v>park-ridge</x:v>
      </x:c>
      <x:c r="Q199" s="20" t="n">
        <x:v>2</x:v>
      </x:c>
      <x:c r="R199" s="20" t="n">
        <x:f>MAX(0,Q199)</x:f>
        <x:v>2</x:v>
      </x:c>
      <x:c r="S199" s="21" t="n">
        <x:v>0</x:v>
      </x:c>
      <x:c r="T199" s="21" t="n">
        <x:f>IF(OR(F199="Hard Case",F199="Bubble Hard Case"),15,IF(F199="Twist Leather Case",5,IF(F199="Z-Fold Case",4,IFERROR(VLOOKUP(B199,'Cost Overrides'!$A$2:$B$17,2,FALSE),S199))))</x:f>
        <x:v>5</x:v>
      </x:c>
      <x:c r="U199" s="21" t="str">
        <x:f>IF(OR(F199="Hard Case",F199="Bubble Hard Case"),"Confirmed: Hard Case",IF(F199="Twist Leather Case","Confirmed: Twist Leather Case",IF(F199="Z-Fold Case","Confirmed: Z-Fold Case",IF(COUNTIF('Cost Overrides'!$A$2:$A$17,B199)&gt;0,"Confirmed: Owner cost override",IF(S199&lt;=0,"Needs cost","Source cost")))))</x:f>
        <x:v>Confirmed: Twist Leather Case</x:v>
      </x:c>
      <x:c r="V199" s="21" t="n">
        <x:v>39.95</x:v>
      </x:c>
      <x:c r="W199" s="21" t="n">
        <x:f>V199</x:f>
        <x:v>39.95</x:v>
      </x:c>
      <x:c r="X199" s="19" t="str">
        <x:v>NO</x:v>
      </x:c>
      <x:c r="Y199" s="19" t="str">
        <x:v>NO</x:v>
      </x:c>
      <x:c r="Z199" s="19" t="str">
        <x:v>42456344</x:v>
      </x:c>
      <x:c r="AA199" s="19" t="str">
        <x:v>50755605</x:v>
      </x:c>
      <x:c r="AB199" s="22" t="str">
        <x:f>IF(OR(M199&lt;&gt;"Approved",U199="Needs cost",O199=""),"Needs review","Ready after approval")</x:f>
        <x:v>Needs review</x:v>
      </x:c>
      <x:c r="AC199" s="22" t="str"/>
    </x:row>
    <x:row r="200">
      <x:c r="A200" s="19" t="str">
        <x:v>6631</x:v>
      </x:c>
      <x:c r="B200" s="19" t="str">
        <x:v>TM8-TAB-6631</x:v>
      </x:c>
      <x:c r="C200" s="19" t="str">
        <x:v>2999000066315</x:v>
      </x:c>
      <x:c r="D200" s="22" t="str">
        <x:v>Twist Leather Case Mini 4/5 Black</x:v>
      </x:c>
      <x:c r="E200" s="22" t="str">
        <x:v>Twist Leather Case for iPad mini 4/5 - Black</x:v>
      </x:c>
      <x:c r="F200" s="22" t="str">
        <x:v>Twist Leather Case</x:v>
      </x:c>
      <x:c r="G200" s="22" t="str">
        <x:v>Black</x:v>
      </x:c>
      <x:c r="H200" s="22" t="str">
        <x:v>TM8-GRP-IPAD-MINI45-TLC</x:v>
      </x:c>
      <x:c r="I200" s="22" t="str">
        <x:v>Twist Leather Case for iPad mini 4/5</x:v>
      </x:c>
      <x:c r="J200" s="22" t="str">
        <x:v>iPad mini 4/5</x:v>
      </x:c>
      <x:c r="K200" s="22" t="str">
        <x:v>IPAD-MINI45</x:v>
      </x:c>
      <x:c r="L200" s="22" t="str">
        <x:v>iPad mini 4/5</x:v>
      </x:c>
      <x:c r="M200" s="22" t="str">
        <x:v>Proposed</x:v>
      </x:c>
      <x:c r="N200" s="22" t="str">
        <x:v>https://dghyt15qon7us.cloudfront.net/images/productTheme/Inventory/small/1651285708.jpg</x:v>
      </x:c>
      <x:c r="O200" s="22" t="str">
        <x:v>https://dghyt15qon7us.cloudfront.net/images/productTheme/Inventory/small/1651285708.jpg</x:v>
      </x:c>
      <x:c r="P200" s="19" t="str">
        <x:v>park-ridge</x:v>
      </x:c>
      <x:c r="Q200" s="20" t="n">
        <x:v>1</x:v>
      </x:c>
      <x:c r="R200" s="20" t="n">
        <x:f>MAX(0,Q200)</x:f>
        <x:v>1</x:v>
      </x:c>
      <x:c r="S200" s="21" t="n">
        <x:v>3</x:v>
      </x:c>
      <x:c r="T200" s="21" t="n">
        <x:f>IF(OR(F200="Hard Case",F200="Bubble Hard Case"),15,IF(F200="Twist Leather Case",5,IF(F200="Z-Fold Case",4,IFERROR(VLOOKUP(B200,'Cost Overrides'!$A$2:$B$17,2,FALSE),S200))))</x:f>
        <x:v>5</x:v>
      </x:c>
      <x:c r="U200" s="21" t="str">
        <x:f>IF(OR(F200="Hard Case",F200="Bubble Hard Case"),"Confirmed: Hard Case",IF(F200="Twist Leather Case","Confirmed: Twist Leather Case",IF(F200="Z-Fold Case","Confirmed: Z-Fold Case",IF(COUNTIF('Cost Overrides'!$A$2:$A$17,B200)&gt;0,"Confirmed: Owner cost override",IF(S200&lt;=0,"Needs cost","Source cost")))))</x:f>
        <x:v>Confirmed: Twist Leather Case</x:v>
      </x:c>
      <x:c r="V200" s="21" t="n">
        <x:v>39.95</x:v>
      </x:c>
      <x:c r="W200" s="21" t="n">
        <x:f>V200</x:f>
        <x:v>39.95</x:v>
      </x:c>
      <x:c r="X200" s="19" t="str">
        <x:v>NO</x:v>
      </x:c>
      <x:c r="Y200" s="19" t="str">
        <x:v>NO</x:v>
      </x:c>
      <x:c r="Z200" s="19" t="str">
        <x:v>42456343</x:v>
      </x:c>
      <x:c r="AA200" s="19" t="str">
        <x:v>50755603</x:v>
      </x:c>
      <x:c r="AB200" s="22" t="str">
        <x:f>IF(OR(M200&lt;&gt;"Approved",U200="Needs cost",O200=""),"Needs review","Ready after approval")</x:f>
        <x:v>Needs review</x:v>
      </x:c>
      <x:c r="AC200" s="22" t="str"/>
    </x:row>
    <x:row r="201">
      <x:c r="A201" s="19" t="str">
        <x:v>6630</x:v>
      </x:c>
      <x:c r="B201" s="19" t="str">
        <x:v>TM8-TAB-6630</x:v>
      </x:c>
      <x:c r="C201" s="19" t="str">
        <x:v>2999000066308</x:v>
      </x:c>
      <x:c r="D201" s="22" t="str">
        <x:v>Twist Leather Case Mini 4/5 Pink</x:v>
      </x:c>
      <x:c r="E201" s="22" t="str">
        <x:v>Twist Leather Case for iPad mini 4/5 - Pink</x:v>
      </x:c>
      <x:c r="F201" s="22" t="str">
        <x:v>Twist Leather Case</x:v>
      </x:c>
      <x:c r="G201" s="22" t="str">
        <x:v>Pink</x:v>
      </x:c>
      <x:c r="H201" s="22" t="str">
        <x:v>TM8-GRP-IPAD-MINI45-TLC</x:v>
      </x:c>
      <x:c r="I201" s="22" t="str">
        <x:v>Twist Leather Case for iPad mini 4/5</x:v>
      </x:c>
      <x:c r="J201" s="22" t="str">
        <x:v>iPad mini 4/5</x:v>
      </x:c>
      <x:c r="K201" s="22" t="str">
        <x:v>IPAD-MINI45</x:v>
      </x:c>
      <x:c r="L201" s="22" t="str">
        <x:v>iPad mini 4/5</x:v>
      </x:c>
      <x:c r="M201" s="22" t="str">
        <x:v>Proposed</x:v>
      </x:c>
      <x:c r="N201" s="22" t="str">
        <x:v>https://dghyt15qon7us.cloudfront.net/images/productTheme/Inventory/small/1651285667.jpg</x:v>
      </x:c>
      <x:c r="O201" s="22" t="str">
        <x:v>https://dghyt15qon7us.cloudfront.net/images/productTheme/Inventory/small/1651285708.jpg</x:v>
      </x:c>
      <x:c r="P201" s="19" t="str">
        <x:v>park-ridge</x:v>
      </x:c>
      <x:c r="Q201" s="20" t="n">
        <x:v>0</x:v>
      </x:c>
      <x:c r="R201" s="20" t="n">
        <x:f>MAX(0,Q201)</x:f>
        <x:v>0</x:v>
      </x:c>
      <x:c r="S201" s="21" t="n">
        <x:v>3</x:v>
      </x:c>
      <x:c r="T201" s="21" t="n">
        <x:f>IF(OR(F201="Hard Case",F201="Bubble Hard Case"),15,IF(F201="Twist Leather Case",5,IF(F201="Z-Fold Case",4,IFERROR(VLOOKUP(B201,'Cost Overrides'!$A$2:$B$17,2,FALSE),S201))))</x:f>
        <x:v>5</x:v>
      </x:c>
      <x:c r="U201" s="21" t="str">
        <x:f>IF(OR(F201="Hard Case",F201="Bubble Hard Case"),"Confirmed: Hard Case",IF(F201="Twist Leather Case","Confirmed: Twist Leather Case",IF(F201="Z-Fold Case","Confirmed: Z-Fold Case",IF(COUNTIF('Cost Overrides'!$A$2:$A$17,B201)&gt;0,"Confirmed: Owner cost override",IF(S201&lt;=0,"Needs cost","Source cost")))))</x:f>
        <x:v>Confirmed: Twist Leather Case</x:v>
      </x:c>
      <x:c r="V201" s="21" t="n">
        <x:v>39.95</x:v>
      </x:c>
      <x:c r="W201" s="21" t="n">
        <x:f>V201</x:f>
        <x:v>39.95</x:v>
      </x:c>
      <x:c r="X201" s="19" t="str">
        <x:v>NO</x:v>
      </x:c>
      <x:c r="Y201" s="19" t="str">
        <x:v>NO</x:v>
      </x:c>
      <x:c r="Z201" s="19" t="str">
        <x:v>42456342</x:v>
      </x:c>
      <x:c r="AA201" s="19" t="str">
        <x:v>50755601</x:v>
      </x:c>
      <x:c r="AB201" s="22" t="str">
        <x:f>IF(OR(M201&lt;&gt;"Approved",U201="Needs cost",O201=""),"Needs review","Ready after approval")</x:f>
        <x:v>Needs review</x:v>
      </x:c>
      <x:c r="AC201" s="22" t="str"/>
    </x:row>
    <x:row r="202">
      <x:c r="A202" s="19" t="str">
        <x:v>6629</x:v>
      </x:c>
      <x:c r="B202" s="19" t="str">
        <x:v>TM8-TAB-6629</x:v>
      </x:c>
      <x:c r="C202" s="19" t="str">
        <x:v>2999000066292</x:v>
      </x:c>
      <x:c r="D202" s="22" t="str">
        <x:v>Twist Leather Case Mini 4/5 Brown</x:v>
      </x:c>
      <x:c r="E202" s="22" t="str">
        <x:v>Twist Leather Case for iPad mini 4/5 - Brown</x:v>
      </x:c>
      <x:c r="F202" s="22" t="str">
        <x:v>Twist Leather Case</x:v>
      </x:c>
      <x:c r="G202" s="22" t="str">
        <x:v>Brown</x:v>
      </x:c>
      <x:c r="H202" s="22" t="str">
        <x:v>TM8-GRP-IPAD-MINI45-TLC</x:v>
      </x:c>
      <x:c r="I202" s="22" t="str">
        <x:v>Twist Leather Case for iPad mini 4/5</x:v>
      </x:c>
      <x:c r="J202" s="22" t="str">
        <x:v>iPad mini 4/5</x:v>
      </x:c>
      <x:c r="K202" s="22" t="str">
        <x:v>IPAD-MINI45</x:v>
      </x:c>
      <x:c r="L202" s="22" t="str">
        <x:v>iPad mini 4/5</x:v>
      </x:c>
      <x:c r="M202" s="22" t="str">
        <x:v>Proposed</x:v>
      </x:c>
      <x:c r="N202" s="22" t="str">
        <x:v>https://dghyt15qon7us.cloudfront.net/images/productTheme/Inventory/small/1651285634.jpg</x:v>
      </x:c>
      <x:c r="O202" s="22" t="str">
        <x:v>https://dghyt15qon7us.cloudfront.net/images/productTheme/Inventory/small/1651285708.jpg</x:v>
      </x:c>
      <x:c r="P202" s="19" t="str">
        <x:v>park-ridge</x:v>
      </x:c>
      <x:c r="Q202" s="20" t="n">
        <x:v>1</x:v>
      </x:c>
      <x:c r="R202" s="20" t="n">
        <x:f>MAX(0,Q202)</x:f>
        <x:v>1</x:v>
      </x:c>
      <x:c r="S202" s="21" t="n">
        <x:v>3</x:v>
      </x:c>
      <x:c r="T202" s="21" t="n">
        <x:f>IF(OR(F202="Hard Case",F202="Bubble Hard Case"),15,IF(F202="Twist Leather Case",5,IF(F202="Z-Fold Case",4,IFERROR(VLOOKUP(B202,'Cost Overrides'!$A$2:$B$17,2,FALSE),S202))))</x:f>
        <x:v>5</x:v>
      </x:c>
      <x:c r="U202" s="21" t="str">
        <x:f>IF(OR(F202="Hard Case",F202="Bubble Hard Case"),"Confirmed: Hard Case",IF(F202="Twist Leather Case","Confirmed: Twist Leather Case",IF(F202="Z-Fold Case","Confirmed: Z-Fold Case",IF(COUNTIF('Cost Overrides'!$A$2:$A$17,B202)&gt;0,"Confirmed: Owner cost override",IF(S202&lt;=0,"Needs cost","Source cost")))))</x:f>
        <x:v>Confirmed: Twist Leather Case</x:v>
      </x:c>
      <x:c r="V202" s="21" t="n">
        <x:v>39.95</x:v>
      </x:c>
      <x:c r="W202" s="21" t="n">
        <x:f>V202</x:f>
        <x:v>39.95</x:v>
      </x:c>
      <x:c r="X202" s="19" t="str">
        <x:v>NO</x:v>
      </x:c>
      <x:c r="Y202" s="19" t="str">
        <x:v>NO</x:v>
      </x:c>
      <x:c r="Z202" s="19" t="str">
        <x:v>42456341</x:v>
      </x:c>
      <x:c r="AA202" s="19" t="str">
        <x:v>50755599</x:v>
      </x:c>
      <x:c r="AB202" s="22" t="str">
        <x:f>IF(OR(M202&lt;&gt;"Approved",U202="Needs cost",O202=""),"Needs review","Ready after approval")</x:f>
        <x:v>Needs review</x:v>
      </x:c>
      <x:c r="AC202" s="22" t="str"/>
    </x:row>
    <x:row r="203">
      <x:c r="A203" s="19" t="str">
        <x:v>6628</x:v>
      </x:c>
      <x:c r="B203" s="19" t="str">
        <x:v>TM8-TAB-6628</x:v>
      </x:c>
      <x:c r="C203" s="19" t="str">
        <x:v>2999000066285</x:v>
      </x:c>
      <x:c r="D203" s="22" t="str">
        <x:v>Twist Leather Case Mini 4/5 Gold</x:v>
      </x:c>
      <x:c r="E203" s="22" t="str">
        <x:v>Twist Leather Case for iPad mini 4/5 - Gold</x:v>
      </x:c>
      <x:c r="F203" s="22" t="str">
        <x:v>Twist Leather Case</x:v>
      </x:c>
      <x:c r="G203" s="22" t="str">
        <x:v>Gold</x:v>
      </x:c>
      <x:c r="H203" s="22" t="str">
        <x:v>TM8-GRP-IPAD-MINI45-TLC</x:v>
      </x:c>
      <x:c r="I203" s="22" t="str">
        <x:v>Twist Leather Case for iPad mini 4/5</x:v>
      </x:c>
      <x:c r="J203" s="22" t="str">
        <x:v>iPad mini 4/5</x:v>
      </x:c>
      <x:c r="K203" s="22" t="str">
        <x:v>IPAD-MINI45</x:v>
      </x:c>
      <x:c r="L203" s="22" t="str">
        <x:v>iPad mini 4/5</x:v>
      </x:c>
      <x:c r="M203" s="22" t="str">
        <x:v>Proposed</x:v>
      </x:c>
      <x:c r="N203" s="22" t="str">
        <x:v>https://dghyt15qon7us.cloudfront.net/images/productTheme/Inventory/small/1651285557.jpg</x:v>
      </x:c>
      <x:c r="O203" s="22" t="str">
        <x:v>https://dghyt15qon7us.cloudfront.net/images/productTheme/Inventory/small/1651285708.jpg</x:v>
      </x:c>
      <x:c r="P203" s="19" t="str">
        <x:v>park-ridge</x:v>
      </x:c>
      <x:c r="Q203" s="20" t="n">
        <x:v>2</x:v>
      </x:c>
      <x:c r="R203" s="20" t="n">
        <x:f>MAX(0,Q203)</x:f>
        <x:v>2</x:v>
      </x:c>
      <x:c r="S203" s="21" t="n">
        <x:v>3</x:v>
      </x:c>
      <x:c r="T203" s="21" t="n">
        <x:f>IF(OR(F203="Hard Case",F203="Bubble Hard Case"),15,IF(F203="Twist Leather Case",5,IF(F203="Z-Fold Case",4,IFERROR(VLOOKUP(B203,'Cost Overrides'!$A$2:$B$17,2,FALSE),S203))))</x:f>
        <x:v>5</x:v>
      </x:c>
      <x:c r="U203" s="21" t="str">
        <x:f>IF(OR(F203="Hard Case",F203="Bubble Hard Case"),"Confirmed: Hard Case",IF(F203="Twist Leather Case","Confirmed: Twist Leather Case",IF(F203="Z-Fold Case","Confirmed: Z-Fold Case",IF(COUNTIF('Cost Overrides'!$A$2:$A$17,B203)&gt;0,"Confirmed: Owner cost override",IF(S203&lt;=0,"Needs cost","Source cost")))))</x:f>
        <x:v>Confirmed: Twist Leather Case</x:v>
      </x:c>
      <x:c r="V203" s="21" t="n">
        <x:v>39.95</x:v>
      </x:c>
      <x:c r="W203" s="21" t="n">
        <x:f>V203</x:f>
        <x:v>39.95</x:v>
      </x:c>
      <x:c r="X203" s="19" t="str">
        <x:v>NO</x:v>
      </x:c>
      <x:c r="Y203" s="19" t="str">
        <x:v>NO</x:v>
      </x:c>
      <x:c r="Z203" s="19" t="str">
        <x:v>42456340</x:v>
      </x:c>
      <x:c r="AA203" s="19" t="str">
        <x:v>50755597</x:v>
      </x:c>
      <x:c r="AB203" s="22" t="str">
        <x:f>IF(OR(M203&lt;&gt;"Approved",U203="Needs cost",O203=""),"Needs review","Ready after approval")</x:f>
        <x:v>Needs review</x:v>
      </x:c>
      <x:c r="AC203" s="22" t="str"/>
    </x:row>
    <x:row r="204">
      <x:c r="A204" s="19" t="str">
        <x:v>6627</x:v>
      </x:c>
      <x:c r="B204" s="19" t="str">
        <x:v>TM8-TAB-6627</x:v>
      </x:c>
      <x:c r="C204" s="19" t="str">
        <x:v>2999000066278</x:v>
      </x:c>
      <x:c r="D204" s="22" t="str">
        <x:v>Twist Leather Case Mini 4/5 Blue</x:v>
      </x:c>
      <x:c r="E204" s="22" t="str">
        <x:v>Twist Leather Case for iPad mini 4/5 - Blue</x:v>
      </x:c>
      <x:c r="F204" s="22" t="str">
        <x:v>Twist Leather Case</x:v>
      </x:c>
      <x:c r="G204" s="22" t="str">
        <x:v>Blue</x:v>
      </x:c>
      <x:c r="H204" s="22" t="str">
        <x:v>TM8-GRP-IPAD-MINI45-TLC</x:v>
      </x:c>
      <x:c r="I204" s="22" t="str">
        <x:v>Twist Leather Case for iPad mini 4/5</x:v>
      </x:c>
      <x:c r="J204" s="22" t="str">
        <x:v>iPad mini 4/5</x:v>
      </x:c>
      <x:c r="K204" s="22" t="str">
        <x:v>IPAD-MINI45</x:v>
      </x:c>
      <x:c r="L204" s="22" t="str">
        <x:v>iPad mini 4/5</x:v>
      </x:c>
      <x:c r="M204" s="22" t="str">
        <x:v>Proposed</x:v>
      </x:c>
      <x:c r="N204" s="22" t="str">
        <x:v>https://dghyt15qon7us.cloudfront.net/images/productTheme/Inventory/small/1651285430.jpg</x:v>
      </x:c>
      <x:c r="O204" s="22" t="str">
        <x:v>https://dghyt15qon7us.cloudfront.net/images/productTheme/Inventory/small/1651285708.jpg</x:v>
      </x:c>
      <x:c r="P204" s="19" t="str">
        <x:v>park-ridge</x:v>
      </x:c>
      <x:c r="Q204" s="20" t="n">
        <x:v>2</x:v>
      </x:c>
      <x:c r="R204" s="20" t="n">
        <x:f>MAX(0,Q204)</x:f>
        <x:v>2</x:v>
      </x:c>
      <x:c r="S204" s="21" t="n">
        <x:v>3</x:v>
      </x:c>
      <x:c r="T204" s="21" t="n">
        <x:f>IF(OR(F204="Hard Case",F204="Bubble Hard Case"),15,IF(F204="Twist Leather Case",5,IF(F204="Z-Fold Case",4,IFERROR(VLOOKUP(B204,'Cost Overrides'!$A$2:$B$17,2,FALSE),S204))))</x:f>
        <x:v>5</x:v>
      </x:c>
      <x:c r="U204" s="21" t="str">
        <x:f>IF(OR(F204="Hard Case",F204="Bubble Hard Case"),"Confirmed: Hard Case",IF(F204="Twist Leather Case","Confirmed: Twist Leather Case",IF(F204="Z-Fold Case","Confirmed: Z-Fold Case",IF(COUNTIF('Cost Overrides'!$A$2:$A$17,B204)&gt;0,"Confirmed: Owner cost override",IF(S204&lt;=0,"Needs cost","Source cost")))))</x:f>
        <x:v>Confirmed: Twist Leather Case</x:v>
      </x:c>
      <x:c r="V204" s="21" t="n">
        <x:v>39.95</x:v>
      </x:c>
      <x:c r="W204" s="21" t="n">
        <x:f>V204</x:f>
        <x:v>39.95</x:v>
      </x:c>
      <x:c r="X204" s="19" t="str">
        <x:v>NO</x:v>
      </x:c>
      <x:c r="Y204" s="19" t="str">
        <x:v>NO</x:v>
      </x:c>
      <x:c r="Z204" s="19" t="str">
        <x:v>42456339</x:v>
      </x:c>
      <x:c r="AA204" s="19" t="str">
        <x:v>50755595</x:v>
      </x:c>
      <x:c r="AB204" s="22" t="str">
        <x:f>IF(OR(M204&lt;&gt;"Approved",U204="Needs cost",O204=""),"Needs review","Ready after approval")</x:f>
        <x:v>Needs review</x:v>
      </x:c>
      <x:c r="AC204" s="22" t="str"/>
    </x:row>
    <x:row r="205">
      <x:c r="A205" s="19" t="str">
        <x:v>6626</x:v>
      </x:c>
      <x:c r="B205" s="19" t="str">
        <x:v>TM8-TAB-6626</x:v>
      </x:c>
      <x:c r="C205" s="19" t="str">
        <x:v>2999000066261</x:v>
      </x:c>
      <x:c r="D205" s="22" t="str">
        <x:v>Twist Leather Case Mini 4/5 Purple</x:v>
      </x:c>
      <x:c r="E205" s="22" t="str">
        <x:v>Twist Leather Case for iPad mini 4/5 - Purple</x:v>
      </x:c>
      <x:c r="F205" s="22" t="str">
        <x:v>Twist Leather Case</x:v>
      </x:c>
      <x:c r="G205" s="22" t="str">
        <x:v>Purple</x:v>
      </x:c>
      <x:c r="H205" s="22" t="str">
        <x:v>TM8-GRP-IPAD-MINI45-TLC</x:v>
      </x:c>
      <x:c r="I205" s="22" t="str">
        <x:v>Twist Leather Case for iPad mini 4/5</x:v>
      </x:c>
      <x:c r="J205" s="22" t="str">
        <x:v>iPad mini 4/5</x:v>
      </x:c>
      <x:c r="K205" s="22" t="str">
        <x:v>IPAD-MINI45</x:v>
      </x:c>
      <x:c r="L205" s="22" t="str">
        <x:v>iPad mini 4/5</x:v>
      </x:c>
      <x:c r="M205" s="22" t="str">
        <x:v>Proposed</x:v>
      </x:c>
      <x:c r="N205" s="22" t="str">
        <x:v>https://dghyt15qon7us.cloudfront.net/images/productTheme/Inventory/small/1651285395.jpg</x:v>
      </x:c>
      <x:c r="O205" s="22" t="str">
        <x:v>https://dghyt15qon7us.cloudfront.net/images/productTheme/Inventory/small/1651285708.jpg</x:v>
      </x:c>
      <x:c r="P205" s="19" t="str">
        <x:v>park-ridge</x:v>
      </x:c>
      <x:c r="Q205" s="20" t="n">
        <x:v>1</x:v>
      </x:c>
      <x:c r="R205" s="20" t="n">
        <x:f>MAX(0,Q205)</x:f>
        <x:v>1</x:v>
      </x:c>
      <x:c r="S205" s="21" t="n">
        <x:v>3</x:v>
      </x:c>
      <x:c r="T205" s="21" t="n">
        <x:f>IF(OR(F205="Hard Case",F205="Bubble Hard Case"),15,IF(F205="Twist Leather Case",5,IF(F205="Z-Fold Case",4,IFERROR(VLOOKUP(B205,'Cost Overrides'!$A$2:$B$17,2,FALSE),S205))))</x:f>
        <x:v>5</x:v>
      </x:c>
      <x:c r="U205" s="21" t="str">
        <x:f>IF(OR(F205="Hard Case",F205="Bubble Hard Case"),"Confirmed: Hard Case",IF(F205="Twist Leather Case","Confirmed: Twist Leather Case",IF(F205="Z-Fold Case","Confirmed: Z-Fold Case",IF(COUNTIF('Cost Overrides'!$A$2:$A$17,B205)&gt;0,"Confirmed: Owner cost override",IF(S205&lt;=0,"Needs cost","Source cost")))))</x:f>
        <x:v>Confirmed: Twist Leather Case</x:v>
      </x:c>
      <x:c r="V205" s="21" t="n">
        <x:v>39.95</x:v>
      </x:c>
      <x:c r="W205" s="21" t="n">
        <x:f>V205</x:f>
        <x:v>39.95</x:v>
      </x:c>
      <x:c r="X205" s="19" t="str">
        <x:v>NO</x:v>
      </x:c>
      <x:c r="Y205" s="19" t="str">
        <x:v>NO</x:v>
      </x:c>
      <x:c r="Z205" s="19" t="str">
        <x:v>42456338</x:v>
      </x:c>
      <x:c r="AA205" s="19" t="str">
        <x:v>50755593</x:v>
      </x:c>
      <x:c r="AB205" s="22" t="str">
        <x:f>IF(OR(M205&lt;&gt;"Approved",U205="Needs cost",O205=""),"Needs review","Ready after approval")</x:f>
        <x:v>Needs review</x:v>
      </x:c>
      <x:c r="AC205" s="22" t="str"/>
    </x:row>
    <x:row r="206">
      <x:c r="A206" s="19" t="str">
        <x:v>6625</x:v>
      </x:c>
      <x:c r="B206" s="19" t="str">
        <x:v>TM8-TAB-6625</x:v>
      </x:c>
      <x:c r="C206" s="19" t="str">
        <x:v>2999000066254</x:v>
      </x:c>
      <x:c r="D206" s="22" t="str">
        <x:v>Twist Leather Case Mini 4/5 Green</x:v>
      </x:c>
      <x:c r="E206" s="22" t="str">
        <x:v>Twist Leather Case for iPad mini 4/5 - Green</x:v>
      </x:c>
      <x:c r="F206" s="22" t="str">
        <x:v>Twist Leather Case</x:v>
      </x:c>
      <x:c r="G206" s="22" t="str">
        <x:v>Green</x:v>
      </x:c>
      <x:c r="H206" s="22" t="str">
        <x:v>TM8-GRP-IPAD-MINI45-TLC</x:v>
      </x:c>
      <x:c r="I206" s="22" t="str">
        <x:v>Twist Leather Case for iPad mini 4/5</x:v>
      </x:c>
      <x:c r="J206" s="22" t="str">
        <x:v>iPad mini 4/5</x:v>
      </x:c>
      <x:c r="K206" s="22" t="str">
        <x:v>IPAD-MINI45</x:v>
      </x:c>
      <x:c r="L206" s="22" t="str">
        <x:v>iPad mini 4/5</x:v>
      </x:c>
      <x:c r="M206" s="22" t="str">
        <x:v>Proposed</x:v>
      </x:c>
      <x:c r="N206" s="22" t="str">
        <x:v>https://dghyt15qon7us.cloudfront.net/images/productTheme/Inventory/small/1651285354.jpg</x:v>
      </x:c>
      <x:c r="O206" s="22" t="str">
        <x:v>https://dghyt15qon7us.cloudfront.net/images/productTheme/Inventory/small/1651285708.jpg</x:v>
      </x:c>
      <x:c r="P206" s="19" t="str">
        <x:v>park-ridge</x:v>
      </x:c>
      <x:c r="Q206" s="20" t="n">
        <x:v>0</x:v>
      </x:c>
      <x:c r="R206" s="20" t="n">
        <x:f>MAX(0,Q206)</x:f>
        <x:v>0</x:v>
      </x:c>
      <x:c r="S206" s="21" t="n">
        <x:v>3</x:v>
      </x:c>
      <x:c r="T206" s="21" t="n">
        <x:f>IF(OR(F206="Hard Case",F206="Bubble Hard Case"),15,IF(F206="Twist Leather Case",5,IF(F206="Z-Fold Case",4,IFERROR(VLOOKUP(B206,'Cost Overrides'!$A$2:$B$17,2,FALSE),S206))))</x:f>
        <x:v>5</x:v>
      </x:c>
      <x:c r="U206" s="21" t="str">
        <x:f>IF(OR(F206="Hard Case",F206="Bubble Hard Case"),"Confirmed: Hard Case",IF(F206="Twist Leather Case","Confirmed: Twist Leather Case",IF(F206="Z-Fold Case","Confirmed: Z-Fold Case",IF(COUNTIF('Cost Overrides'!$A$2:$A$17,B206)&gt;0,"Confirmed: Owner cost override",IF(S206&lt;=0,"Needs cost","Source cost")))))</x:f>
        <x:v>Confirmed: Twist Leather Case</x:v>
      </x:c>
      <x:c r="V206" s="21" t="n">
        <x:v>39.95</x:v>
      </x:c>
      <x:c r="W206" s="21" t="n">
        <x:f>V206</x:f>
        <x:v>39.95</x:v>
      </x:c>
      <x:c r="X206" s="19" t="str">
        <x:v>NO</x:v>
      </x:c>
      <x:c r="Y206" s="19" t="str">
        <x:v>NO</x:v>
      </x:c>
      <x:c r="Z206" s="19" t="str">
        <x:v>42456337</x:v>
      </x:c>
      <x:c r="AA206" s="19" t="str">
        <x:v>50755591</x:v>
      </x:c>
      <x:c r="AB206" s="22" t="str">
        <x:f>IF(OR(M206&lt;&gt;"Approved",U206="Needs cost",O206=""),"Needs review","Ready after approval")</x:f>
        <x:v>Needs review</x:v>
      </x:c>
      <x:c r="AC206" s="22" t="str"/>
    </x:row>
    <x:row r="207">
      <x:c r="A207" s="19" t="str">
        <x:v>6562</x:v>
      </x:c>
      <x:c r="B207" s="19" t="str">
        <x:v>TM8-TAB-6562</x:v>
      </x:c>
      <x:c r="C207" s="19" t="str">
        <x:v>2999000065622</x:v>
      </x:c>
      <x:c r="D207" s="22" t="str">
        <x:v>iPad Z-Fold Case 10.2 Inch Light Green</x:v>
      </x:c>
      <x:c r="E207" s="22" t="str">
        <x:v>Z-Fold Case for iPad 10.2-inch (Gen 7/8/9) - Light Green</x:v>
      </x:c>
      <x:c r="F207" s="22" t="str">
        <x:v>Z-Fold Case</x:v>
      </x:c>
      <x:c r="G207" s="22" t="str">
        <x:v>Light Green</x:v>
      </x:c>
      <x:c r="H207" s="22" t="str">
        <x:v>TM8-GRP-IPAD-102-GEN789-ZFD</x:v>
      </x:c>
      <x:c r="I207" s="22" t="str">
        <x:v>Z-Fold Case for iPad 10.2-inch (Gen 7/8/9)</x:v>
      </x:c>
      <x:c r="J207" s="22" t="str">
        <x:v>iPad 10.2 Inch</x:v>
      </x:c>
      <x:c r="K207" s="22" t="str">
        <x:v>IPAD-102-GEN789</x:v>
      </x:c>
      <x:c r="L207" s="22" t="str">
        <x:v>iPad 10.2-inch (Gen 7/8/9)</x:v>
      </x:c>
      <x:c r="M207" s="22" t="str">
        <x:v>Proposed</x:v>
      </x:c>
      <x:c r="N207" s="22" t="str">
        <x:v>https://dghyt15qon7us.cloudfront.net/images/productTheme/Inventory/small/166330765242456272.jpg</x:v>
      </x:c>
      <x:c r="O207" s="22" t="str">
        <x:v>https://dghyt15qon7us.cloudfront.net/images/productTheme/Inventory/small/1643172433.jpg</x:v>
      </x:c>
      <x:c r="P207" s="19" t="str">
        <x:v>park-ridge</x:v>
      </x:c>
      <x:c r="Q207" s="20" t="n">
        <x:v>1</x:v>
      </x:c>
      <x:c r="R207" s="20" t="n">
        <x:f>MAX(0,Q207)</x:f>
        <x:v>1</x:v>
      </x:c>
      <x:c r="S207" s="21" t="n">
        <x:v>0</x:v>
      </x:c>
      <x:c r="T207" s="21" t="n">
        <x:f>IF(OR(F207="Hard Case",F207="Bubble Hard Case"),15,IF(F207="Twist Leather Case",5,IF(F207="Z-Fold Case",4,IFERROR(VLOOKUP(B207,'Cost Overrides'!$A$2:$B$17,2,FALSE),S207))))</x:f>
        <x:v>4</x:v>
      </x:c>
      <x:c r="U207" s="21" t="str">
        <x:f>IF(OR(F207="Hard Case",F207="Bubble Hard Case"),"Confirmed: Hard Case",IF(F207="Twist Leather Case","Confirmed: Twist Leather Case",IF(F207="Z-Fold Case","Confirmed: Z-Fold Case",IF(COUNTIF('Cost Overrides'!$A$2:$A$17,B207)&gt;0,"Confirmed: Owner cost override",IF(S207&lt;=0,"Needs cost","Source cost")))))</x:f>
        <x:v>Confirmed: Z-Fold Case</x:v>
      </x:c>
      <x:c r="V207" s="21" t="n">
        <x:v>39.95</x:v>
      </x:c>
      <x:c r="W207" s="21" t="n">
        <x:f>V207</x:f>
        <x:v>39.95</x:v>
      </x:c>
      <x:c r="X207" s="19" t="str">
        <x:v>NO</x:v>
      </x:c>
      <x:c r="Y207" s="19" t="str">
        <x:v>NO</x:v>
      </x:c>
      <x:c r="Z207" s="19" t="str">
        <x:v>42456272</x:v>
      </x:c>
      <x:c r="AA207" s="19" t="str">
        <x:v>50748908</x:v>
      </x:c>
      <x:c r="AB207" s="22" t="str">
        <x:f>IF(OR(M207&lt;&gt;"Approved",U207="Needs cost",O207=""),"Needs review","Ready after approval")</x:f>
        <x:v>Needs review</x:v>
      </x:c>
      <x:c r="AC207" s="22" t="str"/>
    </x:row>
    <x:row r="208">
      <x:c r="A208" s="19" t="str">
        <x:v>6561</x:v>
      </x:c>
      <x:c r="B208" s="19" t="str">
        <x:v>TM8-TAB-6561</x:v>
      </x:c>
      <x:c r="C208" s="19" t="str">
        <x:v>2999000065615</x:v>
      </x:c>
      <x:c r="D208" s="22" t="str">
        <x:v>iPad Z-Fold Case 10.2 Inch Light Blue</x:v>
      </x:c>
      <x:c r="E208" s="22" t="str">
        <x:v>Z-Fold Case for iPad 10.2-inch (Gen 7/8/9) - Light Blue</x:v>
      </x:c>
      <x:c r="F208" s="22" t="str">
        <x:v>Z-Fold Case</x:v>
      </x:c>
      <x:c r="G208" s="22" t="str">
        <x:v>Light Blue</x:v>
      </x:c>
      <x:c r="H208" s="22" t="str">
        <x:v>TM8-GRP-IPAD-102-GEN789-ZFD</x:v>
      </x:c>
      <x:c r="I208" s="22" t="str">
        <x:v>Z-Fold Case for iPad 10.2-inch (Gen 7/8/9)</x:v>
      </x:c>
      <x:c r="J208" s="22" t="str">
        <x:v>iPad 10.2 Inch</x:v>
      </x:c>
      <x:c r="K208" s="22" t="str">
        <x:v>IPAD-102-GEN789</x:v>
      </x:c>
      <x:c r="L208" s="22" t="str">
        <x:v>iPad 10.2-inch (Gen 7/8/9)</x:v>
      </x:c>
      <x:c r="M208" s="22" t="str">
        <x:v>Proposed</x:v>
      </x:c>
      <x:c r="N208" s="22" t="str">
        <x:v>https://dghyt15qon7us.cloudfront.net/images/productTheme/Inventory/small/165076402742456271.jpg</x:v>
      </x:c>
      <x:c r="O208" s="22" t="str">
        <x:v>https://dghyt15qon7us.cloudfront.net/images/productTheme/Inventory/small/1643172433.jpg</x:v>
      </x:c>
      <x:c r="P208" s="19" t="str">
        <x:v>park-ridge</x:v>
      </x:c>
      <x:c r="Q208" s="20" t="n">
        <x:v>2</x:v>
      </x:c>
      <x:c r="R208" s="20" t="n">
        <x:f>MAX(0,Q208)</x:f>
        <x:v>2</x:v>
      </x:c>
      <x:c r="S208" s="21" t="n">
        <x:v>0</x:v>
      </x:c>
      <x:c r="T208" s="21" t="n">
        <x:f>IF(OR(F208="Hard Case",F208="Bubble Hard Case"),15,IF(F208="Twist Leather Case",5,IF(F208="Z-Fold Case",4,IFERROR(VLOOKUP(B208,'Cost Overrides'!$A$2:$B$17,2,FALSE),S208))))</x:f>
        <x:v>4</x:v>
      </x:c>
      <x:c r="U208" s="21" t="str">
        <x:f>IF(OR(F208="Hard Case",F208="Bubble Hard Case"),"Confirmed: Hard Case",IF(F208="Twist Leather Case","Confirmed: Twist Leather Case",IF(F208="Z-Fold Case","Confirmed: Z-Fold Case",IF(COUNTIF('Cost Overrides'!$A$2:$A$17,B208)&gt;0,"Confirmed: Owner cost override",IF(S208&lt;=0,"Needs cost","Source cost")))))</x:f>
        <x:v>Confirmed: Z-Fold Case</x:v>
      </x:c>
      <x:c r="V208" s="21" t="n">
        <x:v>39.95</x:v>
      </x:c>
      <x:c r="W208" s="21" t="n">
        <x:f>V208</x:f>
        <x:v>39.95</x:v>
      </x:c>
      <x:c r="X208" s="19" t="str">
        <x:v>NO</x:v>
      </x:c>
      <x:c r="Y208" s="19" t="str">
        <x:v>NO</x:v>
      </x:c>
      <x:c r="Z208" s="19" t="str">
        <x:v>42456271</x:v>
      </x:c>
      <x:c r="AA208" s="19" t="str">
        <x:v>50748907</x:v>
      </x:c>
      <x:c r="AB208" s="22" t="str">
        <x:f>IF(OR(M208&lt;&gt;"Approved",U208="Needs cost",O208=""),"Needs review","Ready after approval")</x:f>
        <x:v>Needs review</x:v>
      </x:c>
      <x:c r="AC208" s="22" t="str"/>
    </x:row>
    <x:row r="209">
      <x:c r="A209" s="19" t="str">
        <x:v>6461</x:v>
      </x:c>
      <x:c r="B209" s="19" t="str">
        <x:v>TM8-TAB-6461</x:v>
      </x:c>
      <x:c r="C209" s="19" t="str">
        <x:v>2999000064618</x:v>
      </x:c>
      <x:c r="D209" s="22" t="str">
        <x:v>iPad Z-Fold Case mini 6 White</x:v>
      </x:c>
      <x:c r="E209" s="22" t="str">
        <x:v>Z-Fold Case for iPad mini 6 - White</x:v>
      </x:c>
      <x:c r="F209" s="22" t="str">
        <x:v>Z-Fold Case</x:v>
      </x:c>
      <x:c r="G209" s="22" t="str">
        <x:v>White</x:v>
      </x:c>
      <x:c r="H209" s="22" t="str">
        <x:v>TM8-GRP-IPAD-MINI6-ZFD</x:v>
      </x:c>
      <x:c r="I209" s="22" t="str">
        <x:v>Z-Fold Case for iPad mini 6</x:v>
      </x:c>
      <x:c r="J209" s="22" t="str">
        <x:v>iPad mini 6</x:v>
      </x:c>
      <x:c r="K209" s="22" t="str">
        <x:v>IPAD-MINI6</x:v>
      </x:c>
      <x:c r="L209" s="22" t="str">
        <x:v>iPad mini 6</x:v>
      </x:c>
      <x:c r="M209" s="22" t="str">
        <x:v>Proposed</x:v>
      </x:c>
      <x:c r="N209" s="22" t="str">
        <x:v>https://dghyt15qon7us.cloudfront.net/images/productTheme/Inventory/small/165076405942456171.jpg</x:v>
      </x:c>
      <x:c r="O209" s="22" t="str">
        <x:v>https://dghyt15qon7us.cloudfront.net/images/productTheme/Inventory/small/1643347438.jpg</x:v>
      </x:c>
      <x:c r="P209" s="19" t="str">
        <x:v>park-ridge</x:v>
      </x:c>
      <x:c r="Q209" s="20" t="n">
        <x:v>1</x:v>
      </x:c>
      <x:c r="R209" s="20" t="n">
        <x:f>MAX(0,Q209)</x:f>
        <x:v>1</x:v>
      </x:c>
      <x:c r="S209" s="21" t="n">
        <x:v>10</x:v>
      </x:c>
      <x:c r="T209" s="21" t="n">
        <x:f>IF(OR(F209="Hard Case",F209="Bubble Hard Case"),15,IF(F209="Twist Leather Case",5,IF(F209="Z-Fold Case",4,IFERROR(VLOOKUP(B209,'Cost Overrides'!$A$2:$B$17,2,FALSE),S209))))</x:f>
        <x:v>4</x:v>
      </x:c>
      <x:c r="U209" s="21" t="str">
        <x:f>IF(OR(F209="Hard Case",F209="Bubble Hard Case"),"Confirmed: Hard Case",IF(F209="Twist Leather Case","Confirmed: Twist Leather Case",IF(F209="Z-Fold Case","Confirmed: Z-Fold Case",IF(COUNTIF('Cost Overrides'!$A$2:$A$17,B209)&gt;0,"Confirmed: Owner cost override",IF(S209&lt;=0,"Needs cost","Source cost")))))</x:f>
        <x:v>Confirmed: Z-Fold Case</x:v>
      </x:c>
      <x:c r="V209" s="21" t="n">
        <x:v>39.95</x:v>
      </x:c>
      <x:c r="W209" s="21" t="n">
        <x:f>V209</x:f>
        <x:v>39.95</x:v>
      </x:c>
      <x:c r="X209" s="19" t="str">
        <x:v>NO</x:v>
      </x:c>
      <x:c r="Y209" s="19" t="str">
        <x:v>NO</x:v>
      </x:c>
      <x:c r="Z209" s="19" t="str">
        <x:v>42456171</x:v>
      </x:c>
      <x:c r="AA209" s="19" t="str">
        <x:v>50748807</x:v>
      </x:c>
      <x:c r="AB209" s="22" t="str">
        <x:f>IF(OR(M209&lt;&gt;"Approved",U209="Needs cost",O209=""),"Needs review","Ready after approval")</x:f>
        <x:v>Needs review</x:v>
      </x:c>
      <x:c r="AC209" s="22" t="str"/>
    </x:row>
    <x:row r="210">
      <x:c r="A210" s="19" t="str">
        <x:v>6459</x:v>
      </x:c>
      <x:c r="B210" s="19" t="str">
        <x:v>TM8-TAB-6459</x:v>
      </x:c>
      <x:c r="C210" s="19" t="str">
        <x:v>2999000064595</x:v>
      </x:c>
      <x:c r="D210" s="22" t="str">
        <x:v>iPad Z-Fold Case mini 6 Black</x:v>
      </x:c>
      <x:c r="E210" s="22" t="str">
        <x:v>Z-Fold Case for iPad mini 6 - Black</x:v>
      </x:c>
      <x:c r="F210" s="22" t="str">
        <x:v>Z-Fold Case</x:v>
      </x:c>
      <x:c r="G210" s="22" t="str">
        <x:v>Black</x:v>
      </x:c>
      <x:c r="H210" s="22" t="str">
        <x:v>TM8-GRP-IPAD-MINI6-ZFD</x:v>
      </x:c>
      <x:c r="I210" s="22" t="str">
        <x:v>Z-Fold Case for iPad mini 6</x:v>
      </x:c>
      <x:c r="J210" s="22" t="str">
        <x:v>iPad mini 6</x:v>
      </x:c>
      <x:c r="K210" s="22" t="str">
        <x:v>IPAD-MINI6</x:v>
      </x:c>
      <x:c r="L210" s="22" t="str">
        <x:v>iPad mini 6</x:v>
      </x:c>
      <x:c r="M210" s="22" t="str">
        <x:v>Proposed</x:v>
      </x:c>
      <x:c r="N210" s="22" t="str">
        <x:v>https://dghyt15qon7us.cloudfront.net/images/productTheme/Inventory/small/1643347438.jpg</x:v>
      </x:c>
      <x:c r="O210" s="22" t="str">
        <x:v>https://dghyt15qon7us.cloudfront.net/images/productTheme/Inventory/small/1643347438.jpg</x:v>
      </x:c>
      <x:c r="P210" s="19" t="str">
        <x:v>park-ridge</x:v>
      </x:c>
      <x:c r="Q210" s="20" t="n">
        <x:v>1</x:v>
      </x:c>
      <x:c r="R210" s="20" t="n">
        <x:f>MAX(0,Q210)</x:f>
        <x:v>1</x:v>
      </x:c>
      <x:c r="S210" s="21" t="n">
        <x:v>10</x:v>
      </x:c>
      <x:c r="T210" s="21" t="n">
        <x:f>IF(OR(F210="Hard Case",F210="Bubble Hard Case"),15,IF(F210="Twist Leather Case",5,IF(F210="Z-Fold Case",4,IFERROR(VLOOKUP(B210,'Cost Overrides'!$A$2:$B$17,2,FALSE),S210))))</x:f>
        <x:v>4</x:v>
      </x:c>
      <x:c r="U210" s="21" t="str">
        <x:f>IF(OR(F210="Hard Case",F210="Bubble Hard Case"),"Confirmed: Hard Case",IF(F210="Twist Leather Case","Confirmed: Twist Leather Case",IF(F210="Z-Fold Case","Confirmed: Z-Fold Case",IF(COUNTIF('Cost Overrides'!$A$2:$A$17,B210)&gt;0,"Confirmed: Owner cost override",IF(S210&lt;=0,"Needs cost","Source cost")))))</x:f>
        <x:v>Confirmed: Z-Fold Case</x:v>
      </x:c>
      <x:c r="V210" s="21" t="n">
        <x:v>39.95</x:v>
      </x:c>
      <x:c r="W210" s="21" t="n">
        <x:f>V210</x:f>
        <x:v>39.95</x:v>
      </x:c>
      <x:c r="X210" s="19" t="str">
        <x:v>NO</x:v>
      </x:c>
      <x:c r="Y210" s="19" t="str">
        <x:v>NO</x:v>
      </x:c>
      <x:c r="Z210" s="19" t="str">
        <x:v>42456169</x:v>
      </x:c>
      <x:c r="AA210" s="19" t="str">
        <x:v>50748805</x:v>
      </x:c>
      <x:c r="AB210" s="22" t="str">
        <x:f>IF(OR(M210&lt;&gt;"Approved",U210="Needs cost",O210=""),"Needs review","Ready after approval")</x:f>
        <x:v>Needs review</x:v>
      </x:c>
      <x:c r="AC210" s="22" t="str"/>
    </x:row>
    <x:row r="211">
      <x:c r="A211" s="19" t="str">
        <x:v>6458</x:v>
      </x:c>
      <x:c r="B211" s="19" t="str">
        <x:v>TM8-TAB-6458</x:v>
      </x:c>
      <x:c r="C211" s="19" t="str">
        <x:v>2999000064588</x:v>
      </x:c>
      <x:c r="D211" s="22" t="str">
        <x:v>iPad Z-Fold Case mini 6 Pink</x:v>
      </x:c>
      <x:c r="E211" s="22" t="str">
        <x:v>Z-Fold Case for iPad mini 6 - Pink</x:v>
      </x:c>
      <x:c r="F211" s="22" t="str">
        <x:v>Z-Fold Case</x:v>
      </x:c>
      <x:c r="G211" s="22" t="str">
        <x:v>Pink</x:v>
      </x:c>
      <x:c r="H211" s="22" t="str">
        <x:v>TM8-GRP-IPAD-MINI6-ZFD</x:v>
      </x:c>
      <x:c r="I211" s="22" t="str">
        <x:v>Z-Fold Case for iPad mini 6</x:v>
      </x:c>
      <x:c r="J211" s="22" t="str">
        <x:v>iPad mini 6</x:v>
      </x:c>
      <x:c r="K211" s="22" t="str">
        <x:v>IPAD-MINI6</x:v>
      </x:c>
      <x:c r="L211" s="22" t="str">
        <x:v>iPad mini 6</x:v>
      </x:c>
      <x:c r="M211" s="22" t="str">
        <x:v>Proposed</x:v>
      </x:c>
      <x:c r="N211" s="22" t="str">
        <x:v>https://dghyt15qon7us.cloudfront.net/images/productTheme/Inventory/small/1643347421.jpg</x:v>
      </x:c>
      <x:c r="O211" s="22" t="str">
        <x:v>https://dghyt15qon7us.cloudfront.net/images/productTheme/Inventory/small/1643347438.jpg</x:v>
      </x:c>
      <x:c r="P211" s="19" t="str">
        <x:v>park-ridge</x:v>
      </x:c>
      <x:c r="Q211" s="20" t="n">
        <x:v>3</x:v>
      </x:c>
      <x:c r="R211" s="20" t="n">
        <x:f>MAX(0,Q211)</x:f>
        <x:v>3</x:v>
      </x:c>
      <x:c r="S211" s="21" t="n">
        <x:v>10</x:v>
      </x:c>
      <x:c r="T211" s="21" t="n">
        <x:f>IF(OR(F211="Hard Case",F211="Bubble Hard Case"),15,IF(F211="Twist Leather Case",5,IF(F211="Z-Fold Case",4,IFERROR(VLOOKUP(B211,'Cost Overrides'!$A$2:$B$17,2,FALSE),S211))))</x:f>
        <x:v>4</x:v>
      </x:c>
      <x:c r="U211" s="21" t="str">
        <x:f>IF(OR(F211="Hard Case",F211="Bubble Hard Case"),"Confirmed: Hard Case",IF(F211="Twist Leather Case","Confirmed: Twist Leather Case",IF(F211="Z-Fold Case","Confirmed: Z-Fold Case",IF(COUNTIF('Cost Overrides'!$A$2:$A$17,B211)&gt;0,"Confirmed: Owner cost override",IF(S211&lt;=0,"Needs cost","Source cost")))))</x:f>
        <x:v>Confirmed: Z-Fold Case</x:v>
      </x:c>
      <x:c r="V211" s="21" t="n">
        <x:v>39.95</x:v>
      </x:c>
      <x:c r="W211" s="21" t="n">
        <x:f>V211</x:f>
        <x:v>39.95</x:v>
      </x:c>
      <x:c r="X211" s="19" t="str">
        <x:v>NO</x:v>
      </x:c>
      <x:c r="Y211" s="19" t="str">
        <x:v>NO</x:v>
      </x:c>
      <x:c r="Z211" s="19" t="str">
        <x:v>42456168</x:v>
      </x:c>
      <x:c r="AA211" s="19" t="str">
        <x:v>50748804</x:v>
      </x:c>
      <x:c r="AB211" s="22" t="str">
        <x:f>IF(OR(M211&lt;&gt;"Approved",U211="Needs cost",O211=""),"Needs review","Ready after approval")</x:f>
        <x:v>Needs review</x:v>
      </x:c>
      <x:c r="AC211" s="22" t="str"/>
    </x:row>
    <x:row r="212">
      <x:c r="A212" s="19" t="str">
        <x:v>6457</x:v>
      </x:c>
      <x:c r="B212" s="19" t="str">
        <x:v>TM8-TAB-6457</x:v>
      </x:c>
      <x:c r="C212" s="19" t="str">
        <x:v>2999000064571</x:v>
      </x:c>
      <x:c r="D212" s="22" t="str">
        <x:v>iPad Z-Fold Case mini 6 Blue</x:v>
      </x:c>
      <x:c r="E212" s="22" t="str">
        <x:v>Z-Fold Case for iPad mini 6 - Blue</x:v>
      </x:c>
      <x:c r="F212" s="22" t="str">
        <x:v>Z-Fold Case</x:v>
      </x:c>
      <x:c r="G212" s="22" t="str">
        <x:v>Blue</x:v>
      </x:c>
      <x:c r="H212" s="22" t="str">
        <x:v>TM8-GRP-IPAD-MINI6-ZFD</x:v>
      </x:c>
      <x:c r="I212" s="22" t="str">
        <x:v>Z-Fold Case for iPad mini 6</x:v>
      </x:c>
      <x:c r="J212" s="22" t="str">
        <x:v>iPad mini 6</x:v>
      </x:c>
      <x:c r="K212" s="22" t="str">
        <x:v>IPAD-MINI6</x:v>
      </x:c>
      <x:c r="L212" s="22" t="str">
        <x:v>iPad mini 6</x:v>
      </x:c>
      <x:c r="M212" s="22" t="str">
        <x:v>Proposed</x:v>
      </x:c>
      <x:c r="N212" s="22" t="str">
        <x:v>https://dghyt15qon7us.cloudfront.net/images/productTheme/Inventory/small/1643347406.jpg</x:v>
      </x:c>
      <x:c r="O212" s="22" t="str">
        <x:v>https://dghyt15qon7us.cloudfront.net/images/productTheme/Inventory/small/1643347438.jpg</x:v>
      </x:c>
      <x:c r="P212" s="19" t="str">
        <x:v>park-ridge</x:v>
      </x:c>
      <x:c r="Q212" s="20" t="n">
        <x:v>3</x:v>
      </x:c>
      <x:c r="R212" s="20" t="n">
        <x:f>MAX(0,Q212)</x:f>
        <x:v>3</x:v>
      </x:c>
      <x:c r="S212" s="21" t="n">
        <x:v>10</x:v>
      </x:c>
      <x:c r="T212" s="21" t="n">
        <x:f>IF(OR(F212="Hard Case",F212="Bubble Hard Case"),15,IF(F212="Twist Leather Case",5,IF(F212="Z-Fold Case",4,IFERROR(VLOOKUP(B212,'Cost Overrides'!$A$2:$B$17,2,FALSE),S212))))</x:f>
        <x:v>4</x:v>
      </x:c>
      <x:c r="U212" s="21" t="str">
        <x:f>IF(OR(F212="Hard Case",F212="Bubble Hard Case"),"Confirmed: Hard Case",IF(F212="Twist Leather Case","Confirmed: Twist Leather Case",IF(F212="Z-Fold Case","Confirmed: Z-Fold Case",IF(COUNTIF('Cost Overrides'!$A$2:$A$17,B212)&gt;0,"Confirmed: Owner cost override",IF(S212&lt;=0,"Needs cost","Source cost")))))</x:f>
        <x:v>Confirmed: Z-Fold Case</x:v>
      </x:c>
      <x:c r="V212" s="21" t="n">
        <x:v>39.95</x:v>
      </x:c>
      <x:c r="W212" s="21" t="n">
        <x:f>V212</x:f>
        <x:v>39.95</x:v>
      </x:c>
      <x:c r="X212" s="19" t="str">
        <x:v>NO</x:v>
      </x:c>
      <x:c r="Y212" s="19" t="str">
        <x:v>NO</x:v>
      </x:c>
      <x:c r="Z212" s="19" t="str">
        <x:v>42456167</x:v>
      </x:c>
      <x:c r="AA212" s="19" t="str">
        <x:v>50748803</x:v>
      </x:c>
      <x:c r="AB212" s="22" t="str">
        <x:f>IF(OR(M212&lt;&gt;"Approved",U212="Needs cost",O212=""),"Needs review","Ready after approval")</x:f>
        <x:v>Needs review</x:v>
      </x:c>
      <x:c r="AC212" s="22" t="str"/>
    </x:row>
    <x:row r="213">
      <x:c r="A213" s="19" t="str">
        <x:v>6456</x:v>
      </x:c>
      <x:c r="B213" s="19" t="str">
        <x:v>TM8-TAB-6456</x:v>
      </x:c>
      <x:c r="C213" s="19" t="str">
        <x:v>2999000064564</x:v>
      </x:c>
      <x:c r="D213" s="22" t="str">
        <x:v>iPad Z-Fold Case mini 6 Green</x:v>
      </x:c>
      <x:c r="E213" s="22" t="str">
        <x:v>Z-Fold Case for iPad mini 6 - Green</x:v>
      </x:c>
      <x:c r="F213" s="22" t="str">
        <x:v>Z-Fold Case</x:v>
      </x:c>
      <x:c r="G213" s="22" t="str">
        <x:v>Green</x:v>
      </x:c>
      <x:c r="H213" s="22" t="str">
        <x:v>TM8-GRP-IPAD-MINI6-ZFD</x:v>
      </x:c>
      <x:c r="I213" s="22" t="str">
        <x:v>Z-Fold Case for iPad mini 6</x:v>
      </x:c>
      <x:c r="J213" s="22" t="str">
        <x:v>iPad mini 6</x:v>
      </x:c>
      <x:c r="K213" s="22" t="str">
        <x:v>IPAD-MINI6</x:v>
      </x:c>
      <x:c r="L213" s="22" t="str">
        <x:v>iPad mini 6</x:v>
      </x:c>
      <x:c r="M213" s="22" t="str">
        <x:v>Proposed</x:v>
      </x:c>
      <x:c r="N213" s="22" t="str">
        <x:v>https://dghyt15qon7us.cloudfront.net/images/productTheme/Inventory/small/167574671242456166.jpg</x:v>
      </x:c>
      <x:c r="O213" s="22" t="str">
        <x:v>https://dghyt15qon7us.cloudfront.net/images/productTheme/Inventory/small/1643347438.jpg</x:v>
      </x:c>
      <x:c r="P213" s="19" t="str">
        <x:v>park-ridge</x:v>
      </x:c>
      <x:c r="Q213" s="20" t="n">
        <x:v>3</x:v>
      </x:c>
      <x:c r="R213" s="20" t="n">
        <x:f>MAX(0,Q213)</x:f>
        <x:v>3</x:v>
      </x:c>
      <x:c r="S213" s="21" t="n">
        <x:v>10</x:v>
      </x:c>
      <x:c r="T213" s="21" t="n">
        <x:f>IF(OR(F213="Hard Case",F213="Bubble Hard Case"),15,IF(F213="Twist Leather Case",5,IF(F213="Z-Fold Case",4,IFERROR(VLOOKUP(B213,'Cost Overrides'!$A$2:$B$17,2,FALSE),S213))))</x:f>
        <x:v>4</x:v>
      </x:c>
      <x:c r="U213" s="21" t="str">
        <x:f>IF(OR(F213="Hard Case",F213="Bubble Hard Case"),"Confirmed: Hard Case",IF(F213="Twist Leather Case","Confirmed: Twist Leather Case",IF(F213="Z-Fold Case","Confirmed: Z-Fold Case",IF(COUNTIF('Cost Overrides'!$A$2:$A$17,B213)&gt;0,"Confirmed: Owner cost override",IF(S213&lt;=0,"Needs cost","Source cost")))))</x:f>
        <x:v>Confirmed: Z-Fold Case</x:v>
      </x:c>
      <x:c r="V213" s="21" t="n">
        <x:v>39.95</x:v>
      </x:c>
      <x:c r="W213" s="21" t="n">
        <x:f>V213</x:f>
        <x:v>39.95</x:v>
      </x:c>
      <x:c r="X213" s="19" t="str">
        <x:v>NO</x:v>
      </x:c>
      <x:c r="Y213" s="19" t="str">
        <x:v>NO</x:v>
      </x:c>
      <x:c r="Z213" s="19" t="str">
        <x:v>42456166</x:v>
      </x:c>
      <x:c r="AA213" s="19" t="str">
        <x:v>50748802</x:v>
      </x:c>
      <x:c r="AB213" s="22" t="str">
        <x:f>IF(OR(M213&lt;&gt;"Approved",U213="Needs cost",O213=""),"Needs review","Ready after approval")</x:f>
        <x:v>Needs review</x:v>
      </x:c>
      <x:c r="AC213" s="22" t="str"/>
    </x:row>
    <x:row r="214">
      <x:c r="A214" s="19" t="str">
        <x:v>6455</x:v>
      </x:c>
      <x:c r="B214" s="19" t="str">
        <x:v>TM8-TAB-6455</x:v>
      </x:c>
      <x:c r="C214" s="19" t="str">
        <x:v>2999000064557</x:v>
      </x:c>
      <x:c r="D214" s="22" t="str">
        <x:v>iPad Z-Fold Case mini 6 Gray</x:v>
      </x:c>
      <x:c r="E214" s="22" t="str">
        <x:v>Z-Fold Case for iPad mini 6 - Grey</x:v>
      </x:c>
      <x:c r="F214" s="22" t="str">
        <x:v>Z-Fold Case</x:v>
      </x:c>
      <x:c r="G214" s="22" t="str">
        <x:v>Grey</x:v>
      </x:c>
      <x:c r="H214" s="22" t="str">
        <x:v>TM8-GRP-IPAD-MINI6-ZFD</x:v>
      </x:c>
      <x:c r="I214" s="22" t="str">
        <x:v>Z-Fold Case for iPad mini 6</x:v>
      </x:c>
      <x:c r="J214" s="22" t="str">
        <x:v>iPad mini 6</x:v>
      </x:c>
      <x:c r="K214" s="22" t="str">
        <x:v>IPAD-MINI6</x:v>
      </x:c>
      <x:c r="L214" s="22" t="str">
        <x:v>iPad mini 6</x:v>
      </x:c>
      <x:c r="M214" s="22" t="str">
        <x:v>Proposed</x:v>
      </x:c>
      <x:c r="N214" s="22" t="str">
        <x:v>https://dghyt15qon7us.cloudfront.net/images/productTheme/Inventory/small/165076368742456165.jpg</x:v>
      </x:c>
      <x:c r="O214" s="22" t="str">
        <x:v>https://dghyt15qon7us.cloudfront.net/images/productTheme/Inventory/small/1643347438.jpg</x:v>
      </x:c>
      <x:c r="P214" s="19" t="str">
        <x:v>park-ridge</x:v>
      </x:c>
      <x:c r="Q214" s="20" t="n">
        <x:v>2</x:v>
      </x:c>
      <x:c r="R214" s="20" t="n">
        <x:f>MAX(0,Q214)</x:f>
        <x:v>2</x:v>
      </x:c>
      <x:c r="S214" s="21" t="n">
        <x:v>10</x:v>
      </x:c>
      <x:c r="T214" s="21" t="n">
        <x:f>IF(OR(F214="Hard Case",F214="Bubble Hard Case"),15,IF(F214="Twist Leather Case",5,IF(F214="Z-Fold Case",4,IFERROR(VLOOKUP(B214,'Cost Overrides'!$A$2:$B$17,2,FALSE),S214))))</x:f>
        <x:v>4</x:v>
      </x:c>
      <x:c r="U214" s="21" t="str">
        <x:f>IF(OR(F214="Hard Case",F214="Bubble Hard Case"),"Confirmed: Hard Case",IF(F214="Twist Leather Case","Confirmed: Twist Leather Case",IF(F214="Z-Fold Case","Confirmed: Z-Fold Case",IF(COUNTIF('Cost Overrides'!$A$2:$A$17,B214)&gt;0,"Confirmed: Owner cost override",IF(S214&lt;=0,"Needs cost","Source cost")))))</x:f>
        <x:v>Confirmed: Z-Fold Case</x:v>
      </x:c>
      <x:c r="V214" s="21" t="n">
        <x:v>39.95</x:v>
      </x:c>
      <x:c r="W214" s="21" t="n">
        <x:f>V214</x:f>
        <x:v>39.95</x:v>
      </x:c>
      <x:c r="X214" s="19" t="str">
        <x:v>NO</x:v>
      </x:c>
      <x:c r="Y214" s="19" t="str">
        <x:v>NO</x:v>
      </x:c>
      <x:c r="Z214" s="19" t="str">
        <x:v>42456165</x:v>
      </x:c>
      <x:c r="AA214" s="19" t="str">
        <x:v>50748801</x:v>
      </x:c>
      <x:c r="AB214" s="22" t="str">
        <x:f>IF(OR(M214&lt;&gt;"Approved",U214="Needs cost",O214=""),"Needs review","Ready after approval")</x:f>
        <x:v>Needs review</x:v>
      </x:c>
      <x:c r="AC214" s="22" t="str"/>
    </x:row>
    <x:row r="215">
      <x:c r="A215" s="19" t="str">
        <x:v>6454</x:v>
      </x:c>
      <x:c r="B215" s="19" t="str">
        <x:v>TM8-TAB-6454</x:v>
      </x:c>
      <x:c r="C215" s="19" t="str">
        <x:v>2999000064540</x:v>
      </x:c>
      <x:c r="D215" s="22" t="str">
        <x:v>iPad Z-Fold Case mini 6 Purple</x:v>
      </x:c>
      <x:c r="E215" s="22" t="str">
        <x:v>Z-Fold Case for iPad mini 6 - Purple</x:v>
      </x:c>
      <x:c r="F215" s="22" t="str">
        <x:v>Z-Fold Case</x:v>
      </x:c>
      <x:c r="G215" s="22" t="str">
        <x:v>Purple</x:v>
      </x:c>
      <x:c r="H215" s="22" t="str">
        <x:v>TM8-GRP-IPAD-MINI6-ZFD</x:v>
      </x:c>
      <x:c r="I215" s="22" t="str">
        <x:v>Z-Fold Case for iPad mini 6</x:v>
      </x:c>
      <x:c r="J215" s="22" t="str">
        <x:v>iPad mini 6</x:v>
      </x:c>
      <x:c r="K215" s="22" t="str">
        <x:v>IPAD-MINI6</x:v>
      </x:c>
      <x:c r="L215" s="22" t="str">
        <x:v>iPad mini 6</x:v>
      </x:c>
      <x:c r="M215" s="22" t="str">
        <x:v>Proposed</x:v>
      </x:c>
      <x:c r="N215" s="22" t="str">
        <x:v>https://dghyt15qon7us.cloudfront.net/images/productTheme/Inventory/small/1643347329.jpg</x:v>
      </x:c>
      <x:c r="O215" s="22" t="str">
        <x:v>https://dghyt15qon7us.cloudfront.net/images/productTheme/Inventory/small/1643347438.jpg</x:v>
      </x:c>
      <x:c r="P215" s="19" t="str">
        <x:v>park-ridge</x:v>
      </x:c>
      <x:c r="Q215" s="20" t="n">
        <x:v>3</x:v>
      </x:c>
      <x:c r="R215" s="20" t="n">
        <x:f>MAX(0,Q215)</x:f>
        <x:v>3</x:v>
      </x:c>
      <x:c r="S215" s="21" t="n">
        <x:v>10</x:v>
      </x:c>
      <x:c r="T215" s="21" t="n">
        <x:f>IF(OR(F215="Hard Case",F215="Bubble Hard Case"),15,IF(F215="Twist Leather Case",5,IF(F215="Z-Fold Case",4,IFERROR(VLOOKUP(B215,'Cost Overrides'!$A$2:$B$17,2,FALSE),S215))))</x:f>
        <x:v>4</x:v>
      </x:c>
      <x:c r="U215" s="21" t="str">
        <x:f>IF(OR(F215="Hard Case",F215="Bubble Hard Case"),"Confirmed: Hard Case",IF(F215="Twist Leather Case","Confirmed: Twist Leather Case",IF(F215="Z-Fold Case","Confirmed: Z-Fold Case",IF(COUNTIF('Cost Overrides'!$A$2:$A$17,B215)&gt;0,"Confirmed: Owner cost override",IF(S215&lt;=0,"Needs cost","Source cost")))))</x:f>
        <x:v>Confirmed: Z-Fold Case</x:v>
      </x:c>
      <x:c r="V215" s="21" t="n">
        <x:v>39.95</x:v>
      </x:c>
      <x:c r="W215" s="21" t="n">
        <x:f>V215</x:f>
        <x:v>39.95</x:v>
      </x:c>
      <x:c r="X215" s="19" t="str">
        <x:v>NO</x:v>
      </x:c>
      <x:c r="Y215" s="19" t="str">
        <x:v>NO</x:v>
      </x:c>
      <x:c r="Z215" s="19" t="str">
        <x:v>42456164</x:v>
      </x:c>
      <x:c r="AA215" s="19" t="str">
        <x:v>50748800</x:v>
      </x:c>
      <x:c r="AB215" s="22" t="str">
        <x:f>IF(OR(M215&lt;&gt;"Approved",U215="Needs cost",O215=""),"Needs review","Ready after approval")</x:f>
        <x:v>Needs review</x:v>
      </x:c>
      <x:c r="AC215" s="22" t="str"/>
    </x:row>
    <x:row r="216">
      <x:c r="A216" s="19" t="str">
        <x:v>6451</x:v>
      </x:c>
      <x:c r="B216" s="19" t="str">
        <x:v>TM8-TAB-6451</x:v>
      </x:c>
      <x:c r="C216" s="19" t="str">
        <x:v>2999000064519</x:v>
      </x:c>
      <x:c r="D216" s="22" t="str">
        <x:v>iPad Z-Fold Case mini 4/5 Black</x:v>
      </x:c>
      <x:c r="E216" s="22" t="str">
        <x:v>Z-Fold Case for iPad mini 4/5 - Black</x:v>
      </x:c>
      <x:c r="F216" s="22" t="str">
        <x:v>Z-Fold Case</x:v>
      </x:c>
      <x:c r="G216" s="22" t="str">
        <x:v>Black</x:v>
      </x:c>
      <x:c r="H216" s="22" t="str">
        <x:v>TM8-GRP-IPAD-MINI45-ZFD</x:v>
      </x:c>
      <x:c r="I216" s="22" t="str">
        <x:v>Z-Fold Case for iPad mini 4/5</x:v>
      </x:c>
      <x:c r="J216" s="22" t="str">
        <x:v>iPad mini 4/5</x:v>
      </x:c>
      <x:c r="K216" s="22" t="str">
        <x:v>IPAD-MINI45</x:v>
      </x:c>
      <x:c r="L216" s="22" t="str">
        <x:v>iPad mini 4/5</x:v>
      </x:c>
      <x:c r="M216" s="22" t="str">
        <x:v>Proposed</x:v>
      </x:c>
      <x:c r="N216" s="22" t="str">
        <x:v>https://dghyt15qon7us.cloudfront.net/images/productTheme/Inventory/small/1643346765.jpg</x:v>
      </x:c>
      <x:c r="O216" s="22" t="str">
        <x:v>https://dghyt15qon7us.cloudfront.net/images/productTheme/Inventory/small/1643346765.jpg</x:v>
      </x:c>
      <x:c r="P216" s="19" t="str">
        <x:v>park-ridge</x:v>
      </x:c>
      <x:c r="Q216" s="20" t="n">
        <x:v>2</x:v>
      </x:c>
      <x:c r="R216" s="20" t="n">
        <x:f>MAX(0,Q216)</x:f>
        <x:v>2</x:v>
      </x:c>
      <x:c r="S216" s="21" t="n">
        <x:v>10</x:v>
      </x:c>
      <x:c r="T216" s="21" t="n">
        <x:f>IF(OR(F216="Hard Case",F216="Bubble Hard Case"),15,IF(F216="Twist Leather Case",5,IF(F216="Z-Fold Case",4,IFERROR(VLOOKUP(B216,'Cost Overrides'!$A$2:$B$17,2,FALSE),S216))))</x:f>
        <x:v>4</x:v>
      </x:c>
      <x:c r="U216" s="21" t="str">
        <x:f>IF(OR(F216="Hard Case",F216="Bubble Hard Case"),"Confirmed: Hard Case",IF(F216="Twist Leather Case","Confirmed: Twist Leather Case",IF(F216="Z-Fold Case","Confirmed: Z-Fold Case",IF(COUNTIF('Cost Overrides'!$A$2:$A$17,B216)&gt;0,"Confirmed: Owner cost override",IF(S216&lt;=0,"Needs cost","Source cost")))))</x:f>
        <x:v>Confirmed: Z-Fold Case</x:v>
      </x:c>
      <x:c r="V216" s="21" t="n">
        <x:v>39.95</x:v>
      </x:c>
      <x:c r="W216" s="21" t="n">
        <x:f>V216</x:f>
        <x:v>39.95</x:v>
      </x:c>
      <x:c r="X216" s="19" t="str">
        <x:v>NO</x:v>
      </x:c>
      <x:c r="Y216" s="19" t="str">
        <x:v>NO</x:v>
      </x:c>
      <x:c r="Z216" s="19" t="str">
        <x:v>42456161</x:v>
      </x:c>
      <x:c r="AA216" s="19" t="str">
        <x:v>50748797</x:v>
      </x:c>
      <x:c r="AB216" s="22" t="str">
        <x:f>IF(OR(M216&lt;&gt;"Approved",U216="Needs cost",O216=""),"Needs review","Ready after approval")</x:f>
        <x:v>Needs review</x:v>
      </x:c>
      <x:c r="AC216" s="22" t="str"/>
    </x:row>
    <x:row r="217">
      <x:c r="A217" s="19" t="str">
        <x:v>6450</x:v>
      </x:c>
      <x:c r="B217" s="19" t="str">
        <x:v>TM8-TAB-6450</x:v>
      </x:c>
      <x:c r="C217" s="19" t="str">
        <x:v>2999000064502</x:v>
      </x:c>
      <x:c r="D217" s="22" t="str">
        <x:v>iPad Z-Fold Case mini 4/5 Pink</x:v>
      </x:c>
      <x:c r="E217" s="22" t="str">
        <x:v>Z-Fold Case for iPad mini 4/5 - Pink</x:v>
      </x:c>
      <x:c r="F217" s="22" t="str">
        <x:v>Z-Fold Case</x:v>
      </x:c>
      <x:c r="G217" s="22" t="str">
        <x:v>Pink</x:v>
      </x:c>
      <x:c r="H217" s="22" t="str">
        <x:v>TM8-GRP-IPAD-MINI45-ZFD</x:v>
      </x:c>
      <x:c r="I217" s="22" t="str">
        <x:v>Z-Fold Case for iPad mini 4/5</x:v>
      </x:c>
      <x:c r="J217" s="22" t="str">
        <x:v>iPad mini 4/5</x:v>
      </x:c>
      <x:c r="K217" s="22" t="str">
        <x:v>IPAD-MINI45</x:v>
      </x:c>
      <x:c r="L217" s="22" t="str">
        <x:v>iPad mini 4/5</x:v>
      </x:c>
      <x:c r="M217" s="22" t="str">
        <x:v>Proposed</x:v>
      </x:c>
      <x:c r="N217" s="22" t="str">
        <x:v>https://dghyt15qon7us.cloudfront.net/images/productTheme/Inventory/small/1643346736.jpg</x:v>
      </x:c>
      <x:c r="O217" s="22" t="str">
        <x:v>https://dghyt15qon7us.cloudfront.net/images/productTheme/Inventory/small/1643346765.jpg</x:v>
      </x:c>
      <x:c r="P217" s="19" t="str">
        <x:v>park-ridge</x:v>
      </x:c>
      <x:c r="Q217" s="20" t="n">
        <x:v>1</x:v>
      </x:c>
      <x:c r="R217" s="20" t="n">
        <x:f>MAX(0,Q217)</x:f>
        <x:v>1</x:v>
      </x:c>
      <x:c r="S217" s="21" t="n">
        <x:v>10</x:v>
      </x:c>
      <x:c r="T217" s="21" t="n">
        <x:f>IF(OR(F217="Hard Case",F217="Bubble Hard Case"),15,IF(F217="Twist Leather Case",5,IF(F217="Z-Fold Case",4,IFERROR(VLOOKUP(B217,'Cost Overrides'!$A$2:$B$17,2,FALSE),S217))))</x:f>
        <x:v>4</x:v>
      </x:c>
      <x:c r="U217" s="21" t="str">
        <x:f>IF(OR(F217="Hard Case",F217="Bubble Hard Case"),"Confirmed: Hard Case",IF(F217="Twist Leather Case","Confirmed: Twist Leather Case",IF(F217="Z-Fold Case","Confirmed: Z-Fold Case",IF(COUNTIF('Cost Overrides'!$A$2:$A$17,B217)&gt;0,"Confirmed: Owner cost override",IF(S217&lt;=0,"Needs cost","Source cost")))))</x:f>
        <x:v>Confirmed: Z-Fold Case</x:v>
      </x:c>
      <x:c r="V217" s="21" t="n">
        <x:v>39.95</x:v>
      </x:c>
      <x:c r="W217" s="21" t="n">
        <x:f>V217</x:f>
        <x:v>39.95</x:v>
      </x:c>
      <x:c r="X217" s="19" t="str">
        <x:v>NO</x:v>
      </x:c>
      <x:c r="Y217" s="19" t="str">
        <x:v>NO</x:v>
      </x:c>
      <x:c r="Z217" s="19" t="str">
        <x:v>42456160</x:v>
      </x:c>
      <x:c r="AA217" s="19" t="str">
        <x:v>50748796</x:v>
      </x:c>
      <x:c r="AB217" s="22" t="str">
        <x:f>IF(OR(M217&lt;&gt;"Approved",U217="Needs cost",O217=""),"Needs review","Ready after approval")</x:f>
        <x:v>Needs review</x:v>
      </x:c>
      <x:c r="AC217" s="22" t="str"/>
    </x:row>
    <x:row r="218">
      <x:c r="A218" s="19" t="str">
        <x:v>6449</x:v>
      </x:c>
      <x:c r="B218" s="19" t="str">
        <x:v>TM8-TAB-6449</x:v>
      </x:c>
      <x:c r="C218" s="19" t="str">
        <x:v>2999000064496</x:v>
      </x:c>
      <x:c r="D218" s="22" t="str">
        <x:v>iPad Z-Fold Case mini 4/5 Blue</x:v>
      </x:c>
      <x:c r="E218" s="22" t="str">
        <x:v>Z-Fold Case for iPad mini 4/5 - Blue</x:v>
      </x:c>
      <x:c r="F218" s="22" t="str">
        <x:v>Z-Fold Case</x:v>
      </x:c>
      <x:c r="G218" s="22" t="str">
        <x:v>Blue</x:v>
      </x:c>
      <x:c r="H218" s="22" t="str">
        <x:v>TM8-GRP-IPAD-MINI45-ZFD</x:v>
      </x:c>
      <x:c r="I218" s="22" t="str">
        <x:v>Z-Fold Case for iPad mini 4/5</x:v>
      </x:c>
      <x:c r="J218" s="22" t="str">
        <x:v>iPad mini 4/5</x:v>
      </x:c>
      <x:c r="K218" s="22" t="str">
        <x:v>IPAD-MINI45</x:v>
      </x:c>
      <x:c r="L218" s="22" t="str">
        <x:v>iPad mini 4/5</x:v>
      </x:c>
      <x:c r="M218" s="22" t="str">
        <x:v>Proposed</x:v>
      </x:c>
      <x:c r="N218" s="22" t="str">
        <x:v>https://dghyt15qon7us.cloudfront.net/images/productTheme/Inventory/small/1643346713.jpg</x:v>
      </x:c>
      <x:c r="O218" s="22" t="str">
        <x:v>https://dghyt15qon7us.cloudfront.net/images/productTheme/Inventory/small/1643346765.jpg</x:v>
      </x:c>
      <x:c r="P218" s="19" t="str">
        <x:v>park-ridge</x:v>
      </x:c>
      <x:c r="Q218" s="20" t="n">
        <x:v>2</x:v>
      </x:c>
      <x:c r="R218" s="20" t="n">
        <x:f>MAX(0,Q218)</x:f>
        <x:v>2</x:v>
      </x:c>
      <x:c r="S218" s="21" t="n">
        <x:v>10</x:v>
      </x:c>
      <x:c r="T218" s="21" t="n">
        <x:f>IF(OR(F218="Hard Case",F218="Bubble Hard Case"),15,IF(F218="Twist Leather Case",5,IF(F218="Z-Fold Case",4,IFERROR(VLOOKUP(B218,'Cost Overrides'!$A$2:$B$17,2,FALSE),S218))))</x:f>
        <x:v>4</x:v>
      </x:c>
      <x:c r="U218" s="21" t="str">
        <x:f>IF(OR(F218="Hard Case",F218="Bubble Hard Case"),"Confirmed: Hard Case",IF(F218="Twist Leather Case","Confirmed: Twist Leather Case",IF(F218="Z-Fold Case","Confirmed: Z-Fold Case",IF(COUNTIF('Cost Overrides'!$A$2:$A$17,B218)&gt;0,"Confirmed: Owner cost override",IF(S218&lt;=0,"Needs cost","Source cost")))))</x:f>
        <x:v>Confirmed: Z-Fold Case</x:v>
      </x:c>
      <x:c r="V218" s="21" t="n">
        <x:v>39.95</x:v>
      </x:c>
      <x:c r="W218" s="21" t="n">
        <x:f>V218</x:f>
        <x:v>39.95</x:v>
      </x:c>
      <x:c r="X218" s="19" t="str">
        <x:v>NO</x:v>
      </x:c>
      <x:c r="Y218" s="19" t="str">
        <x:v>NO</x:v>
      </x:c>
      <x:c r="Z218" s="19" t="str">
        <x:v>42456159</x:v>
      </x:c>
      <x:c r="AA218" s="19" t="str">
        <x:v>50748795</x:v>
      </x:c>
      <x:c r="AB218" s="22" t="str">
        <x:f>IF(OR(M218&lt;&gt;"Approved",U218="Needs cost",O218=""),"Needs review","Ready after approval")</x:f>
        <x:v>Needs review</x:v>
      </x:c>
      <x:c r="AC218" s="22" t="str"/>
    </x:row>
    <x:row r="219">
      <x:c r="A219" s="19" t="str">
        <x:v>6448</x:v>
      </x:c>
      <x:c r="B219" s="19" t="str">
        <x:v>TM8-TAB-6448</x:v>
      </x:c>
      <x:c r="C219" s="19" t="str">
        <x:v>2999000064489</x:v>
      </x:c>
      <x:c r="D219" s="22" t="str">
        <x:v>iPad Z-Fold Case mini 4/5 Green</x:v>
      </x:c>
      <x:c r="E219" s="22" t="str">
        <x:v>Z-Fold Case for iPad mini 4/5 - Green</x:v>
      </x:c>
      <x:c r="F219" s="22" t="str">
        <x:v>Z-Fold Case</x:v>
      </x:c>
      <x:c r="G219" s="22" t="str">
        <x:v>Green</x:v>
      </x:c>
      <x:c r="H219" s="22" t="str">
        <x:v>TM8-GRP-IPAD-MINI45-ZFD</x:v>
      </x:c>
      <x:c r="I219" s="22" t="str">
        <x:v>Z-Fold Case for iPad mini 4/5</x:v>
      </x:c>
      <x:c r="J219" s="22" t="str">
        <x:v>iPad mini 4/5</x:v>
      </x:c>
      <x:c r="K219" s="22" t="str">
        <x:v>IPAD-MINI45</x:v>
      </x:c>
      <x:c r="L219" s="22" t="str">
        <x:v>iPad mini 4/5</x:v>
      </x:c>
      <x:c r="M219" s="22" t="str">
        <x:v>Proposed</x:v>
      </x:c>
      <x:c r="N219" s="22" t="str">
        <x:v>https://dghyt15qon7us.cloudfront.net/images/productTheme/Inventory/small/167574663642456158.jpg</x:v>
      </x:c>
      <x:c r="O219" s="22" t="str">
        <x:v>https://dghyt15qon7us.cloudfront.net/images/productTheme/Inventory/small/1643346765.jpg</x:v>
      </x:c>
      <x:c r="P219" s="19" t="str">
        <x:v>park-ridge</x:v>
      </x:c>
      <x:c r="Q219" s="20" t="n">
        <x:v>2</x:v>
      </x:c>
      <x:c r="R219" s="20" t="n">
        <x:f>MAX(0,Q219)</x:f>
        <x:v>2</x:v>
      </x:c>
      <x:c r="S219" s="21" t="n">
        <x:v>10</x:v>
      </x:c>
      <x:c r="T219" s="21" t="n">
        <x:f>IF(OR(F219="Hard Case",F219="Bubble Hard Case"),15,IF(F219="Twist Leather Case",5,IF(F219="Z-Fold Case",4,IFERROR(VLOOKUP(B219,'Cost Overrides'!$A$2:$B$17,2,FALSE),S219))))</x:f>
        <x:v>4</x:v>
      </x:c>
      <x:c r="U219" s="21" t="str">
        <x:f>IF(OR(F219="Hard Case",F219="Bubble Hard Case"),"Confirmed: Hard Case",IF(F219="Twist Leather Case","Confirmed: Twist Leather Case",IF(F219="Z-Fold Case","Confirmed: Z-Fold Case",IF(COUNTIF('Cost Overrides'!$A$2:$A$17,B219)&gt;0,"Confirmed: Owner cost override",IF(S219&lt;=0,"Needs cost","Source cost")))))</x:f>
        <x:v>Confirmed: Z-Fold Case</x:v>
      </x:c>
      <x:c r="V219" s="21" t="n">
        <x:v>39.95</x:v>
      </x:c>
      <x:c r="W219" s="21" t="n">
        <x:f>V219</x:f>
        <x:v>39.95</x:v>
      </x:c>
      <x:c r="X219" s="19" t="str">
        <x:v>NO</x:v>
      </x:c>
      <x:c r="Y219" s="19" t="str">
        <x:v>NO</x:v>
      </x:c>
      <x:c r="Z219" s="19" t="str">
        <x:v>42456158</x:v>
      </x:c>
      <x:c r="AA219" s="19" t="str">
        <x:v>50748794</x:v>
      </x:c>
      <x:c r="AB219" s="22" t="str">
        <x:f>IF(OR(M219&lt;&gt;"Approved",U219="Needs cost",O219=""),"Needs review","Ready after approval")</x:f>
        <x:v>Needs review</x:v>
      </x:c>
      <x:c r="AC219" s="22" t="str"/>
    </x:row>
    <x:row r="220">
      <x:c r="A220" s="19" t="str">
        <x:v>6447</x:v>
      </x:c>
      <x:c r="B220" s="19" t="str">
        <x:v>TM8-TAB-6447</x:v>
      </x:c>
      <x:c r="C220" s="19" t="str">
        <x:v>2999000064472</x:v>
      </x:c>
      <x:c r="D220" s="22" t="str">
        <x:v>iPad Z-Fold Case mini 4/5 Gray</x:v>
      </x:c>
      <x:c r="E220" s="22" t="str">
        <x:v>Z-Fold Case for iPad mini 4/5 - Grey</x:v>
      </x:c>
      <x:c r="F220" s="22" t="str">
        <x:v>Z-Fold Case</x:v>
      </x:c>
      <x:c r="G220" s="22" t="str">
        <x:v>Grey</x:v>
      </x:c>
      <x:c r="H220" s="22" t="str">
        <x:v>TM8-GRP-IPAD-MINI45-ZFD</x:v>
      </x:c>
      <x:c r="I220" s="22" t="str">
        <x:v>Z-Fold Case for iPad mini 4/5</x:v>
      </x:c>
      <x:c r="J220" s="22" t="str">
        <x:v>iPad mini 4/5</x:v>
      </x:c>
      <x:c r="K220" s="22" t="str">
        <x:v>IPAD-MINI45</x:v>
      </x:c>
      <x:c r="L220" s="22" t="str">
        <x:v>iPad mini 4/5</x:v>
      </x:c>
      <x:c r="M220" s="22" t="str">
        <x:v>Proposed</x:v>
      </x:c>
      <x:c r="N220" s="22" t="str">
        <x:v>https://dghyt15qon7us.cloudfront.net/images/productTheme/Inventory/small/165076366742456157.jpg</x:v>
      </x:c>
      <x:c r="O220" s="22" t="str">
        <x:v>https://dghyt15qon7us.cloudfront.net/images/productTheme/Inventory/small/1643346765.jpg</x:v>
      </x:c>
      <x:c r="P220" s="19" t="str">
        <x:v>park-ridge</x:v>
      </x:c>
      <x:c r="Q220" s="20" t="n">
        <x:v>1</x:v>
      </x:c>
      <x:c r="R220" s="20" t="n">
        <x:f>MAX(0,Q220)</x:f>
        <x:v>1</x:v>
      </x:c>
      <x:c r="S220" s="21" t="n">
        <x:v>10</x:v>
      </x:c>
      <x:c r="T220" s="21" t="n">
        <x:f>IF(OR(F220="Hard Case",F220="Bubble Hard Case"),15,IF(F220="Twist Leather Case",5,IF(F220="Z-Fold Case",4,IFERROR(VLOOKUP(B220,'Cost Overrides'!$A$2:$B$17,2,FALSE),S220))))</x:f>
        <x:v>4</x:v>
      </x:c>
      <x:c r="U220" s="21" t="str">
        <x:f>IF(OR(F220="Hard Case",F220="Bubble Hard Case"),"Confirmed: Hard Case",IF(F220="Twist Leather Case","Confirmed: Twist Leather Case",IF(F220="Z-Fold Case","Confirmed: Z-Fold Case",IF(COUNTIF('Cost Overrides'!$A$2:$A$17,B220)&gt;0,"Confirmed: Owner cost override",IF(S220&lt;=0,"Needs cost","Source cost")))))</x:f>
        <x:v>Confirmed: Z-Fold Case</x:v>
      </x:c>
      <x:c r="V220" s="21" t="n">
        <x:v>39.95</x:v>
      </x:c>
      <x:c r="W220" s="21" t="n">
        <x:f>V220</x:f>
        <x:v>39.95</x:v>
      </x:c>
      <x:c r="X220" s="19" t="str">
        <x:v>NO</x:v>
      </x:c>
      <x:c r="Y220" s="19" t="str">
        <x:v>NO</x:v>
      </x:c>
      <x:c r="Z220" s="19" t="str">
        <x:v>42456157</x:v>
      </x:c>
      <x:c r="AA220" s="19" t="str">
        <x:v>50748793</x:v>
      </x:c>
      <x:c r="AB220" s="22" t="str">
        <x:f>IF(OR(M220&lt;&gt;"Approved",U220="Needs cost",O220=""),"Needs review","Ready after approval")</x:f>
        <x:v>Needs review</x:v>
      </x:c>
      <x:c r="AC220" s="22" t="str"/>
    </x:row>
    <x:row r="221">
      <x:c r="A221" s="19" t="str">
        <x:v>6445</x:v>
      </x:c>
      <x:c r="B221" s="19" t="str">
        <x:v>TM8-TAB-6445</x:v>
      </x:c>
      <x:c r="C221" s="19" t="str">
        <x:v>2999000064458</x:v>
      </x:c>
      <x:c r="D221" s="22" t="str">
        <x:v>iPad Z-Fold Case mini 4/5 Purple</x:v>
      </x:c>
      <x:c r="E221" s="22" t="str">
        <x:v>Z-Fold Case for iPad mini 4/5 - Purple</x:v>
      </x:c>
      <x:c r="F221" s="22" t="str">
        <x:v>Z-Fold Case</x:v>
      </x:c>
      <x:c r="G221" s="22" t="str">
        <x:v>Purple</x:v>
      </x:c>
      <x:c r="H221" s="22" t="str">
        <x:v>TM8-GRP-IPAD-MINI45-ZFD</x:v>
      </x:c>
      <x:c r="I221" s="22" t="str">
        <x:v>Z-Fold Case for iPad mini 4/5</x:v>
      </x:c>
      <x:c r="J221" s="22" t="str">
        <x:v>iPad mini 4/5</x:v>
      </x:c>
      <x:c r="K221" s="22" t="str">
        <x:v>IPAD-MINI45</x:v>
      </x:c>
      <x:c r="L221" s="22" t="str">
        <x:v>iPad mini 4/5</x:v>
      </x:c>
      <x:c r="M221" s="22" t="str">
        <x:v>Proposed</x:v>
      </x:c>
      <x:c r="N221" s="22" t="str">
        <x:v>https://dghyt15qon7us.cloudfront.net/images/productTheme/Inventory/small/1643334555.jpg</x:v>
      </x:c>
      <x:c r="O221" s="22" t="str">
        <x:v>https://dghyt15qon7us.cloudfront.net/images/productTheme/Inventory/small/1643346765.jpg</x:v>
      </x:c>
      <x:c r="P221" s="19" t="str">
        <x:v>park-ridge</x:v>
      </x:c>
      <x:c r="Q221" s="20" t="n">
        <x:v>0</x:v>
      </x:c>
      <x:c r="R221" s="20" t="n">
        <x:f>MAX(0,Q221)</x:f>
        <x:v>0</x:v>
      </x:c>
      <x:c r="S221" s="21" t="n">
        <x:v>10</x:v>
      </x:c>
      <x:c r="T221" s="21" t="n">
        <x:f>IF(OR(F221="Hard Case",F221="Bubble Hard Case"),15,IF(F221="Twist Leather Case",5,IF(F221="Z-Fold Case",4,IFERROR(VLOOKUP(B221,'Cost Overrides'!$A$2:$B$17,2,FALSE),S221))))</x:f>
        <x:v>4</x:v>
      </x:c>
      <x:c r="U221" s="21" t="str">
        <x:f>IF(OR(F221="Hard Case",F221="Bubble Hard Case"),"Confirmed: Hard Case",IF(F221="Twist Leather Case","Confirmed: Twist Leather Case",IF(F221="Z-Fold Case","Confirmed: Z-Fold Case",IF(COUNTIF('Cost Overrides'!$A$2:$A$17,B221)&gt;0,"Confirmed: Owner cost override",IF(S221&lt;=0,"Needs cost","Source cost")))))</x:f>
        <x:v>Confirmed: Z-Fold Case</x:v>
      </x:c>
      <x:c r="V221" s="21" t="n">
        <x:v>39.95</x:v>
      </x:c>
      <x:c r="W221" s="21" t="n">
        <x:f>V221</x:f>
        <x:v>39.95</x:v>
      </x:c>
      <x:c r="X221" s="19" t="str">
        <x:v>NO</x:v>
      </x:c>
      <x:c r="Y221" s="19" t="str">
        <x:v>NO</x:v>
      </x:c>
      <x:c r="Z221" s="19" t="str">
        <x:v>42456155</x:v>
      </x:c>
      <x:c r="AA221" s="19" t="str">
        <x:v>50748791</x:v>
      </x:c>
      <x:c r="AB221" s="22" t="str">
        <x:f>IF(OR(M221&lt;&gt;"Approved",U221="Needs cost",O221=""),"Needs review","Ready after approval")</x:f>
        <x:v>Needs review</x:v>
      </x:c>
      <x:c r="AC221" s="22" t="str"/>
    </x:row>
    <x:row r="222">
      <x:c r="A222" s="19" t="str">
        <x:v>6443</x:v>
      </x:c>
      <x:c r="B222" s="19" t="str">
        <x:v>TM8-TAB-6443</x:v>
      </x:c>
      <x:c r="C222" s="19" t="str">
        <x:v>2999000064434</x:v>
      </x:c>
      <x:c r="D222" s="22" t="str">
        <x:v>iPad Z-Fold Case 12.9 Inch Yellow</x:v>
      </x:c>
      <x:c r="E222" s="22" t="str">
        <x:v>Z-Fold Case for iPad Pro 12.9-inch (2018-2022) - Yellow</x:v>
      </x:c>
      <x:c r="F222" s="22" t="str">
        <x:v>Z-Fold Case</x:v>
      </x:c>
      <x:c r="G222" s="22" t="str">
        <x:v>Yellow</x:v>
      </x:c>
      <x:c r="H222" s="22" t="str">
        <x:v>TM8-GRP-IPAD-129-LEGACY-ZFD</x:v>
      </x:c>
      <x:c r="I222" s="22" t="str">
        <x:v>Z-Fold Case for iPad Pro 12.9-inch (2018-2022)</x:v>
      </x:c>
      <x:c r="J222" s="22" t="str">
        <x:v>iPad 12.9 inch</x:v>
      </x:c>
      <x:c r="K222" s="22" t="str">
        <x:v>IPAD-129-LEGACY</x:v>
      </x:c>
      <x:c r="L222" s="22" t="str">
        <x:v>iPad Pro 12.9-inch (2018-2022)</x:v>
      </x:c>
      <x:c r="M222" s="22" t="str">
        <x:v>Approved</x:v>
      </x:c>
      <x:c r="N222" s="22" t="str">
        <x:v>https://dghyt15qon7us.cloudfront.net/images/productTheme/Inventory/small/1643334230.jpg</x:v>
      </x:c>
      <x:c r="O222" s="22" t="str">
        <x:v>https://dghyt15qon7us.cloudfront.net/images/productTheme/Inventory/small/1643332136.jpg</x:v>
      </x:c>
      <x:c r="P222" s="19" t="str">
        <x:v>park-ridge</x:v>
      </x:c>
      <x:c r="Q222" s="20" t="n">
        <x:v>0</x:v>
      </x:c>
      <x:c r="R222" s="20" t="n">
        <x:f>MAX(0,Q222)</x:f>
        <x:v>0</x:v>
      </x:c>
      <x:c r="S222" s="21" t="n">
        <x:v>10</x:v>
      </x:c>
      <x:c r="T222" s="21" t="n">
        <x:f>IF(OR(F222="Hard Case",F222="Bubble Hard Case"),15,IF(F222="Twist Leather Case",5,IF(F222="Z-Fold Case",4,IFERROR(VLOOKUP(B222,'Cost Overrides'!$A$2:$B$17,2,FALSE),S222))))</x:f>
        <x:v>4</x:v>
      </x:c>
      <x:c r="U222" s="21" t="str">
        <x:f>IF(OR(F222="Hard Case",F222="Bubble Hard Case"),"Confirmed: Hard Case",IF(F222="Twist Leather Case","Confirmed: Twist Leather Case",IF(F222="Z-Fold Case","Confirmed: Z-Fold Case",IF(COUNTIF('Cost Overrides'!$A$2:$A$17,B222)&gt;0,"Confirmed: Owner cost override",IF(S222&lt;=0,"Needs cost","Source cost")))))</x:f>
        <x:v>Confirmed: Z-Fold Case</x:v>
      </x:c>
      <x:c r="V222" s="21" t="n">
        <x:v>39.95</x:v>
      </x:c>
      <x:c r="W222" s="21" t="n">
        <x:f>V222</x:f>
        <x:v>39.95</x:v>
      </x:c>
      <x:c r="X222" s="19" t="str">
        <x:v>NO</x:v>
      </x:c>
      <x:c r="Y222" s="19" t="str">
        <x:v>NO</x:v>
      </x:c>
      <x:c r="Z222" s="19" t="str">
        <x:v>42456153</x:v>
      </x:c>
      <x:c r="AA222" s="19" t="str">
        <x:v>50748789</x:v>
      </x:c>
      <x:c r="AB222" s="22" t="str">
        <x:f>IF(OR(M222&lt;&gt;"Approved",U222="Needs cost",O222=""),"Needs review","Ready after approval")</x:f>
        <x:v>Ready after approval</x:v>
      </x:c>
      <x:c r="AC222" s="22" t="str"/>
    </x:row>
    <x:row r="223">
      <x:c r="A223" s="19" t="str">
        <x:v>6441</x:v>
      </x:c>
      <x:c r="B223" s="19" t="str">
        <x:v>TM8-TAB-6441</x:v>
      </x:c>
      <x:c r="C223" s="19" t="str">
        <x:v>2999000064410</x:v>
      </x:c>
      <x:c r="D223" s="22" t="str">
        <x:v>iPad Z-Fold Case 12.9 Inch Black</x:v>
      </x:c>
      <x:c r="E223" s="22" t="str">
        <x:v>Z-Fold Case for iPad Pro 12.9-inch (2018-2022) - Black</x:v>
      </x:c>
      <x:c r="F223" s="22" t="str">
        <x:v>Z-Fold Case</x:v>
      </x:c>
      <x:c r="G223" s="22" t="str">
        <x:v>Black</x:v>
      </x:c>
      <x:c r="H223" s="22" t="str">
        <x:v>TM8-GRP-IPAD-129-LEGACY-ZFD</x:v>
      </x:c>
      <x:c r="I223" s="22" t="str">
        <x:v>Z-Fold Case for iPad Pro 12.9-inch (2018-2022)</x:v>
      </x:c>
      <x:c r="J223" s="22" t="str">
        <x:v>iPad 12.9 inch</x:v>
      </x:c>
      <x:c r="K223" s="22" t="str">
        <x:v>IPAD-129-LEGACY</x:v>
      </x:c>
      <x:c r="L223" s="22" t="str">
        <x:v>iPad Pro 12.9-inch (2018-2022)</x:v>
      </x:c>
      <x:c r="M223" s="22" t="str">
        <x:v>Approved</x:v>
      </x:c>
      <x:c r="N223" s="22" t="str">
        <x:v>https://dghyt15qon7us.cloudfront.net/images/productTheme/Inventory/small/1643332136.jpg</x:v>
      </x:c>
      <x:c r="O223" s="22" t="str">
        <x:v>https://dghyt15qon7us.cloudfront.net/images/productTheme/Inventory/small/1643332136.jpg</x:v>
      </x:c>
      <x:c r="P223" s="19" t="str">
        <x:v>park-ridge</x:v>
      </x:c>
      <x:c r="Q223" s="20" t="n">
        <x:v>3</x:v>
      </x:c>
      <x:c r="R223" s="20" t="n">
        <x:f>MAX(0,Q223)</x:f>
        <x:v>3</x:v>
      </x:c>
      <x:c r="S223" s="21" t="n">
        <x:v>10</x:v>
      </x:c>
      <x:c r="T223" s="21" t="n">
        <x:f>IF(OR(F223="Hard Case",F223="Bubble Hard Case"),15,IF(F223="Twist Leather Case",5,IF(F223="Z-Fold Case",4,IFERROR(VLOOKUP(B223,'Cost Overrides'!$A$2:$B$17,2,FALSE),S223))))</x:f>
        <x:v>4</x:v>
      </x:c>
      <x:c r="U223" s="21" t="str">
        <x:f>IF(OR(F223="Hard Case",F223="Bubble Hard Case"),"Confirmed: Hard Case",IF(F223="Twist Leather Case","Confirmed: Twist Leather Case",IF(F223="Z-Fold Case","Confirmed: Z-Fold Case",IF(COUNTIF('Cost Overrides'!$A$2:$A$17,B223)&gt;0,"Confirmed: Owner cost override",IF(S223&lt;=0,"Needs cost","Source cost")))))</x:f>
        <x:v>Confirmed: Z-Fold Case</x:v>
      </x:c>
      <x:c r="V223" s="21" t="n">
        <x:v>39.95</x:v>
      </x:c>
      <x:c r="W223" s="21" t="n">
        <x:f>V223</x:f>
        <x:v>39.95</x:v>
      </x:c>
      <x:c r="X223" s="19" t="str">
        <x:v>NO</x:v>
      </x:c>
      <x:c r="Y223" s="19" t="str">
        <x:v>NO</x:v>
      </x:c>
      <x:c r="Z223" s="19" t="str">
        <x:v>42456151</x:v>
      </x:c>
      <x:c r="AA223" s="19" t="str">
        <x:v>50748787</x:v>
      </x:c>
      <x:c r="AB223" s="22" t="str">
        <x:f>IF(OR(M223&lt;&gt;"Approved",U223="Needs cost",O223=""),"Needs review","Ready after approval")</x:f>
        <x:v>Ready after approval</x:v>
      </x:c>
      <x:c r="AC223" s="22" t="str"/>
    </x:row>
    <x:row r="224">
      <x:c r="A224" s="19" t="str">
        <x:v>6440</x:v>
      </x:c>
      <x:c r="B224" s="19" t="str">
        <x:v>TM8-TAB-6440</x:v>
      </x:c>
      <x:c r="C224" s="19" t="str">
        <x:v>2999000064403</x:v>
      </x:c>
      <x:c r="D224" s="22" t="str">
        <x:v>iPad Z-Fold Case 12.9 Inch Pink</x:v>
      </x:c>
      <x:c r="E224" s="22" t="str">
        <x:v>Z-Fold Case for iPad Pro 12.9-inch (2018-2022) - Pink</x:v>
      </x:c>
      <x:c r="F224" s="22" t="str">
        <x:v>Z-Fold Case</x:v>
      </x:c>
      <x:c r="G224" s="22" t="str">
        <x:v>Pink</x:v>
      </x:c>
      <x:c r="H224" s="22" t="str">
        <x:v>TM8-GRP-IPAD-129-LEGACY-ZFD</x:v>
      </x:c>
      <x:c r="I224" s="22" t="str">
        <x:v>Z-Fold Case for iPad Pro 12.9-inch (2018-2022)</x:v>
      </x:c>
      <x:c r="J224" s="22" t="str">
        <x:v>iPad 12.9 inch</x:v>
      </x:c>
      <x:c r="K224" s="22" t="str">
        <x:v>IPAD-129-LEGACY</x:v>
      </x:c>
      <x:c r="L224" s="22" t="str">
        <x:v>iPad Pro 12.9-inch (2018-2022)</x:v>
      </x:c>
      <x:c r="M224" s="22" t="str">
        <x:v>Approved</x:v>
      </x:c>
      <x:c r="N224" s="22" t="str">
        <x:v>https://dghyt15qon7us.cloudfront.net/images/productTheme/Inventory/small/1643332080.jpg</x:v>
      </x:c>
      <x:c r="O224" s="22" t="str">
        <x:v>https://dghyt15qon7us.cloudfront.net/images/productTheme/Inventory/small/1643332136.jpg</x:v>
      </x:c>
      <x:c r="P224" s="19" t="str">
        <x:v>park-ridge</x:v>
      </x:c>
      <x:c r="Q224" s="20" t="n">
        <x:v>5</x:v>
      </x:c>
      <x:c r="R224" s="20" t="n">
        <x:f>MAX(0,Q224)</x:f>
        <x:v>5</x:v>
      </x:c>
      <x:c r="S224" s="21" t="n">
        <x:v>10</x:v>
      </x:c>
      <x:c r="T224" s="21" t="n">
        <x:f>IF(OR(F224="Hard Case",F224="Bubble Hard Case"),15,IF(F224="Twist Leather Case",5,IF(F224="Z-Fold Case",4,IFERROR(VLOOKUP(B224,'Cost Overrides'!$A$2:$B$17,2,FALSE),S224))))</x:f>
        <x:v>4</x:v>
      </x:c>
      <x:c r="U224" s="21" t="str">
        <x:f>IF(OR(F224="Hard Case",F224="Bubble Hard Case"),"Confirmed: Hard Case",IF(F224="Twist Leather Case","Confirmed: Twist Leather Case",IF(F224="Z-Fold Case","Confirmed: Z-Fold Case",IF(COUNTIF('Cost Overrides'!$A$2:$A$17,B224)&gt;0,"Confirmed: Owner cost override",IF(S224&lt;=0,"Needs cost","Source cost")))))</x:f>
        <x:v>Confirmed: Z-Fold Case</x:v>
      </x:c>
      <x:c r="V224" s="21" t="n">
        <x:v>39.95</x:v>
      </x:c>
      <x:c r="W224" s="21" t="n">
        <x:f>V224</x:f>
        <x:v>39.95</x:v>
      </x:c>
      <x:c r="X224" s="19" t="str">
        <x:v>NO</x:v>
      </x:c>
      <x:c r="Y224" s="19" t="str">
        <x:v>NO</x:v>
      </x:c>
      <x:c r="Z224" s="19" t="str">
        <x:v>42456150</x:v>
      </x:c>
      <x:c r="AA224" s="19" t="str">
        <x:v>50748786</x:v>
      </x:c>
      <x:c r="AB224" s="22" t="str">
        <x:f>IF(OR(M224&lt;&gt;"Approved",U224="Needs cost",O224=""),"Needs review","Ready after approval")</x:f>
        <x:v>Ready after approval</x:v>
      </x:c>
      <x:c r="AC224" s="22" t="str"/>
    </x:row>
    <x:row r="225">
      <x:c r="A225" s="19" t="str">
        <x:v>6439</x:v>
      </x:c>
      <x:c r="B225" s="19" t="str">
        <x:v>TM8-TAB-6439</x:v>
      </x:c>
      <x:c r="C225" s="19" t="str">
        <x:v>2999000064397</x:v>
      </x:c>
      <x:c r="D225" s="22" t="str">
        <x:v>iPad Z-Fold Case 12.9 Inch Blue</x:v>
      </x:c>
      <x:c r="E225" s="22" t="str">
        <x:v>Z-Fold Case for iPad Pro 12.9-inch (2018-2022) - Blue</x:v>
      </x:c>
      <x:c r="F225" s="22" t="str">
        <x:v>Z-Fold Case</x:v>
      </x:c>
      <x:c r="G225" s="22" t="str">
        <x:v>Blue</x:v>
      </x:c>
      <x:c r="H225" s="22" t="str">
        <x:v>TM8-GRP-IPAD-129-LEGACY-ZFD</x:v>
      </x:c>
      <x:c r="I225" s="22" t="str">
        <x:v>Z-Fold Case for iPad Pro 12.9-inch (2018-2022)</x:v>
      </x:c>
      <x:c r="J225" s="22" t="str">
        <x:v>iPad 12.9 inch</x:v>
      </x:c>
      <x:c r="K225" s="22" t="str">
        <x:v>IPAD-129-LEGACY</x:v>
      </x:c>
      <x:c r="L225" s="22" t="str">
        <x:v>iPad Pro 12.9-inch (2018-2022)</x:v>
      </x:c>
      <x:c r="M225" s="22" t="str">
        <x:v>Approved</x:v>
      </x:c>
      <x:c r="N225" s="22" t="str">
        <x:v>https://dghyt15qon7us.cloudfront.net/images/productTheme/Inventory/small/1643331822.jpg</x:v>
      </x:c>
      <x:c r="O225" s="22" t="str">
        <x:v>https://dghyt15qon7us.cloudfront.net/images/productTheme/Inventory/small/1643332136.jpg</x:v>
      </x:c>
      <x:c r="P225" s="19" t="str">
        <x:v>park-ridge</x:v>
      </x:c>
      <x:c r="Q225" s="20" t="n">
        <x:v>2</x:v>
      </x:c>
      <x:c r="R225" s="20" t="n">
        <x:f>MAX(0,Q225)</x:f>
        <x:v>2</x:v>
      </x:c>
      <x:c r="S225" s="21" t="n">
        <x:v>10</x:v>
      </x:c>
      <x:c r="T225" s="21" t="n">
        <x:f>IF(OR(F225="Hard Case",F225="Bubble Hard Case"),15,IF(F225="Twist Leather Case",5,IF(F225="Z-Fold Case",4,IFERROR(VLOOKUP(B225,'Cost Overrides'!$A$2:$B$17,2,FALSE),S225))))</x:f>
        <x:v>4</x:v>
      </x:c>
      <x:c r="U225" s="21" t="str">
        <x:f>IF(OR(F225="Hard Case",F225="Bubble Hard Case"),"Confirmed: Hard Case",IF(F225="Twist Leather Case","Confirmed: Twist Leather Case",IF(F225="Z-Fold Case","Confirmed: Z-Fold Case",IF(COUNTIF('Cost Overrides'!$A$2:$A$17,B225)&gt;0,"Confirmed: Owner cost override",IF(S225&lt;=0,"Needs cost","Source cost")))))</x:f>
        <x:v>Confirmed: Z-Fold Case</x:v>
      </x:c>
      <x:c r="V225" s="21" t="n">
        <x:v>39.95</x:v>
      </x:c>
      <x:c r="W225" s="21" t="n">
        <x:f>V225</x:f>
        <x:v>39.95</x:v>
      </x:c>
      <x:c r="X225" s="19" t="str">
        <x:v>NO</x:v>
      </x:c>
      <x:c r="Y225" s="19" t="str">
        <x:v>NO</x:v>
      </x:c>
      <x:c r="Z225" s="19" t="str">
        <x:v>42456149</x:v>
      </x:c>
      <x:c r="AA225" s="19" t="str">
        <x:v>50748785</x:v>
      </x:c>
      <x:c r="AB225" s="22" t="str">
        <x:f>IF(OR(M225&lt;&gt;"Approved",U225="Needs cost",O225=""),"Needs review","Ready after approval")</x:f>
        <x:v>Ready after approval</x:v>
      </x:c>
      <x:c r="AC225" s="22" t="str"/>
    </x:row>
    <x:row r="226">
      <x:c r="A226" s="19" t="str">
        <x:v>6438</x:v>
      </x:c>
      <x:c r="B226" s="19" t="str">
        <x:v>TM8-TAB-6438</x:v>
      </x:c>
      <x:c r="C226" s="19" t="str">
        <x:v>2999000064380</x:v>
      </x:c>
      <x:c r="D226" s="22" t="str">
        <x:v>iPad Z-Fold Case 12.9 Inch Green</x:v>
      </x:c>
      <x:c r="E226" s="22" t="str">
        <x:v>Z-Fold Case for iPad Pro 12.9-inch (2018-2022) - Green</x:v>
      </x:c>
      <x:c r="F226" s="22" t="str">
        <x:v>Z-Fold Case</x:v>
      </x:c>
      <x:c r="G226" s="22" t="str">
        <x:v>Green</x:v>
      </x:c>
      <x:c r="H226" s="22" t="str">
        <x:v>TM8-GRP-IPAD-129-LEGACY-ZFD</x:v>
      </x:c>
      <x:c r="I226" s="22" t="str">
        <x:v>Z-Fold Case for iPad Pro 12.9-inch (2018-2022)</x:v>
      </x:c>
      <x:c r="J226" s="22" t="str">
        <x:v>iPad 12.9 inch</x:v>
      </x:c>
      <x:c r="K226" s="22" t="str">
        <x:v>IPAD-129-LEGACY</x:v>
      </x:c>
      <x:c r="L226" s="22" t="str">
        <x:v>iPad Pro 12.9-inch (2018-2022)</x:v>
      </x:c>
      <x:c r="M226" s="22" t="str">
        <x:v>Approved</x:v>
      </x:c>
      <x:c r="N226" s="22" t="str">
        <x:v>https://dghyt15qon7us.cloudfront.net/images/productTheme/Inventory/small/167574624442456148.jpg</x:v>
      </x:c>
      <x:c r="O226" s="22" t="str">
        <x:v>https://dghyt15qon7us.cloudfront.net/images/productTheme/Inventory/small/1643332136.jpg</x:v>
      </x:c>
      <x:c r="P226" s="19" t="str">
        <x:v>park-ridge</x:v>
      </x:c>
      <x:c r="Q226" s="20" t="n">
        <x:v>-1</x:v>
      </x:c>
      <x:c r="R226" s="20" t="n">
        <x:f>MAX(0,Q226)</x:f>
        <x:v>0</x:v>
      </x:c>
      <x:c r="S226" s="21" t="n">
        <x:v>10</x:v>
      </x:c>
      <x:c r="T226" s="21" t="n">
        <x:f>IF(OR(F226="Hard Case",F226="Bubble Hard Case"),15,IF(F226="Twist Leather Case",5,IF(F226="Z-Fold Case",4,IFERROR(VLOOKUP(B226,'Cost Overrides'!$A$2:$B$17,2,FALSE),S226))))</x:f>
        <x:v>4</x:v>
      </x:c>
      <x:c r="U226" s="21" t="str">
        <x:f>IF(OR(F226="Hard Case",F226="Bubble Hard Case"),"Confirmed: Hard Case",IF(F226="Twist Leather Case","Confirmed: Twist Leather Case",IF(F226="Z-Fold Case","Confirmed: Z-Fold Case",IF(COUNTIF('Cost Overrides'!$A$2:$A$17,B226)&gt;0,"Confirmed: Owner cost override",IF(S226&lt;=0,"Needs cost","Source cost")))))</x:f>
        <x:v>Confirmed: Z-Fold Case</x:v>
      </x:c>
      <x:c r="V226" s="21" t="n">
        <x:v>39.95</x:v>
      </x:c>
      <x:c r="W226" s="21" t="n">
        <x:f>V226</x:f>
        <x:v>39.95</x:v>
      </x:c>
      <x:c r="X226" s="19" t="str">
        <x:v>NO</x:v>
      </x:c>
      <x:c r="Y226" s="19" t="str">
        <x:v>NO</x:v>
      </x:c>
      <x:c r="Z226" s="19" t="str">
        <x:v>42456148</x:v>
      </x:c>
      <x:c r="AA226" s="19" t="str">
        <x:v>50748784</x:v>
      </x:c>
      <x:c r="AB226" s="22" t="str">
        <x:f>IF(OR(M226&lt;&gt;"Approved",U226="Needs cost",O226=""),"Needs review","Ready after approval")</x:f>
        <x:v>Ready after approval</x:v>
      </x:c>
      <x:c r="AC226" s="22" t="str">
        <x:v>Negative source stock clipped to zero.</x:v>
      </x:c>
    </x:row>
    <x:row r="227">
      <x:c r="A227" s="19" t="str">
        <x:v>6437</x:v>
      </x:c>
      <x:c r="B227" s="19" t="str">
        <x:v>TM8-TAB-6437</x:v>
      </x:c>
      <x:c r="C227" s="19" t="str">
        <x:v>2999000064373</x:v>
      </x:c>
      <x:c r="D227" s="22" t="str">
        <x:v>iPad Z-Fold Case 12.9 Inch Gray</x:v>
      </x:c>
      <x:c r="E227" s="22" t="str">
        <x:v>Z-Fold Case for iPad Pro 12.9-inch (2018-2022) - Grey</x:v>
      </x:c>
      <x:c r="F227" s="22" t="str">
        <x:v>Z-Fold Case</x:v>
      </x:c>
      <x:c r="G227" s="22" t="str">
        <x:v>Grey</x:v>
      </x:c>
      <x:c r="H227" s="22" t="str">
        <x:v>TM8-GRP-IPAD-129-LEGACY-ZFD</x:v>
      </x:c>
      <x:c r="I227" s="22" t="str">
        <x:v>Z-Fold Case for iPad Pro 12.9-inch (2018-2022)</x:v>
      </x:c>
      <x:c r="J227" s="22" t="str">
        <x:v>iPad 12.9 inch</x:v>
      </x:c>
      <x:c r="K227" s="22" t="str">
        <x:v>IPAD-129-LEGACY</x:v>
      </x:c>
      <x:c r="L227" s="22" t="str">
        <x:v>iPad Pro 12.9-inch (2018-2022)</x:v>
      </x:c>
      <x:c r="M227" s="22" t="str">
        <x:v>Approved</x:v>
      </x:c>
      <x:c r="N227" s="22" t="str">
        <x:v>https://dghyt15qon7us.cloudfront.net/images/productTheme/Inventory/small/165076365042456147.jpg</x:v>
      </x:c>
      <x:c r="O227" s="22" t="str">
        <x:v>https://dghyt15qon7us.cloudfront.net/images/productTheme/Inventory/small/1643332136.jpg</x:v>
      </x:c>
      <x:c r="P227" s="19" t="str">
        <x:v>park-ridge</x:v>
      </x:c>
      <x:c r="Q227" s="20" t="n">
        <x:v>2</x:v>
      </x:c>
      <x:c r="R227" s="20" t="n">
        <x:f>MAX(0,Q227)</x:f>
        <x:v>2</x:v>
      </x:c>
      <x:c r="S227" s="21" t="n">
        <x:v>10</x:v>
      </x:c>
      <x:c r="T227" s="21" t="n">
        <x:f>IF(OR(F227="Hard Case",F227="Bubble Hard Case"),15,IF(F227="Twist Leather Case",5,IF(F227="Z-Fold Case",4,IFERROR(VLOOKUP(B227,'Cost Overrides'!$A$2:$B$17,2,FALSE),S227))))</x:f>
        <x:v>4</x:v>
      </x:c>
      <x:c r="U227" s="21" t="str">
        <x:f>IF(OR(F227="Hard Case",F227="Bubble Hard Case"),"Confirmed: Hard Case",IF(F227="Twist Leather Case","Confirmed: Twist Leather Case",IF(F227="Z-Fold Case","Confirmed: Z-Fold Case",IF(COUNTIF('Cost Overrides'!$A$2:$A$17,B227)&gt;0,"Confirmed: Owner cost override",IF(S227&lt;=0,"Needs cost","Source cost")))))</x:f>
        <x:v>Confirmed: Z-Fold Case</x:v>
      </x:c>
      <x:c r="V227" s="21" t="n">
        <x:v>39.95</x:v>
      </x:c>
      <x:c r="W227" s="21" t="n">
        <x:f>V227</x:f>
        <x:v>39.95</x:v>
      </x:c>
      <x:c r="X227" s="19" t="str">
        <x:v>NO</x:v>
      </x:c>
      <x:c r="Y227" s="19" t="str">
        <x:v>NO</x:v>
      </x:c>
      <x:c r="Z227" s="19" t="str">
        <x:v>42456147</x:v>
      </x:c>
      <x:c r="AA227" s="19" t="str">
        <x:v>50748783</x:v>
      </x:c>
      <x:c r="AB227" s="22" t="str">
        <x:f>IF(OR(M227&lt;&gt;"Approved",U227="Needs cost",O227=""),"Needs review","Ready after approval")</x:f>
        <x:v>Ready after approval</x:v>
      </x:c>
      <x:c r="AC227" s="22" t="str"/>
    </x:row>
    <x:row r="228">
      <x:c r="A228" s="19" t="str">
        <x:v>6436</x:v>
      </x:c>
      <x:c r="B228" s="19" t="str">
        <x:v>TM8-TAB-6436</x:v>
      </x:c>
      <x:c r="C228" s="19" t="str">
        <x:v>2999000064366</x:v>
      </x:c>
      <x:c r="D228" s="22" t="str">
        <x:v>iPad Z-Fold Case 12.9 Inch Purple</x:v>
      </x:c>
      <x:c r="E228" s="22" t="str">
        <x:v>Z-Fold Case for iPad Pro 12.9-inch (2018-2022) - Purple</x:v>
      </x:c>
      <x:c r="F228" s="22" t="str">
        <x:v>Z-Fold Case</x:v>
      </x:c>
      <x:c r="G228" s="22" t="str">
        <x:v>Purple</x:v>
      </x:c>
      <x:c r="H228" s="22" t="str">
        <x:v>TM8-GRP-IPAD-129-LEGACY-ZFD</x:v>
      </x:c>
      <x:c r="I228" s="22" t="str">
        <x:v>Z-Fold Case for iPad Pro 12.9-inch (2018-2022)</x:v>
      </x:c>
      <x:c r="J228" s="22" t="str">
        <x:v>iPad 12.9 inch</x:v>
      </x:c>
      <x:c r="K228" s="22" t="str">
        <x:v>IPAD-129-LEGACY</x:v>
      </x:c>
      <x:c r="L228" s="22" t="str">
        <x:v>iPad Pro 12.9-inch (2018-2022)</x:v>
      </x:c>
      <x:c r="M228" s="22" t="str">
        <x:v>Approved</x:v>
      </x:c>
      <x:c r="N228" s="22" t="str">
        <x:v>https://dghyt15qon7us.cloudfront.net/images/productTheme/Inventory/small/164332994742456146.jpg</x:v>
      </x:c>
      <x:c r="O228" s="22" t="str">
        <x:v>https://dghyt15qon7us.cloudfront.net/images/productTheme/Inventory/small/1643332136.jpg</x:v>
      </x:c>
      <x:c r="P228" s="19" t="str">
        <x:v>park-ridge</x:v>
      </x:c>
      <x:c r="Q228" s="20" t="n">
        <x:v>2</x:v>
      </x:c>
      <x:c r="R228" s="20" t="n">
        <x:f>MAX(0,Q228)</x:f>
        <x:v>2</x:v>
      </x:c>
      <x:c r="S228" s="21" t="n">
        <x:v>10</x:v>
      </x:c>
      <x:c r="T228" s="21" t="n">
        <x:f>IF(OR(F228="Hard Case",F228="Bubble Hard Case"),15,IF(F228="Twist Leather Case",5,IF(F228="Z-Fold Case",4,IFERROR(VLOOKUP(B228,'Cost Overrides'!$A$2:$B$17,2,FALSE),S228))))</x:f>
        <x:v>4</x:v>
      </x:c>
      <x:c r="U228" s="21" t="str">
        <x:f>IF(OR(F228="Hard Case",F228="Bubble Hard Case"),"Confirmed: Hard Case",IF(F228="Twist Leather Case","Confirmed: Twist Leather Case",IF(F228="Z-Fold Case","Confirmed: Z-Fold Case",IF(COUNTIF('Cost Overrides'!$A$2:$A$17,B228)&gt;0,"Confirmed: Owner cost override",IF(S228&lt;=0,"Needs cost","Source cost")))))</x:f>
        <x:v>Confirmed: Z-Fold Case</x:v>
      </x:c>
      <x:c r="V228" s="21" t="n">
        <x:v>39.95</x:v>
      </x:c>
      <x:c r="W228" s="21" t="n">
        <x:f>V228</x:f>
        <x:v>39.95</x:v>
      </x:c>
      <x:c r="X228" s="19" t="str">
        <x:v>NO</x:v>
      </x:c>
      <x:c r="Y228" s="19" t="str">
        <x:v>NO</x:v>
      </x:c>
      <x:c r="Z228" s="19" t="str">
        <x:v>42456146</x:v>
      </x:c>
      <x:c r="AA228" s="19" t="str">
        <x:v>50748782</x:v>
      </x:c>
      <x:c r="AB228" s="22" t="str">
        <x:f>IF(OR(M228&lt;&gt;"Approved",U228="Needs cost",O228=""),"Needs review","Ready after approval")</x:f>
        <x:v>Ready after approval</x:v>
      </x:c>
      <x:c r="AC228" s="22" t="str"/>
    </x:row>
    <x:row r="229">
      <x:c r="A229" s="19" t="str">
        <x:v>6433</x:v>
      </x:c>
      <x:c r="B229" s="19" t="str">
        <x:v>TM8-TAB-6433</x:v>
      </x:c>
      <x:c r="C229" s="19" t="str">
        <x:v>2999000064335</x:v>
      </x:c>
      <x:c r="D229" s="22" t="str">
        <x:v>iPad Z-Fold Case Air 4/5 , Por 11 Black</x:v>
      </x:c>
      <x:c r="E229" s="22" t="str">
        <x:v>Z-Fold Case for iPad Air 4/5 and iPad Pro 11 (2018-2022) - Black</x:v>
      </x:c>
      <x:c r="F229" s="22" t="str">
        <x:v>Z-Fold Case</x:v>
      </x:c>
      <x:c r="G229" s="22" t="str">
        <x:v>Black</x:v>
      </x:c>
      <x:c r="H229" s="22" t="str">
        <x:v>TM8-GRP-IPAD-AIR45-PRO11-ZFD</x:v>
      </x:c>
      <x:c r="I229" s="22" t="str">
        <x:v>Z-Fold Case for iPad Air 4/5 and iPad Pro 11 (2018-2022)</x:v>
      </x:c>
      <x:c r="J229" s="22" t="str">
        <x:v>iPad Air 4/5, Pro 11</x:v>
      </x:c>
      <x:c r="K229" s="22" t="str">
        <x:v>IPAD-AIR45-PRO11</x:v>
      </x:c>
      <x:c r="L229" s="22" t="str">
        <x:v>iPad Air 4/5 and iPad Pro 11 (2018-2022)</x:v>
      </x:c>
      <x:c r="M229" s="22" t="str">
        <x:v>Approved</x:v>
      </x:c>
      <x:c r="N229" s="22" t="str">
        <x:v>https://dghyt15qon7us.cloudfront.net/images/productTheme/Inventory/small/1643329808.jpg</x:v>
      </x:c>
      <x:c r="O229" s="22" t="str">
        <x:v>https://dghyt15qon7us.cloudfront.net/images/productTheme/Inventory/small/1643329808.jpg</x:v>
      </x:c>
      <x:c r="P229" s="19" t="str">
        <x:v>park-ridge</x:v>
      </x:c>
      <x:c r="Q229" s="20" t="n">
        <x:v>1</x:v>
      </x:c>
      <x:c r="R229" s="20" t="n">
        <x:f>MAX(0,Q229)</x:f>
        <x:v>1</x:v>
      </x:c>
      <x:c r="S229" s="21" t="n">
        <x:v>10</x:v>
      </x:c>
      <x:c r="T229" s="21" t="n">
        <x:f>IF(OR(F229="Hard Case",F229="Bubble Hard Case"),15,IF(F229="Twist Leather Case",5,IF(F229="Z-Fold Case",4,IFERROR(VLOOKUP(B229,'Cost Overrides'!$A$2:$B$17,2,FALSE),S229))))</x:f>
        <x:v>4</x:v>
      </x:c>
      <x:c r="U229" s="21" t="str">
        <x:f>IF(OR(F229="Hard Case",F229="Bubble Hard Case"),"Confirmed: Hard Case",IF(F229="Twist Leather Case","Confirmed: Twist Leather Case",IF(F229="Z-Fold Case","Confirmed: Z-Fold Case",IF(COUNTIF('Cost Overrides'!$A$2:$A$17,B229)&gt;0,"Confirmed: Owner cost override",IF(S229&lt;=0,"Needs cost","Source cost")))))</x:f>
        <x:v>Confirmed: Z-Fold Case</x:v>
      </x:c>
      <x:c r="V229" s="21" t="n">
        <x:v>39.95</x:v>
      </x:c>
      <x:c r="W229" s="21" t="n">
        <x:f>V229</x:f>
        <x:v>39.95</x:v>
      </x:c>
      <x:c r="X229" s="19" t="str">
        <x:v>NO</x:v>
      </x:c>
      <x:c r="Y229" s="19" t="str">
        <x:v>NO</x:v>
      </x:c>
      <x:c r="Z229" s="19" t="str">
        <x:v>42456143</x:v>
      </x:c>
      <x:c r="AA229" s="19" t="str">
        <x:v>50748779</x:v>
      </x:c>
      <x:c r="AB229" s="22" t="str">
        <x:f>IF(OR(M229&lt;&gt;"Approved",U229="Needs cost",O229=""),"Needs review","Ready after approval")</x:f>
        <x:v>Ready after approval</x:v>
      </x:c>
      <x:c r="AC229" s="22" t="str"/>
    </x:row>
    <x:row r="230">
      <x:c r="A230" s="19" t="str">
        <x:v>6432</x:v>
      </x:c>
      <x:c r="B230" s="19" t="str">
        <x:v>TM8-TAB-6432</x:v>
      </x:c>
      <x:c r="C230" s="19" t="str">
        <x:v>2999000064328</x:v>
      </x:c>
      <x:c r="D230" s="22" t="str">
        <x:v>iPad Z-Fold Case Air 4/5 , Por 11 Pink</x:v>
      </x:c>
      <x:c r="E230" s="22" t="str">
        <x:v>Z-Fold Case for iPad Air 4/5 and iPad Pro 11 (2018-2022) - Pink</x:v>
      </x:c>
      <x:c r="F230" s="22" t="str">
        <x:v>Z-Fold Case</x:v>
      </x:c>
      <x:c r="G230" s="22" t="str">
        <x:v>Pink</x:v>
      </x:c>
      <x:c r="H230" s="22" t="str">
        <x:v>TM8-GRP-IPAD-AIR45-PRO11-ZFD</x:v>
      </x:c>
      <x:c r="I230" s="22" t="str">
        <x:v>Z-Fold Case for iPad Air 4/5 and iPad Pro 11 (2018-2022)</x:v>
      </x:c>
      <x:c r="J230" s="22" t="str">
        <x:v>iPad Air 4/5, Pro 11</x:v>
      </x:c>
      <x:c r="K230" s="22" t="str">
        <x:v>IPAD-AIR45-PRO11</x:v>
      </x:c>
      <x:c r="L230" s="22" t="str">
        <x:v>iPad Air 4/5 and iPad Pro 11 (2018-2022)</x:v>
      </x:c>
      <x:c r="M230" s="22" t="str">
        <x:v>Approved</x:v>
      </x:c>
      <x:c r="N230" s="22" t="str">
        <x:v>https://dghyt15qon7us.cloudfront.net/images/productTheme/Inventory/small/1643329772.jpg</x:v>
      </x:c>
      <x:c r="O230" s="22" t="str">
        <x:v>https://dghyt15qon7us.cloudfront.net/images/productTheme/Inventory/small/1643329808.jpg</x:v>
      </x:c>
      <x:c r="P230" s="19" t="str">
        <x:v>park-ridge</x:v>
      </x:c>
      <x:c r="Q230" s="20" t="n">
        <x:v>-1</x:v>
      </x:c>
      <x:c r="R230" s="20" t="n">
        <x:f>MAX(0,Q230)</x:f>
        <x:v>0</x:v>
      </x:c>
      <x:c r="S230" s="21" t="n">
        <x:v>10</x:v>
      </x:c>
      <x:c r="T230" s="21" t="n">
        <x:f>IF(OR(F230="Hard Case",F230="Bubble Hard Case"),15,IF(F230="Twist Leather Case",5,IF(F230="Z-Fold Case",4,IFERROR(VLOOKUP(B230,'Cost Overrides'!$A$2:$B$17,2,FALSE),S230))))</x:f>
        <x:v>4</x:v>
      </x:c>
      <x:c r="U230" s="21" t="str">
        <x:f>IF(OR(F230="Hard Case",F230="Bubble Hard Case"),"Confirmed: Hard Case",IF(F230="Twist Leather Case","Confirmed: Twist Leather Case",IF(F230="Z-Fold Case","Confirmed: Z-Fold Case",IF(COUNTIF('Cost Overrides'!$A$2:$A$17,B230)&gt;0,"Confirmed: Owner cost override",IF(S230&lt;=0,"Needs cost","Source cost")))))</x:f>
        <x:v>Confirmed: Z-Fold Case</x:v>
      </x:c>
      <x:c r="V230" s="21" t="n">
        <x:v>39.95</x:v>
      </x:c>
      <x:c r="W230" s="21" t="n">
        <x:f>V230</x:f>
        <x:v>39.95</x:v>
      </x:c>
      <x:c r="X230" s="19" t="str">
        <x:v>NO</x:v>
      </x:c>
      <x:c r="Y230" s="19" t="str">
        <x:v>NO</x:v>
      </x:c>
      <x:c r="Z230" s="19" t="str">
        <x:v>42456142</x:v>
      </x:c>
      <x:c r="AA230" s="19" t="str">
        <x:v>50748778</x:v>
      </x:c>
      <x:c r="AB230" s="22" t="str">
        <x:f>IF(OR(M230&lt;&gt;"Approved",U230="Needs cost",O230=""),"Needs review","Ready after approval")</x:f>
        <x:v>Ready after approval</x:v>
      </x:c>
      <x:c r="AC230" s="22" t="str">
        <x:v>Negative source stock clipped to zero.</x:v>
      </x:c>
    </x:row>
    <x:row r="231">
      <x:c r="A231" s="19" t="str">
        <x:v>6431</x:v>
      </x:c>
      <x:c r="B231" s="19" t="str">
        <x:v>TM8-TAB-6431</x:v>
      </x:c>
      <x:c r="C231" s="19" t="str">
        <x:v>2999000064311</x:v>
      </x:c>
      <x:c r="D231" s="22" t="str">
        <x:v>iPad Z-Fold Case Air 4/5 , Por 11 Blue</x:v>
      </x:c>
      <x:c r="E231" s="22" t="str">
        <x:v>Z-Fold Case for iPad Air 4/5 and iPad Pro 11 (2018-2022) - Blue</x:v>
      </x:c>
      <x:c r="F231" s="22" t="str">
        <x:v>Z-Fold Case</x:v>
      </x:c>
      <x:c r="G231" s="22" t="str">
        <x:v>Blue</x:v>
      </x:c>
      <x:c r="H231" s="22" t="str">
        <x:v>TM8-GRP-IPAD-AIR45-PRO11-ZFD</x:v>
      </x:c>
      <x:c r="I231" s="22" t="str">
        <x:v>Z-Fold Case for iPad Air 4/5 and iPad Pro 11 (2018-2022)</x:v>
      </x:c>
      <x:c r="J231" s="22" t="str">
        <x:v>iPad Air 4/5, Pro 11</x:v>
      </x:c>
      <x:c r="K231" s="22" t="str">
        <x:v>IPAD-AIR45-PRO11</x:v>
      </x:c>
      <x:c r="L231" s="22" t="str">
        <x:v>iPad Air 4/5 and iPad Pro 11 (2018-2022)</x:v>
      </x:c>
      <x:c r="M231" s="22" t="str">
        <x:v>Approved</x:v>
      </x:c>
      <x:c r="N231" s="22" t="str">
        <x:v>https://dghyt15qon7us.cloudfront.net/images/productTheme/Inventory/small/1643329752.jpg</x:v>
      </x:c>
      <x:c r="O231" s="22" t="str">
        <x:v>https://dghyt15qon7us.cloudfront.net/images/productTheme/Inventory/small/1643329808.jpg</x:v>
      </x:c>
      <x:c r="P231" s="19" t="str">
        <x:v>park-ridge</x:v>
      </x:c>
      <x:c r="Q231" s="20" t="n">
        <x:v>0</x:v>
      </x:c>
      <x:c r="R231" s="20" t="n">
        <x:f>MAX(0,Q231)</x:f>
        <x:v>0</x:v>
      </x:c>
      <x:c r="S231" s="21" t="n">
        <x:v>10</x:v>
      </x:c>
      <x:c r="T231" s="21" t="n">
        <x:f>IF(OR(F231="Hard Case",F231="Bubble Hard Case"),15,IF(F231="Twist Leather Case",5,IF(F231="Z-Fold Case",4,IFERROR(VLOOKUP(B231,'Cost Overrides'!$A$2:$B$17,2,FALSE),S231))))</x:f>
        <x:v>4</x:v>
      </x:c>
      <x:c r="U231" s="21" t="str">
        <x:f>IF(OR(F231="Hard Case",F231="Bubble Hard Case"),"Confirmed: Hard Case",IF(F231="Twist Leather Case","Confirmed: Twist Leather Case",IF(F231="Z-Fold Case","Confirmed: Z-Fold Case",IF(COUNTIF('Cost Overrides'!$A$2:$A$17,B231)&gt;0,"Confirmed: Owner cost override",IF(S231&lt;=0,"Needs cost","Source cost")))))</x:f>
        <x:v>Confirmed: Z-Fold Case</x:v>
      </x:c>
      <x:c r="V231" s="21" t="n">
        <x:v>39.95</x:v>
      </x:c>
      <x:c r="W231" s="21" t="n">
        <x:f>V231</x:f>
        <x:v>39.95</x:v>
      </x:c>
      <x:c r="X231" s="19" t="str">
        <x:v>NO</x:v>
      </x:c>
      <x:c r="Y231" s="19" t="str">
        <x:v>NO</x:v>
      </x:c>
      <x:c r="Z231" s="19" t="str">
        <x:v>42456141</x:v>
      </x:c>
      <x:c r="AA231" s="19" t="str">
        <x:v>50748777</x:v>
      </x:c>
      <x:c r="AB231" s="22" t="str">
        <x:f>IF(OR(M231&lt;&gt;"Approved",U231="Needs cost",O231=""),"Needs review","Ready after approval")</x:f>
        <x:v>Ready after approval</x:v>
      </x:c>
      <x:c r="AC231" s="22" t="str"/>
    </x:row>
    <x:row r="232">
      <x:c r="A232" s="19" t="str">
        <x:v>6430</x:v>
      </x:c>
      <x:c r="B232" s="19" t="str">
        <x:v>TM8-TAB-6430</x:v>
      </x:c>
      <x:c r="C232" s="19" t="str">
        <x:v>2999000064304</x:v>
      </x:c>
      <x:c r="D232" s="22" t="str">
        <x:v>iPad Z-Fold Case Air 4/5 , Por 11 Green</x:v>
      </x:c>
      <x:c r="E232" s="22" t="str">
        <x:v>Z-Fold Case for iPad Air 4/5 and iPad Pro 11 (2018-2022) - Green</x:v>
      </x:c>
      <x:c r="F232" s="22" t="str">
        <x:v>Z-Fold Case</x:v>
      </x:c>
      <x:c r="G232" s="22" t="str">
        <x:v>Green</x:v>
      </x:c>
      <x:c r="H232" s="22" t="str">
        <x:v>TM8-GRP-IPAD-AIR45-PRO11-ZFD</x:v>
      </x:c>
      <x:c r="I232" s="22" t="str">
        <x:v>Z-Fold Case for iPad Air 4/5 and iPad Pro 11 (2018-2022)</x:v>
      </x:c>
      <x:c r="J232" s="22" t="str">
        <x:v>iPad Air 4/5, Pro 11</x:v>
      </x:c>
      <x:c r="K232" s="22" t="str">
        <x:v>IPAD-AIR45-PRO11</x:v>
      </x:c>
      <x:c r="L232" s="22" t="str">
        <x:v>iPad Air 4/5 and iPad Pro 11 (2018-2022)</x:v>
      </x:c>
      <x:c r="M232" s="22" t="str">
        <x:v>Approved</x:v>
      </x:c>
      <x:c r="N232" s="22" t="str">
        <x:v>https://dghyt15qon7us.cloudfront.net/images/productTheme/Inventory/small/1643329730.jpg</x:v>
      </x:c>
      <x:c r="O232" s="22" t="str">
        <x:v>https://dghyt15qon7us.cloudfront.net/images/productTheme/Inventory/small/1643329808.jpg</x:v>
      </x:c>
      <x:c r="P232" s="19" t="str">
        <x:v>park-ridge</x:v>
      </x:c>
      <x:c r="Q232" s="20" t="n">
        <x:v>0</x:v>
      </x:c>
      <x:c r="R232" s="20" t="n">
        <x:f>MAX(0,Q232)</x:f>
        <x:v>0</x:v>
      </x:c>
      <x:c r="S232" s="21" t="n">
        <x:v>10</x:v>
      </x:c>
      <x:c r="T232" s="21" t="n">
        <x:f>IF(OR(F232="Hard Case",F232="Bubble Hard Case"),15,IF(F232="Twist Leather Case",5,IF(F232="Z-Fold Case",4,IFERROR(VLOOKUP(B232,'Cost Overrides'!$A$2:$B$17,2,FALSE),S232))))</x:f>
        <x:v>4</x:v>
      </x:c>
      <x:c r="U232" s="21" t="str">
        <x:f>IF(OR(F232="Hard Case",F232="Bubble Hard Case"),"Confirmed: Hard Case",IF(F232="Twist Leather Case","Confirmed: Twist Leather Case",IF(F232="Z-Fold Case","Confirmed: Z-Fold Case",IF(COUNTIF('Cost Overrides'!$A$2:$A$17,B232)&gt;0,"Confirmed: Owner cost override",IF(S232&lt;=0,"Needs cost","Source cost")))))</x:f>
        <x:v>Confirmed: Z-Fold Case</x:v>
      </x:c>
      <x:c r="V232" s="21" t="n">
        <x:v>39.95</x:v>
      </x:c>
      <x:c r="W232" s="21" t="n">
        <x:f>V232</x:f>
        <x:v>39.95</x:v>
      </x:c>
      <x:c r="X232" s="19" t="str">
        <x:v>NO</x:v>
      </x:c>
      <x:c r="Y232" s="19" t="str">
        <x:v>NO</x:v>
      </x:c>
      <x:c r="Z232" s="19" t="str">
        <x:v>42456140</x:v>
      </x:c>
      <x:c r="AA232" s="19" t="str">
        <x:v>50748776</x:v>
      </x:c>
      <x:c r="AB232" s="22" t="str">
        <x:f>IF(OR(M232&lt;&gt;"Approved",U232="Needs cost",O232=""),"Needs review","Ready after approval")</x:f>
        <x:v>Ready after approval</x:v>
      </x:c>
      <x:c r="AC232" s="22" t="str"/>
    </x:row>
    <x:row r="233">
      <x:c r="A233" s="19" t="str">
        <x:v>6429</x:v>
      </x:c>
      <x:c r="B233" s="19" t="str">
        <x:v>TM8-TAB-6429</x:v>
      </x:c>
      <x:c r="C233" s="19" t="str">
        <x:v>2999000064298</x:v>
      </x:c>
      <x:c r="D233" s="22" t="str">
        <x:v>iPad Hard Case mini 6 Red</x:v>
      </x:c>
      <x:c r="E233" s="22" t="str">
        <x:v>Hard Case for iPad mini 6 - Red</x:v>
      </x:c>
      <x:c r="F233" s="22" t="str">
        <x:v>Hard Case</x:v>
      </x:c>
      <x:c r="G233" s="22" t="str">
        <x:v>Red</x:v>
      </x:c>
      <x:c r="H233" s="22" t="str">
        <x:v>TM8-GRP-IPAD-MINI6-HDC</x:v>
      </x:c>
      <x:c r="I233" s="22" t="str">
        <x:v>Hard Case for iPad mini 6</x:v>
      </x:c>
      <x:c r="J233" s="22" t="str">
        <x:v>iPad mini 6</x:v>
      </x:c>
      <x:c r="K233" s="22" t="str">
        <x:v>IPAD-MINI6</x:v>
      </x:c>
      <x:c r="L233" s="22" t="str">
        <x:v>iPad mini 6</x:v>
      </x:c>
      <x:c r="M233" s="22" t="str">
        <x:v>Proposed</x:v>
      </x:c>
      <x:c r="N233" s="22" t="str">
        <x:v>https://dghyt15qon7us.cloudfront.net/images/productTheme/Inventory/small/1643329125.jpg</x:v>
      </x:c>
      <x:c r="O233" s="22" t="str">
        <x:v>https://dghyt15qon7us.cloudfront.net/images/productTheme/Inventory/small/1643166032.jpg</x:v>
      </x:c>
      <x:c r="P233" s="19" t="str">
        <x:v>park-ridge</x:v>
      </x:c>
      <x:c r="Q233" s="20" t="n">
        <x:v>3</x:v>
      </x:c>
      <x:c r="R233" s="20" t="n">
        <x:f>MAX(0,Q233)</x:f>
        <x:v>3</x:v>
      </x:c>
      <x:c r="S233" s="21" t="n">
        <x:v>19.5</x:v>
      </x:c>
      <x:c r="T233" s="21" t="n">
        <x:f>IF(OR(F233="Hard Case",F233="Bubble Hard Case"),15,IF(F233="Twist Leather Case",5,IF(F233="Z-Fold Case",4,IFERROR(VLOOKUP(B233,'Cost Overrides'!$A$2:$B$17,2,FALSE),S233))))</x:f>
        <x:v>15</x:v>
      </x:c>
      <x:c r="U233" s="21" t="str">
        <x:f>IF(OR(F233="Hard Case",F233="Bubble Hard Case"),"Confirmed: Hard Case",IF(F233="Twist Leather Case","Confirmed: Twist Leather Case",IF(F233="Z-Fold Case","Confirmed: Z-Fold Case",IF(COUNTIF('Cost Overrides'!$A$2:$A$17,B233)&gt;0,"Confirmed: Owner cost override",IF(S233&lt;=0,"Needs cost","Source cost")))))</x:f>
        <x:v>Confirmed: Hard Case</x:v>
      </x:c>
      <x:c r="V233" s="21" t="n">
        <x:v>49.95</x:v>
      </x:c>
      <x:c r="W233" s="21" t="n">
        <x:f>V233</x:f>
        <x:v>49.95</x:v>
      </x:c>
      <x:c r="X233" s="19" t="str">
        <x:v>NO</x:v>
      </x:c>
      <x:c r="Y233" s="19" t="str">
        <x:v>NO</x:v>
      </x:c>
      <x:c r="Z233" s="19" t="str">
        <x:v>42456139</x:v>
      </x:c>
      <x:c r="AA233" s="19" t="str">
        <x:v>50748775</x:v>
      </x:c>
      <x:c r="AB233" s="22" t="str">
        <x:f>IF(OR(M233&lt;&gt;"Approved",U233="Needs cost",O233=""),"Needs review","Ready after approval")</x:f>
        <x:v>Needs review</x:v>
      </x:c>
      <x:c r="AC233" s="22" t="str"/>
    </x:row>
    <x:row r="234">
      <x:c r="A234" s="19" t="str">
        <x:v>6428</x:v>
      </x:c>
      <x:c r="B234" s="19" t="str">
        <x:v>TM8-TAB-6428</x:v>
      </x:c>
      <x:c r="C234" s="19" t="str">
        <x:v>2999000064281</x:v>
      </x:c>
      <x:c r="D234" s="22" t="str">
        <x:v>iPad Z-Fold Case Air 4/5 , Por 11 Gray</x:v>
      </x:c>
      <x:c r="E234" s="22" t="str">
        <x:v>Z-Fold Case for iPad Air 4/5 and iPad Pro 11 (2018-2022) - Grey</x:v>
      </x:c>
      <x:c r="F234" s="22" t="str">
        <x:v>Z-Fold Case</x:v>
      </x:c>
      <x:c r="G234" s="22" t="str">
        <x:v>Grey</x:v>
      </x:c>
      <x:c r="H234" s="22" t="str">
        <x:v>TM8-GRP-IPAD-AIR45-PRO11-ZFD</x:v>
      </x:c>
      <x:c r="I234" s="22" t="str">
        <x:v>Z-Fold Case for iPad Air 4/5 and iPad Pro 11 (2018-2022)</x:v>
      </x:c>
      <x:c r="J234" s="22" t="str">
        <x:v>iPad Air 4/5, Pro 11</x:v>
      </x:c>
      <x:c r="K234" s="22" t="str">
        <x:v>IPAD-AIR45-PRO11</x:v>
      </x:c>
      <x:c r="L234" s="22" t="str">
        <x:v>iPad Air 4/5 and iPad Pro 11 (2018-2022)</x:v>
      </x:c>
      <x:c r="M234" s="22" t="str">
        <x:v>Approved</x:v>
      </x:c>
      <x:c r="N234" s="22" t="str">
        <x:v>https://dghyt15qon7us.cloudfront.net/images/productTheme/Inventory/small/165076362542456138.jpg</x:v>
      </x:c>
      <x:c r="O234" s="22" t="str">
        <x:v>https://dghyt15qon7us.cloudfront.net/images/productTheme/Inventory/small/1643329808.jpg</x:v>
      </x:c>
      <x:c r="P234" s="19" t="str">
        <x:v>park-ridge</x:v>
      </x:c>
      <x:c r="Q234" s="20" t="n">
        <x:v>2</x:v>
      </x:c>
      <x:c r="R234" s="20" t="n">
        <x:f>MAX(0,Q234)</x:f>
        <x:v>2</x:v>
      </x:c>
      <x:c r="S234" s="21" t="n">
        <x:v>10</x:v>
      </x:c>
      <x:c r="T234" s="21" t="n">
        <x:f>IF(OR(F234="Hard Case",F234="Bubble Hard Case"),15,IF(F234="Twist Leather Case",5,IF(F234="Z-Fold Case",4,IFERROR(VLOOKUP(B234,'Cost Overrides'!$A$2:$B$17,2,FALSE),S234))))</x:f>
        <x:v>4</x:v>
      </x:c>
      <x:c r="U234" s="21" t="str">
        <x:f>IF(OR(F234="Hard Case",F234="Bubble Hard Case"),"Confirmed: Hard Case",IF(F234="Twist Leather Case","Confirmed: Twist Leather Case",IF(F234="Z-Fold Case","Confirmed: Z-Fold Case",IF(COUNTIF('Cost Overrides'!$A$2:$A$17,B234)&gt;0,"Confirmed: Owner cost override",IF(S234&lt;=0,"Needs cost","Source cost")))))</x:f>
        <x:v>Confirmed: Z-Fold Case</x:v>
      </x:c>
      <x:c r="V234" s="21" t="n">
        <x:v>39.95</x:v>
      </x:c>
      <x:c r="W234" s="21" t="n">
        <x:f>V234</x:f>
        <x:v>39.95</x:v>
      </x:c>
      <x:c r="X234" s="19" t="str">
        <x:v>NO</x:v>
      </x:c>
      <x:c r="Y234" s="19" t="str">
        <x:v>NO</x:v>
      </x:c>
      <x:c r="Z234" s="19" t="str">
        <x:v>42456138</x:v>
      </x:c>
      <x:c r="AA234" s="19" t="str">
        <x:v>50748774</x:v>
      </x:c>
      <x:c r="AB234" s="22" t="str">
        <x:f>IF(OR(M234&lt;&gt;"Approved",U234="Needs cost",O234=""),"Needs review","Ready after approval")</x:f>
        <x:v>Ready after approval</x:v>
      </x:c>
      <x:c r="AC234" s="22" t="str"/>
    </x:row>
    <x:row r="235">
      <x:c r="A235" s="19" t="str">
        <x:v>6427</x:v>
      </x:c>
      <x:c r="B235" s="19" t="str">
        <x:v>TM8-TAB-6427</x:v>
      </x:c>
      <x:c r="C235" s="19" t="str">
        <x:v>2999000064274</x:v>
      </x:c>
      <x:c r="D235" s="22" t="str">
        <x:v>iPad Z-Fold Case Air 4/5 , Por 11 Purple</x:v>
      </x:c>
      <x:c r="E235" s="22" t="str">
        <x:v>Z-Fold Case for iPad Air 4/5 and iPad Pro 11 (2018-2022) - Purple</x:v>
      </x:c>
      <x:c r="F235" s="22" t="str">
        <x:v>Z-Fold Case</x:v>
      </x:c>
      <x:c r="G235" s="22" t="str">
        <x:v>Purple</x:v>
      </x:c>
      <x:c r="H235" s="22" t="str">
        <x:v>TM8-GRP-IPAD-AIR45-PRO11-ZFD</x:v>
      </x:c>
      <x:c r="I235" s="22" t="str">
        <x:v>Z-Fold Case for iPad Air 4/5 and iPad Pro 11 (2018-2022)</x:v>
      </x:c>
      <x:c r="J235" s="22" t="str">
        <x:v>iPad Air 4/5, Pro 11</x:v>
      </x:c>
      <x:c r="K235" s="22" t="str">
        <x:v>IPAD-AIR45-PRO11</x:v>
      </x:c>
      <x:c r="L235" s="22" t="str">
        <x:v>iPad Air 4/5 and iPad Pro 11 (2018-2022)</x:v>
      </x:c>
      <x:c r="M235" s="22" t="str">
        <x:v>Approved</x:v>
      </x:c>
      <x:c r="N235" s="22" t="str">
        <x:v>https://dghyt15qon7us.cloudfront.net/images/productTheme/Inventory/small/1643172544.jpg</x:v>
      </x:c>
      <x:c r="O235" s="22" t="str">
        <x:v>https://dghyt15qon7us.cloudfront.net/images/productTheme/Inventory/small/1643329808.jpg</x:v>
      </x:c>
      <x:c r="P235" s="19" t="str">
        <x:v>park-ridge</x:v>
      </x:c>
      <x:c r="Q235" s="20" t="n">
        <x:v>1</x:v>
      </x:c>
      <x:c r="R235" s="20" t="n">
        <x:f>MAX(0,Q235)</x:f>
        <x:v>1</x:v>
      </x:c>
      <x:c r="S235" s="21" t="n">
        <x:v>10</x:v>
      </x:c>
      <x:c r="T235" s="21" t="n">
        <x:f>IF(OR(F235="Hard Case",F235="Bubble Hard Case"),15,IF(F235="Twist Leather Case",5,IF(F235="Z-Fold Case",4,IFERROR(VLOOKUP(B235,'Cost Overrides'!$A$2:$B$17,2,FALSE),S235))))</x:f>
        <x:v>4</x:v>
      </x:c>
      <x:c r="U235" s="21" t="str">
        <x:f>IF(OR(F235="Hard Case",F235="Bubble Hard Case"),"Confirmed: Hard Case",IF(F235="Twist Leather Case","Confirmed: Twist Leather Case",IF(F235="Z-Fold Case","Confirmed: Z-Fold Case",IF(COUNTIF('Cost Overrides'!$A$2:$A$17,B235)&gt;0,"Confirmed: Owner cost override",IF(S235&lt;=0,"Needs cost","Source cost")))))</x:f>
        <x:v>Confirmed: Z-Fold Case</x:v>
      </x:c>
      <x:c r="V235" s="21" t="n">
        <x:v>39.95</x:v>
      </x:c>
      <x:c r="W235" s="21" t="n">
        <x:f>V235</x:f>
        <x:v>39.95</x:v>
      </x:c>
      <x:c r="X235" s="19" t="str">
        <x:v>NO</x:v>
      </x:c>
      <x:c r="Y235" s="19" t="str">
        <x:v>NO</x:v>
      </x:c>
      <x:c r="Z235" s="19" t="str">
        <x:v>42456137</x:v>
      </x:c>
      <x:c r="AA235" s="19" t="str">
        <x:v>50748773</x:v>
      </x:c>
      <x:c r="AB235" s="22" t="str">
        <x:f>IF(OR(M235&lt;&gt;"Approved",U235="Needs cost",O235=""),"Needs review","Ready after approval")</x:f>
        <x:v>Ready after approval</x:v>
      </x:c>
      <x:c r="AC235" s="22" t="str"/>
    </x:row>
    <x:row r="236">
      <x:c r="A236" s="19" t="str">
        <x:v>6425</x:v>
      </x:c>
      <x:c r="B236" s="19" t="str">
        <x:v>TM8-TAB-6425</x:v>
      </x:c>
      <x:c r="C236" s="19" t="str">
        <x:v>2999000064250</x:v>
      </x:c>
      <x:c r="D236" s="22" t="str">
        <x:v>iPad Z-Fold Case 10.2 Inch Yellow</x:v>
      </x:c>
      <x:c r="E236" s="22" t="str">
        <x:v>Z-Fold Case for iPad 10.2-inch (Gen 7/8/9) - Yellow</x:v>
      </x:c>
      <x:c r="F236" s="22" t="str">
        <x:v>Z-Fold Case</x:v>
      </x:c>
      <x:c r="G236" s="22" t="str">
        <x:v>Yellow</x:v>
      </x:c>
      <x:c r="H236" s="22" t="str">
        <x:v>TM8-GRP-IPAD-102-GEN789-ZFD</x:v>
      </x:c>
      <x:c r="I236" s="22" t="str">
        <x:v>Z-Fold Case for iPad 10.2-inch (Gen 7/8/9)</x:v>
      </x:c>
      <x:c r="J236" s="22" t="str">
        <x:v>iPad 10.2 Inch</x:v>
      </x:c>
      <x:c r="K236" s="22" t="str">
        <x:v>IPAD-102-GEN789</x:v>
      </x:c>
      <x:c r="L236" s="22" t="str">
        <x:v>iPad 10.2-inch (Gen 7/8/9)</x:v>
      </x:c>
      <x:c r="M236" s="22" t="str">
        <x:v>Proposed</x:v>
      </x:c>
      <x:c r="N236" s="22" t="str">
        <x:v>https://dghyt15qon7us.cloudfront.net/images/productTheme/Inventory/small/1643172477.jpg</x:v>
      </x:c>
      <x:c r="O236" s="22" t="str">
        <x:v>https://dghyt15qon7us.cloudfront.net/images/productTheme/Inventory/small/1643172433.jpg</x:v>
      </x:c>
      <x:c r="P236" s="19" t="str">
        <x:v>park-ridge</x:v>
      </x:c>
      <x:c r="Q236" s="20" t="n">
        <x:v>0</x:v>
      </x:c>
      <x:c r="R236" s="20" t="n">
        <x:f>MAX(0,Q236)</x:f>
        <x:v>0</x:v>
      </x:c>
      <x:c r="S236" s="21" t="n">
        <x:v>10</x:v>
      </x:c>
      <x:c r="T236" s="21" t="n">
        <x:f>IF(OR(F236="Hard Case",F236="Bubble Hard Case"),15,IF(F236="Twist Leather Case",5,IF(F236="Z-Fold Case",4,IFERROR(VLOOKUP(B236,'Cost Overrides'!$A$2:$B$17,2,FALSE),S236))))</x:f>
        <x:v>4</x:v>
      </x:c>
      <x:c r="U236" s="21" t="str">
        <x:f>IF(OR(F236="Hard Case",F236="Bubble Hard Case"),"Confirmed: Hard Case",IF(F236="Twist Leather Case","Confirmed: Twist Leather Case",IF(F236="Z-Fold Case","Confirmed: Z-Fold Case",IF(COUNTIF('Cost Overrides'!$A$2:$A$17,B236)&gt;0,"Confirmed: Owner cost override",IF(S236&lt;=0,"Needs cost","Source cost")))))</x:f>
        <x:v>Confirmed: Z-Fold Case</x:v>
      </x:c>
      <x:c r="V236" s="21" t="n">
        <x:v>39.95</x:v>
      </x:c>
      <x:c r="W236" s="21" t="n">
        <x:f>V236</x:f>
        <x:v>39.95</x:v>
      </x:c>
      <x:c r="X236" s="19" t="str">
        <x:v>NO</x:v>
      </x:c>
      <x:c r="Y236" s="19" t="str">
        <x:v>NO</x:v>
      </x:c>
      <x:c r="Z236" s="19" t="str">
        <x:v>42456135</x:v>
      </x:c>
      <x:c r="AA236" s="19" t="str">
        <x:v>50748771</x:v>
      </x:c>
      <x:c r="AB236" s="22" t="str">
        <x:f>IF(OR(M236&lt;&gt;"Approved",U236="Needs cost",O236=""),"Needs review","Ready after approval")</x:f>
        <x:v>Needs review</x:v>
      </x:c>
      <x:c r="AC236" s="22" t="str"/>
    </x:row>
    <x:row r="237">
      <x:c r="A237" s="19" t="str">
        <x:v>6424</x:v>
      </x:c>
      <x:c r="B237" s="19" t="str">
        <x:v>TM8-TAB-6424</x:v>
      </x:c>
      <x:c r="C237" s="19" t="str">
        <x:v>2999000064243</x:v>
      </x:c>
      <x:c r="D237" s="22" t="str">
        <x:v>iPad Z-Fold Case 10.2 Inch Black</x:v>
      </x:c>
      <x:c r="E237" s="22" t="str">
        <x:v>Z-Fold Case for iPad 10.2-inch (Gen 7/8/9) - Black</x:v>
      </x:c>
      <x:c r="F237" s="22" t="str">
        <x:v>Z-Fold Case</x:v>
      </x:c>
      <x:c r="G237" s="22" t="str">
        <x:v>Black</x:v>
      </x:c>
      <x:c r="H237" s="22" t="str">
        <x:v>TM8-GRP-IPAD-102-GEN789-ZFD</x:v>
      </x:c>
      <x:c r="I237" s="22" t="str">
        <x:v>Z-Fold Case for iPad 10.2-inch (Gen 7/8/9)</x:v>
      </x:c>
      <x:c r="J237" s="22" t="str">
        <x:v>iPad 10.2 Inch</x:v>
      </x:c>
      <x:c r="K237" s="22" t="str">
        <x:v>IPAD-102-GEN789</x:v>
      </x:c>
      <x:c r="L237" s="22" t="str">
        <x:v>iPad 10.2-inch (Gen 7/8/9)</x:v>
      </x:c>
      <x:c r="M237" s="22" t="str">
        <x:v>Proposed</x:v>
      </x:c>
      <x:c r="N237" s="22" t="str">
        <x:v>https://dghyt15qon7us.cloudfront.net/images/productTheme/Inventory/small/1643172433.jpg</x:v>
      </x:c>
      <x:c r="O237" s="22" t="str">
        <x:v>https://dghyt15qon7us.cloudfront.net/images/productTheme/Inventory/small/1643172433.jpg</x:v>
      </x:c>
      <x:c r="P237" s="19" t="str">
        <x:v>park-ridge</x:v>
      </x:c>
      <x:c r="Q237" s="20" t="n">
        <x:v>1</x:v>
      </x:c>
      <x:c r="R237" s="20" t="n">
        <x:f>MAX(0,Q237)</x:f>
        <x:v>1</x:v>
      </x:c>
      <x:c r="S237" s="21" t="n">
        <x:v>10</x:v>
      </x:c>
      <x:c r="T237" s="21" t="n">
        <x:f>IF(OR(F237="Hard Case",F237="Bubble Hard Case"),15,IF(F237="Twist Leather Case",5,IF(F237="Z-Fold Case",4,IFERROR(VLOOKUP(B237,'Cost Overrides'!$A$2:$B$17,2,FALSE),S237))))</x:f>
        <x:v>4</x:v>
      </x:c>
      <x:c r="U237" s="21" t="str">
        <x:f>IF(OR(F237="Hard Case",F237="Bubble Hard Case"),"Confirmed: Hard Case",IF(F237="Twist Leather Case","Confirmed: Twist Leather Case",IF(F237="Z-Fold Case","Confirmed: Z-Fold Case",IF(COUNTIF('Cost Overrides'!$A$2:$A$17,B237)&gt;0,"Confirmed: Owner cost override",IF(S237&lt;=0,"Needs cost","Source cost")))))</x:f>
        <x:v>Confirmed: Z-Fold Case</x:v>
      </x:c>
      <x:c r="V237" s="21" t="n">
        <x:v>39.95</x:v>
      </x:c>
      <x:c r="W237" s="21" t="n">
        <x:f>V237</x:f>
        <x:v>39.95</x:v>
      </x:c>
      <x:c r="X237" s="19" t="str">
        <x:v>NO</x:v>
      </x:c>
      <x:c r="Y237" s="19" t="str">
        <x:v>NO</x:v>
      </x:c>
      <x:c r="Z237" s="19" t="str">
        <x:v>42456134</x:v>
      </x:c>
      <x:c r="AA237" s="19" t="str">
        <x:v>50748770</x:v>
      </x:c>
      <x:c r="AB237" s="22" t="str">
        <x:f>IF(OR(M237&lt;&gt;"Approved",U237="Needs cost",O237=""),"Needs review","Ready after approval")</x:f>
        <x:v>Needs review</x:v>
      </x:c>
      <x:c r="AC237" s="22" t="str"/>
    </x:row>
    <x:row r="238">
      <x:c r="A238" s="19" t="str">
        <x:v>6423</x:v>
      </x:c>
      <x:c r="B238" s="19" t="str">
        <x:v>TM8-TAB-6423</x:v>
      </x:c>
      <x:c r="C238" s="19" t="str">
        <x:v>2999000064236</x:v>
      </x:c>
      <x:c r="D238" s="22" t="str">
        <x:v>iPad Z-Fold Case 10.2 Inch Pink</x:v>
      </x:c>
      <x:c r="E238" s="22" t="str">
        <x:v>Z-Fold Case for iPad 10.2-inch (Gen 7/8/9) - Pink</x:v>
      </x:c>
      <x:c r="F238" s="22" t="str">
        <x:v>Z-Fold Case</x:v>
      </x:c>
      <x:c r="G238" s="22" t="str">
        <x:v>Pink</x:v>
      </x:c>
      <x:c r="H238" s="22" t="str">
        <x:v>TM8-GRP-IPAD-102-GEN789-ZFD</x:v>
      </x:c>
      <x:c r="I238" s="22" t="str">
        <x:v>Z-Fold Case for iPad 10.2-inch (Gen 7/8/9)</x:v>
      </x:c>
      <x:c r="J238" s="22" t="str">
        <x:v>iPad 10.2 Inch</x:v>
      </x:c>
      <x:c r="K238" s="22" t="str">
        <x:v>IPAD-102-GEN789</x:v>
      </x:c>
      <x:c r="L238" s="22" t="str">
        <x:v>iPad 10.2-inch (Gen 7/8/9)</x:v>
      </x:c>
      <x:c r="M238" s="22" t="str">
        <x:v>Proposed</x:v>
      </x:c>
      <x:c r="N238" s="22" t="str">
        <x:v>https://dghyt15qon7us.cloudfront.net/images/productTheme/Inventory/small/1643172407.jpg</x:v>
      </x:c>
      <x:c r="O238" s="22" t="str">
        <x:v>https://dghyt15qon7us.cloudfront.net/images/productTheme/Inventory/small/1643172433.jpg</x:v>
      </x:c>
      <x:c r="P238" s="19" t="str">
        <x:v>park-ridge</x:v>
      </x:c>
      <x:c r="Q238" s="20" t="n">
        <x:v>3</x:v>
      </x:c>
      <x:c r="R238" s="20" t="n">
        <x:f>MAX(0,Q238)</x:f>
        <x:v>3</x:v>
      </x:c>
      <x:c r="S238" s="21" t="n">
        <x:v>10</x:v>
      </x:c>
      <x:c r="T238" s="21" t="n">
        <x:f>IF(OR(F238="Hard Case",F238="Bubble Hard Case"),15,IF(F238="Twist Leather Case",5,IF(F238="Z-Fold Case",4,IFERROR(VLOOKUP(B238,'Cost Overrides'!$A$2:$B$17,2,FALSE),S238))))</x:f>
        <x:v>4</x:v>
      </x:c>
      <x:c r="U238" s="21" t="str">
        <x:f>IF(OR(F238="Hard Case",F238="Bubble Hard Case"),"Confirmed: Hard Case",IF(F238="Twist Leather Case","Confirmed: Twist Leather Case",IF(F238="Z-Fold Case","Confirmed: Z-Fold Case",IF(COUNTIF('Cost Overrides'!$A$2:$A$17,B238)&gt;0,"Confirmed: Owner cost override",IF(S238&lt;=0,"Needs cost","Source cost")))))</x:f>
        <x:v>Confirmed: Z-Fold Case</x:v>
      </x:c>
      <x:c r="V238" s="21" t="n">
        <x:v>39.95</x:v>
      </x:c>
      <x:c r="W238" s="21" t="n">
        <x:f>V238</x:f>
        <x:v>39.95</x:v>
      </x:c>
      <x:c r="X238" s="19" t="str">
        <x:v>NO</x:v>
      </x:c>
      <x:c r="Y238" s="19" t="str">
        <x:v>NO</x:v>
      </x:c>
      <x:c r="Z238" s="19" t="str">
        <x:v>42456133</x:v>
      </x:c>
      <x:c r="AA238" s="19" t="str">
        <x:v>50748769</x:v>
      </x:c>
      <x:c r="AB238" s="22" t="str">
        <x:f>IF(OR(M238&lt;&gt;"Approved",U238="Needs cost",O238=""),"Needs review","Ready after approval")</x:f>
        <x:v>Needs review</x:v>
      </x:c>
      <x:c r="AC238" s="22" t="str"/>
    </x:row>
    <x:row r="239">
      <x:c r="A239" s="19" t="str">
        <x:v>6422</x:v>
      </x:c>
      <x:c r="B239" s="19" t="str">
        <x:v>TM8-TAB-6422</x:v>
      </x:c>
      <x:c r="C239" s="19" t="str">
        <x:v>2999000064229</x:v>
      </x:c>
      <x:c r="D239" s="22" t="str">
        <x:v>iPad Z-Fold Case 10.2 Inch Navy</x:v>
      </x:c>
      <x:c r="E239" s="22" t="str">
        <x:v>Z-Fold Case for iPad 10.2-inch (Gen 7/8/9)</x:v>
      </x:c>
      <x:c r="F239" s="22" t="str">
        <x:v>Z-Fold Case</x:v>
      </x:c>
      <x:c r="G239" s="22" t="str">
        <x:v>Unspecified</x:v>
      </x:c>
      <x:c r="H239" s="22" t="str">
        <x:v>TM8-GRP-IPAD-102-GEN789-ZFD</x:v>
      </x:c>
      <x:c r="I239" s="22" t="str">
        <x:v>Z-Fold Case for iPad 10.2-inch (Gen 7/8/9)</x:v>
      </x:c>
      <x:c r="J239" s="22" t="str">
        <x:v>iPad 10.2 Inch</x:v>
      </x:c>
      <x:c r="K239" s="22" t="str">
        <x:v>IPAD-102-GEN789</x:v>
      </x:c>
      <x:c r="L239" s="22" t="str">
        <x:v>iPad 10.2-inch (Gen 7/8/9)</x:v>
      </x:c>
      <x:c r="M239" s="22" t="str">
        <x:v>Proposed</x:v>
      </x:c>
      <x:c r="N239" s="22" t="str"/>
      <x:c r="O239" s="22" t="str">
        <x:v>https://dghyt15qon7us.cloudfront.net/images/productTheme/Inventory/small/1643172433.jpg</x:v>
      </x:c>
      <x:c r="P239" s="19" t="str">
        <x:v>park-ridge</x:v>
      </x:c>
      <x:c r="Q239" s="20" t="n">
        <x:v>0</x:v>
      </x:c>
      <x:c r="R239" s="20" t="n">
        <x:f>MAX(0,Q239)</x:f>
        <x:v>0</x:v>
      </x:c>
      <x:c r="S239" s="21" t="n">
        <x:v>10</x:v>
      </x:c>
      <x:c r="T239" s="21" t="n">
        <x:f>IF(OR(F239="Hard Case",F239="Bubble Hard Case"),15,IF(F239="Twist Leather Case",5,IF(F239="Z-Fold Case",4,IFERROR(VLOOKUP(B239,'Cost Overrides'!$A$2:$B$17,2,FALSE),S239))))</x:f>
        <x:v>4</x:v>
      </x:c>
      <x:c r="U239" s="21" t="str">
        <x:f>IF(OR(F239="Hard Case",F239="Bubble Hard Case"),"Confirmed: Hard Case",IF(F239="Twist Leather Case","Confirmed: Twist Leather Case",IF(F239="Z-Fold Case","Confirmed: Z-Fold Case",IF(COUNTIF('Cost Overrides'!$A$2:$A$17,B239)&gt;0,"Confirmed: Owner cost override",IF(S239&lt;=0,"Needs cost","Source cost")))))</x:f>
        <x:v>Confirmed: Z-Fold Case</x:v>
      </x:c>
      <x:c r="V239" s="21" t="n">
        <x:v>39.95</x:v>
      </x:c>
      <x:c r="W239" s="21" t="n">
        <x:f>V239</x:f>
        <x:v>39.95</x:v>
      </x:c>
      <x:c r="X239" s="19" t="str">
        <x:v>NO</x:v>
      </x:c>
      <x:c r="Y239" s="19" t="str">
        <x:v>NO</x:v>
      </x:c>
      <x:c r="Z239" s="19" t="str"/>
      <x:c r="AA239" s="19" t="str"/>
      <x:c r="AB239" s="22" t="str">
        <x:f>IF(OR(M239&lt;&gt;"Approved",U239="Needs cost",O239=""),"Needs review","Ready after approval")</x:f>
        <x:v>Needs review</x:v>
      </x:c>
      <x:c r="AC239" s="22" t="str">
        <x:v>Variant image missing; group image fallback used where available.</x:v>
      </x:c>
    </x:row>
    <x:row r="240">
      <x:c r="A240" s="19" t="str">
        <x:v>6421</x:v>
      </x:c>
      <x:c r="B240" s="19" t="str">
        <x:v>TM8-TAB-6421</x:v>
      </x:c>
      <x:c r="C240" s="19" t="str">
        <x:v>2999000064212</x:v>
      </x:c>
      <x:c r="D240" s="22" t="str">
        <x:v>iPad Z-Fold Case 10.2 Inch Green</x:v>
      </x:c>
      <x:c r="E240" s="22" t="str">
        <x:v>Z-Fold Case for iPad 10.2-inch (Gen 7/8/9) - Green</x:v>
      </x:c>
      <x:c r="F240" s="22" t="str">
        <x:v>Z-Fold Case</x:v>
      </x:c>
      <x:c r="G240" s="22" t="str">
        <x:v>Green</x:v>
      </x:c>
      <x:c r="H240" s="22" t="str">
        <x:v>TM8-GRP-IPAD-102-GEN789-ZFD</x:v>
      </x:c>
      <x:c r="I240" s="22" t="str">
        <x:v>Z-Fold Case for iPad 10.2-inch (Gen 7/8/9)</x:v>
      </x:c>
      <x:c r="J240" s="22" t="str">
        <x:v>iPad 10.2 Inch</x:v>
      </x:c>
      <x:c r="K240" s="22" t="str">
        <x:v>IPAD-102-GEN789</x:v>
      </x:c>
      <x:c r="L240" s="22" t="str">
        <x:v>iPad 10.2-inch (Gen 7/8/9)</x:v>
      </x:c>
      <x:c r="M240" s="22" t="str">
        <x:v>Proposed</x:v>
      </x:c>
      <x:c r="N240" s="22" t="str">
        <x:v>https://dghyt15qon7us.cloudfront.net/images/productTheme/Inventory/small/1643172346.jpg</x:v>
      </x:c>
      <x:c r="O240" s="22" t="str">
        <x:v>https://dghyt15qon7us.cloudfront.net/images/productTheme/Inventory/small/1643172433.jpg</x:v>
      </x:c>
      <x:c r="P240" s="19" t="str">
        <x:v>park-ridge</x:v>
      </x:c>
      <x:c r="Q240" s="20" t="n">
        <x:v>1</x:v>
      </x:c>
      <x:c r="R240" s="20" t="n">
        <x:f>MAX(0,Q240)</x:f>
        <x:v>1</x:v>
      </x:c>
      <x:c r="S240" s="21" t="n">
        <x:v>10</x:v>
      </x:c>
      <x:c r="T240" s="21" t="n">
        <x:f>IF(OR(F240="Hard Case",F240="Bubble Hard Case"),15,IF(F240="Twist Leather Case",5,IF(F240="Z-Fold Case",4,IFERROR(VLOOKUP(B240,'Cost Overrides'!$A$2:$B$17,2,FALSE),S240))))</x:f>
        <x:v>4</x:v>
      </x:c>
      <x:c r="U240" s="21" t="str">
        <x:f>IF(OR(F240="Hard Case",F240="Bubble Hard Case"),"Confirmed: Hard Case",IF(F240="Twist Leather Case","Confirmed: Twist Leather Case",IF(F240="Z-Fold Case","Confirmed: Z-Fold Case",IF(COUNTIF('Cost Overrides'!$A$2:$A$17,B240)&gt;0,"Confirmed: Owner cost override",IF(S240&lt;=0,"Needs cost","Source cost")))))</x:f>
        <x:v>Confirmed: Z-Fold Case</x:v>
      </x:c>
      <x:c r="V240" s="21" t="n">
        <x:v>39.95</x:v>
      </x:c>
      <x:c r="W240" s="21" t="n">
        <x:f>V240</x:f>
        <x:v>39.95</x:v>
      </x:c>
      <x:c r="X240" s="19" t="str">
        <x:v>NO</x:v>
      </x:c>
      <x:c r="Y240" s="19" t="str">
        <x:v>NO</x:v>
      </x:c>
      <x:c r="Z240" s="19" t="str">
        <x:v>42456131</x:v>
      </x:c>
      <x:c r="AA240" s="19" t="str">
        <x:v>50748767</x:v>
      </x:c>
      <x:c r="AB240" s="22" t="str">
        <x:f>IF(OR(M240&lt;&gt;"Approved",U240="Needs cost",O240=""),"Needs review","Ready after approval")</x:f>
        <x:v>Needs review</x:v>
      </x:c>
      <x:c r="AC240" s="22" t="str"/>
    </x:row>
    <x:row r="241">
      <x:c r="A241" s="19" t="str">
        <x:v>6420</x:v>
      </x:c>
      <x:c r="B241" s="19" t="str">
        <x:v>TM8-TAB-6420</x:v>
      </x:c>
      <x:c r="C241" s="19" t="str">
        <x:v>2999000064205</x:v>
      </x:c>
      <x:c r="D241" s="22" t="str">
        <x:v>iPad Z-Fold Case 10.2 Inch Gray</x:v>
      </x:c>
      <x:c r="E241" s="22" t="str">
        <x:v>Z-Fold Case for iPad 10.2-inch (Gen 7/8/9) - Grey</x:v>
      </x:c>
      <x:c r="F241" s="22" t="str">
        <x:v>Z-Fold Case</x:v>
      </x:c>
      <x:c r="G241" s="22" t="str">
        <x:v>Grey</x:v>
      </x:c>
      <x:c r="H241" s="22" t="str">
        <x:v>TM8-GRP-IPAD-102-GEN789-ZFD</x:v>
      </x:c>
      <x:c r="I241" s="22" t="str">
        <x:v>Z-Fold Case for iPad 10.2-inch (Gen 7/8/9)</x:v>
      </x:c>
      <x:c r="J241" s="22" t="str">
        <x:v>iPad 10.2 Inch</x:v>
      </x:c>
      <x:c r="K241" s="22" t="str">
        <x:v>IPAD-102-GEN789</x:v>
      </x:c>
      <x:c r="L241" s="22" t="str">
        <x:v>iPad 10.2-inch (Gen 7/8/9)</x:v>
      </x:c>
      <x:c r="M241" s="22" t="str">
        <x:v>Proposed</x:v>
      </x:c>
      <x:c r="N241" s="22" t="str">
        <x:v>https://dghyt15qon7us.cloudfront.net/images/productTheme/Inventory/small/165076359342456130.jpg</x:v>
      </x:c>
      <x:c r="O241" s="22" t="str">
        <x:v>https://dghyt15qon7us.cloudfront.net/images/productTheme/Inventory/small/1643172433.jpg</x:v>
      </x:c>
      <x:c r="P241" s="19" t="str">
        <x:v>park-ridge</x:v>
      </x:c>
      <x:c r="Q241" s="20" t="n">
        <x:v>1</x:v>
      </x:c>
      <x:c r="R241" s="20" t="n">
        <x:f>MAX(0,Q241)</x:f>
        <x:v>1</x:v>
      </x:c>
      <x:c r="S241" s="21" t="n">
        <x:v>10</x:v>
      </x:c>
      <x:c r="T241" s="21" t="n">
        <x:f>IF(OR(F241="Hard Case",F241="Bubble Hard Case"),15,IF(F241="Twist Leather Case",5,IF(F241="Z-Fold Case",4,IFERROR(VLOOKUP(B241,'Cost Overrides'!$A$2:$B$17,2,FALSE),S241))))</x:f>
        <x:v>4</x:v>
      </x:c>
      <x:c r="U241" s="21" t="str">
        <x:f>IF(OR(F241="Hard Case",F241="Bubble Hard Case"),"Confirmed: Hard Case",IF(F241="Twist Leather Case","Confirmed: Twist Leather Case",IF(F241="Z-Fold Case","Confirmed: Z-Fold Case",IF(COUNTIF('Cost Overrides'!$A$2:$A$17,B241)&gt;0,"Confirmed: Owner cost override",IF(S241&lt;=0,"Needs cost","Source cost")))))</x:f>
        <x:v>Confirmed: Z-Fold Case</x:v>
      </x:c>
      <x:c r="V241" s="21" t="n">
        <x:v>39.95</x:v>
      </x:c>
      <x:c r="W241" s="21" t="n">
        <x:f>V241</x:f>
        <x:v>39.95</x:v>
      </x:c>
      <x:c r="X241" s="19" t="str">
        <x:v>NO</x:v>
      </x:c>
      <x:c r="Y241" s="19" t="str">
        <x:v>NO</x:v>
      </x:c>
      <x:c r="Z241" s="19" t="str">
        <x:v>42456130</x:v>
      </x:c>
      <x:c r="AA241" s="19" t="str">
        <x:v>50748766</x:v>
      </x:c>
      <x:c r="AB241" s="22" t="str">
        <x:f>IF(OR(M241&lt;&gt;"Approved",U241="Needs cost",O241=""),"Needs review","Ready after approval")</x:f>
        <x:v>Needs review</x:v>
      </x:c>
      <x:c r="AC241" s="22" t="str"/>
    </x:row>
    <x:row r="242">
      <x:c r="A242" s="19" t="str">
        <x:v>6419</x:v>
      </x:c>
      <x:c r="B242" s="19" t="str">
        <x:v>TM8-TAB-6419</x:v>
      </x:c>
      <x:c r="C242" s="19" t="str">
        <x:v>2999000064199</x:v>
      </x:c>
      <x:c r="D242" s="22" t="str">
        <x:v>iPad Z-Fold Case 10.2 Inch Purple</x:v>
      </x:c>
      <x:c r="E242" s="22" t="str">
        <x:v>Z-Fold Case for iPad 10.2-inch (Gen 7/8/9) - Purple</x:v>
      </x:c>
      <x:c r="F242" s="22" t="str">
        <x:v>Z-Fold Case</x:v>
      </x:c>
      <x:c r="G242" s="22" t="str">
        <x:v>Purple</x:v>
      </x:c>
      <x:c r="H242" s="22" t="str">
        <x:v>TM8-GRP-IPAD-102-GEN789-ZFD</x:v>
      </x:c>
      <x:c r="I242" s="22" t="str">
        <x:v>Z-Fold Case for iPad 10.2-inch (Gen 7/8/9)</x:v>
      </x:c>
      <x:c r="J242" s="22" t="str">
        <x:v>iPad 10.2 Inch</x:v>
      </x:c>
      <x:c r="K242" s="22" t="str">
        <x:v>IPAD-102-GEN789</x:v>
      </x:c>
      <x:c r="L242" s="22" t="str">
        <x:v>iPad 10.2-inch (Gen 7/8/9)</x:v>
      </x:c>
      <x:c r="M242" s="22" t="str">
        <x:v>Proposed</x:v>
      </x:c>
      <x:c r="N242" s="22" t="str">
        <x:v>https://dghyt15qon7us.cloudfront.net/images/productTheme/Inventory/small/1643172233.jpg</x:v>
      </x:c>
      <x:c r="O242" s="22" t="str">
        <x:v>https://dghyt15qon7us.cloudfront.net/images/productTheme/Inventory/small/1643172433.jpg</x:v>
      </x:c>
      <x:c r="P242" s="19" t="str">
        <x:v>park-ridge</x:v>
      </x:c>
      <x:c r="Q242" s="20" t="n">
        <x:v>2</x:v>
      </x:c>
      <x:c r="R242" s="20" t="n">
        <x:f>MAX(0,Q242)</x:f>
        <x:v>2</x:v>
      </x:c>
      <x:c r="S242" s="21" t="n">
        <x:v>10</x:v>
      </x:c>
      <x:c r="T242" s="21" t="n">
        <x:f>IF(OR(F242="Hard Case",F242="Bubble Hard Case"),15,IF(F242="Twist Leather Case",5,IF(F242="Z-Fold Case",4,IFERROR(VLOOKUP(B242,'Cost Overrides'!$A$2:$B$17,2,FALSE),S242))))</x:f>
        <x:v>4</x:v>
      </x:c>
      <x:c r="U242" s="21" t="str">
        <x:f>IF(OR(F242="Hard Case",F242="Bubble Hard Case"),"Confirmed: Hard Case",IF(F242="Twist Leather Case","Confirmed: Twist Leather Case",IF(F242="Z-Fold Case","Confirmed: Z-Fold Case",IF(COUNTIF('Cost Overrides'!$A$2:$A$17,B242)&gt;0,"Confirmed: Owner cost override",IF(S242&lt;=0,"Needs cost","Source cost")))))</x:f>
        <x:v>Confirmed: Z-Fold Case</x:v>
      </x:c>
      <x:c r="V242" s="21" t="n">
        <x:v>39.95</x:v>
      </x:c>
      <x:c r="W242" s="21" t="n">
        <x:f>V242</x:f>
        <x:v>39.95</x:v>
      </x:c>
      <x:c r="X242" s="19" t="str">
        <x:v>NO</x:v>
      </x:c>
      <x:c r="Y242" s="19" t="str">
        <x:v>NO</x:v>
      </x:c>
      <x:c r="Z242" s="19" t="str">
        <x:v>42456129</x:v>
      </x:c>
      <x:c r="AA242" s="19" t="str">
        <x:v>50748765</x:v>
      </x:c>
      <x:c r="AB242" s="22" t="str">
        <x:f>IF(OR(M242&lt;&gt;"Approved",U242="Needs cost",O242=""),"Needs review","Ready after approval")</x:f>
        <x:v>Needs review</x:v>
      </x:c>
      <x:c r="AC242" s="22" t="str"/>
    </x:row>
    <x:row r="243">
      <x:c r="A243" s="19" t="str">
        <x:v>6417</x:v>
      </x:c>
      <x:c r="B243" s="19" t="str">
        <x:v>TM8-TAB-6417</x:v>
      </x:c>
      <x:c r="C243" s="19" t="str">
        <x:v>2999000064175</x:v>
      </x:c>
      <x:c r="D243" s="22" t="str">
        <x:v>iPad Z-Fold Case 9.7 Inch Yellow</x:v>
      </x:c>
      <x:c r="E243" s="22" t="str">
        <x:v>Z-Fold Case for iPad 9.7-inch (Gen 5/6 and Air 1/2) - Yellow</x:v>
      </x:c>
      <x:c r="F243" s="22" t="str">
        <x:v>Z-Fold Case</x:v>
      </x:c>
      <x:c r="G243" s="22" t="str">
        <x:v>Yellow</x:v>
      </x:c>
      <x:c r="H243" s="22" t="str">
        <x:v>TM8-GRP-IPAD-97-LEGACY-ZFD</x:v>
      </x:c>
      <x:c r="I243" s="22" t="str">
        <x:v>Z-Fold Case for iPad 9.7-inch (Gen 5/6 and Air 1/2)</x:v>
      </x:c>
      <x:c r="J243" s="22" t="str">
        <x:v>iPad 9.7 Inch</x:v>
      </x:c>
      <x:c r="K243" s="22" t="str">
        <x:v>IPAD-97-LEGACY</x:v>
      </x:c>
      <x:c r="L243" s="22" t="str">
        <x:v>iPad 9.7-inch (Gen 5/6 and Air 1/2)</x:v>
      </x:c>
      <x:c r="M243" s="22" t="str">
        <x:v>Approved</x:v>
      </x:c>
      <x:c r="N243" s="22" t="str">
        <x:v>https://dghyt15qon7us.cloudfront.net/images/productTheme/Inventory/small/1682728689.jpg</x:v>
      </x:c>
      <x:c r="O243" s="22" t="str">
        <x:v>https://dghyt15qon7us.cloudfront.net/images/productTheme/Inventory/small/1643172095.jpg</x:v>
      </x:c>
      <x:c r="P243" s="19" t="str">
        <x:v>park-ridge</x:v>
      </x:c>
      <x:c r="Q243" s="20" t="n">
        <x:v>0</x:v>
      </x:c>
      <x:c r="R243" s="20" t="n">
        <x:f>MAX(0,Q243)</x:f>
        <x:v>0</x:v>
      </x:c>
      <x:c r="S243" s="21" t="n">
        <x:v>10</x:v>
      </x:c>
      <x:c r="T243" s="21" t="n">
        <x:f>IF(OR(F243="Hard Case",F243="Bubble Hard Case"),15,IF(F243="Twist Leather Case",5,IF(F243="Z-Fold Case",4,IFERROR(VLOOKUP(B243,'Cost Overrides'!$A$2:$B$17,2,FALSE),S243))))</x:f>
        <x:v>4</x:v>
      </x:c>
      <x:c r="U243" s="21" t="str">
        <x:f>IF(OR(F243="Hard Case",F243="Bubble Hard Case"),"Confirmed: Hard Case",IF(F243="Twist Leather Case","Confirmed: Twist Leather Case",IF(F243="Z-Fold Case","Confirmed: Z-Fold Case",IF(COUNTIF('Cost Overrides'!$A$2:$A$17,B243)&gt;0,"Confirmed: Owner cost override",IF(S243&lt;=0,"Needs cost","Source cost")))))</x:f>
        <x:v>Confirmed: Z-Fold Case</x:v>
      </x:c>
      <x:c r="V243" s="21" t="n">
        <x:v>39.95</x:v>
      </x:c>
      <x:c r="W243" s="21" t="n">
        <x:f>V243</x:f>
        <x:v>39.95</x:v>
      </x:c>
      <x:c r="X243" s="19" t="str">
        <x:v>NO</x:v>
      </x:c>
      <x:c r="Y243" s="19" t="str">
        <x:v>NO</x:v>
      </x:c>
      <x:c r="Z243" s="19" t="str">
        <x:v>42457839</x:v>
      </x:c>
      <x:c r="AA243" s="19" t="str">
        <x:v>50765566</x:v>
      </x:c>
      <x:c r="AB243" s="22" t="str">
        <x:f>IF(OR(M243&lt;&gt;"Approved",U243="Needs cost",O243=""),"Needs review","Ready after approval")</x:f>
        <x:v>Ready after approval</x:v>
      </x:c>
      <x:c r="AC243" s="22" t="str"/>
    </x:row>
    <x:row r="244">
      <x:c r="A244" s="19" t="str">
        <x:v>6416</x:v>
      </x:c>
      <x:c r="B244" s="19" t="str">
        <x:v>TM8-TAB-6416</x:v>
      </x:c>
      <x:c r="C244" s="19" t="str">
        <x:v>2999000064168</x:v>
      </x:c>
      <x:c r="D244" s="22" t="str">
        <x:v>iPad Z-Fold Case 9.7 Inch Black</x:v>
      </x:c>
      <x:c r="E244" s="22" t="str">
        <x:v>Z-Fold Case for iPad 9.7-inch (Gen 5/6 and Air 1/2) - Black</x:v>
      </x:c>
      <x:c r="F244" s="22" t="str">
        <x:v>Z-Fold Case</x:v>
      </x:c>
      <x:c r="G244" s="22" t="str">
        <x:v>Black</x:v>
      </x:c>
      <x:c r="H244" s="22" t="str">
        <x:v>TM8-GRP-IPAD-97-LEGACY-ZFD</x:v>
      </x:c>
      <x:c r="I244" s="22" t="str">
        <x:v>Z-Fold Case for iPad 9.7-inch (Gen 5/6 and Air 1/2)</x:v>
      </x:c>
      <x:c r="J244" s="22" t="str">
        <x:v>iPad 9.7 Inch</x:v>
      </x:c>
      <x:c r="K244" s="22" t="str">
        <x:v>IPAD-97-LEGACY</x:v>
      </x:c>
      <x:c r="L244" s="22" t="str">
        <x:v>iPad 9.7-inch (Gen 5/6 and Air 1/2)</x:v>
      </x:c>
      <x:c r="M244" s="22" t="str">
        <x:v>Approved</x:v>
      </x:c>
      <x:c r="N244" s="22" t="str">
        <x:v>https://dghyt15qon7us.cloudfront.net/images/productTheme/Inventory/small/1643172095.jpg</x:v>
      </x:c>
      <x:c r="O244" s="22" t="str">
        <x:v>https://dghyt15qon7us.cloudfront.net/images/productTheme/Inventory/small/1643172095.jpg</x:v>
      </x:c>
      <x:c r="P244" s="19" t="str">
        <x:v>park-ridge</x:v>
      </x:c>
      <x:c r="Q244" s="20" t="n">
        <x:v>1</x:v>
      </x:c>
      <x:c r="R244" s="20" t="n">
        <x:f>MAX(0,Q244)</x:f>
        <x:v>1</x:v>
      </x:c>
      <x:c r="S244" s="21" t="n">
        <x:v>10</x:v>
      </x:c>
      <x:c r="T244" s="21" t="n">
        <x:f>IF(OR(F244="Hard Case",F244="Bubble Hard Case"),15,IF(F244="Twist Leather Case",5,IF(F244="Z-Fold Case",4,IFERROR(VLOOKUP(B244,'Cost Overrides'!$A$2:$B$17,2,FALSE),S244))))</x:f>
        <x:v>4</x:v>
      </x:c>
      <x:c r="U244" s="21" t="str">
        <x:f>IF(OR(F244="Hard Case",F244="Bubble Hard Case"),"Confirmed: Hard Case",IF(F244="Twist Leather Case","Confirmed: Twist Leather Case",IF(F244="Z-Fold Case","Confirmed: Z-Fold Case",IF(COUNTIF('Cost Overrides'!$A$2:$A$17,B244)&gt;0,"Confirmed: Owner cost override",IF(S244&lt;=0,"Needs cost","Source cost")))))</x:f>
        <x:v>Confirmed: Z-Fold Case</x:v>
      </x:c>
      <x:c r="V244" s="21" t="n">
        <x:v>39.95</x:v>
      </x:c>
      <x:c r="W244" s="21" t="n">
        <x:f>V244</x:f>
        <x:v>39.95</x:v>
      </x:c>
      <x:c r="X244" s="19" t="str">
        <x:v>NO</x:v>
      </x:c>
      <x:c r="Y244" s="19" t="str">
        <x:v>NO</x:v>
      </x:c>
      <x:c r="Z244" s="19" t="str">
        <x:v>42456126</x:v>
      </x:c>
      <x:c r="AA244" s="19" t="str">
        <x:v>50748762</x:v>
      </x:c>
      <x:c r="AB244" s="22" t="str">
        <x:f>IF(OR(M244&lt;&gt;"Approved",U244="Needs cost",O244=""),"Needs review","Ready after approval")</x:f>
        <x:v>Ready after approval</x:v>
      </x:c>
      <x:c r="AC244" s="22" t="str"/>
    </x:row>
    <x:row r="245">
      <x:c r="A245" s="19" t="str">
        <x:v>6415</x:v>
      </x:c>
      <x:c r="B245" s="19" t="str">
        <x:v>TM8-TAB-6415</x:v>
      </x:c>
      <x:c r="C245" s="19" t="str">
        <x:v>2999000064151</x:v>
      </x:c>
      <x:c r="D245" s="22" t="str">
        <x:v>iPad Z-Fold Case 9.7 Inch Pink</x:v>
      </x:c>
      <x:c r="E245" s="22" t="str">
        <x:v>Z-Fold Case for iPad 9.7-inch (Gen 5/6 and Air 1/2) - Pink</x:v>
      </x:c>
      <x:c r="F245" s="22" t="str">
        <x:v>Z-Fold Case</x:v>
      </x:c>
      <x:c r="G245" s="22" t="str">
        <x:v>Pink</x:v>
      </x:c>
      <x:c r="H245" s="22" t="str">
        <x:v>TM8-GRP-IPAD-97-LEGACY-ZFD</x:v>
      </x:c>
      <x:c r="I245" s="22" t="str">
        <x:v>Z-Fold Case for iPad 9.7-inch (Gen 5/6 and Air 1/2)</x:v>
      </x:c>
      <x:c r="J245" s="22" t="str">
        <x:v>iPad 9.7 Inch</x:v>
      </x:c>
      <x:c r="K245" s="22" t="str">
        <x:v>IPAD-97-LEGACY</x:v>
      </x:c>
      <x:c r="L245" s="22" t="str">
        <x:v>iPad 9.7-inch (Gen 5/6 and Air 1/2)</x:v>
      </x:c>
      <x:c r="M245" s="22" t="str">
        <x:v>Approved</x:v>
      </x:c>
      <x:c r="N245" s="22" t="str">
        <x:v>https://dghyt15qon7us.cloudfront.net/images/productTheme/Inventory/small/1643172077.jpg</x:v>
      </x:c>
      <x:c r="O245" s="22" t="str">
        <x:v>https://dghyt15qon7us.cloudfront.net/images/productTheme/Inventory/small/1643172095.jpg</x:v>
      </x:c>
      <x:c r="P245" s="19" t="str">
        <x:v>park-ridge</x:v>
      </x:c>
      <x:c r="Q245" s="20" t="n">
        <x:v>1</x:v>
      </x:c>
      <x:c r="R245" s="20" t="n">
        <x:f>MAX(0,Q245)</x:f>
        <x:v>1</x:v>
      </x:c>
      <x:c r="S245" s="21" t="n">
        <x:v>10</x:v>
      </x:c>
      <x:c r="T245" s="21" t="n">
        <x:f>IF(OR(F245="Hard Case",F245="Bubble Hard Case"),15,IF(F245="Twist Leather Case",5,IF(F245="Z-Fold Case",4,IFERROR(VLOOKUP(B245,'Cost Overrides'!$A$2:$B$17,2,FALSE),S245))))</x:f>
        <x:v>4</x:v>
      </x:c>
      <x:c r="U245" s="21" t="str">
        <x:f>IF(OR(F245="Hard Case",F245="Bubble Hard Case"),"Confirmed: Hard Case",IF(F245="Twist Leather Case","Confirmed: Twist Leather Case",IF(F245="Z-Fold Case","Confirmed: Z-Fold Case",IF(COUNTIF('Cost Overrides'!$A$2:$A$17,B245)&gt;0,"Confirmed: Owner cost override",IF(S245&lt;=0,"Needs cost","Source cost")))))</x:f>
        <x:v>Confirmed: Z-Fold Case</x:v>
      </x:c>
      <x:c r="V245" s="21" t="n">
        <x:v>39.95</x:v>
      </x:c>
      <x:c r="W245" s="21" t="n">
        <x:f>V245</x:f>
        <x:v>39.95</x:v>
      </x:c>
      <x:c r="X245" s="19" t="str">
        <x:v>NO</x:v>
      </x:c>
      <x:c r="Y245" s="19" t="str">
        <x:v>NO</x:v>
      </x:c>
      <x:c r="Z245" s="19" t="str">
        <x:v>42456125</x:v>
      </x:c>
      <x:c r="AA245" s="19" t="str">
        <x:v>50748761</x:v>
      </x:c>
      <x:c r="AB245" s="22" t="str">
        <x:f>IF(OR(M245&lt;&gt;"Approved",U245="Needs cost",O245=""),"Needs review","Ready after approval")</x:f>
        <x:v>Ready after approval</x:v>
      </x:c>
      <x:c r="AC245" s="22" t="str"/>
    </x:row>
    <x:row r="246">
      <x:c r="A246" s="19" t="str">
        <x:v>6414</x:v>
      </x:c>
      <x:c r="B246" s="19" t="str">
        <x:v>TM8-TAB-6414</x:v>
      </x:c>
      <x:c r="C246" s="19" t="str">
        <x:v>2999000064144</x:v>
      </x:c>
      <x:c r="D246" s="22" t="str">
        <x:v>iPad Z-Fold Case 9.7 Inch Blue</x:v>
      </x:c>
      <x:c r="E246" s="22" t="str">
        <x:v>Z-Fold Case for iPad 9.7-inch (Gen 5/6 and Air 1/2) - Blue</x:v>
      </x:c>
      <x:c r="F246" s="22" t="str">
        <x:v>Z-Fold Case</x:v>
      </x:c>
      <x:c r="G246" s="22" t="str">
        <x:v>Blue</x:v>
      </x:c>
      <x:c r="H246" s="22" t="str">
        <x:v>TM8-GRP-IPAD-97-LEGACY-ZFD</x:v>
      </x:c>
      <x:c r="I246" s="22" t="str">
        <x:v>Z-Fold Case for iPad 9.7-inch (Gen 5/6 and Air 1/2)</x:v>
      </x:c>
      <x:c r="J246" s="22" t="str">
        <x:v>iPad 9.7 Inch</x:v>
      </x:c>
      <x:c r="K246" s="22" t="str">
        <x:v>IPAD-97-LEGACY</x:v>
      </x:c>
      <x:c r="L246" s="22" t="str">
        <x:v>iPad 9.7-inch (Gen 5/6 and Air 1/2)</x:v>
      </x:c>
      <x:c r="M246" s="22" t="str">
        <x:v>Approved</x:v>
      </x:c>
      <x:c r="N246" s="22" t="str">
        <x:v>https://dghyt15qon7us.cloudfront.net/images/productTheme/Inventory/small/1643172039.jpg</x:v>
      </x:c>
      <x:c r="O246" s="22" t="str">
        <x:v>https://dghyt15qon7us.cloudfront.net/images/productTheme/Inventory/small/1643172095.jpg</x:v>
      </x:c>
      <x:c r="P246" s="19" t="str">
        <x:v>park-ridge</x:v>
      </x:c>
      <x:c r="Q246" s="20" t="n">
        <x:v>4</x:v>
      </x:c>
      <x:c r="R246" s="20" t="n">
        <x:f>MAX(0,Q246)</x:f>
        <x:v>4</x:v>
      </x:c>
      <x:c r="S246" s="21" t="n">
        <x:v>10</x:v>
      </x:c>
      <x:c r="T246" s="21" t="n">
        <x:f>IF(OR(F246="Hard Case",F246="Bubble Hard Case"),15,IF(F246="Twist Leather Case",5,IF(F246="Z-Fold Case",4,IFERROR(VLOOKUP(B246,'Cost Overrides'!$A$2:$B$17,2,FALSE),S246))))</x:f>
        <x:v>4</x:v>
      </x:c>
      <x:c r="U246" s="21" t="str">
        <x:f>IF(OR(F246="Hard Case",F246="Bubble Hard Case"),"Confirmed: Hard Case",IF(F246="Twist Leather Case","Confirmed: Twist Leather Case",IF(F246="Z-Fold Case","Confirmed: Z-Fold Case",IF(COUNTIF('Cost Overrides'!$A$2:$A$17,B246)&gt;0,"Confirmed: Owner cost override",IF(S246&lt;=0,"Needs cost","Source cost")))))</x:f>
        <x:v>Confirmed: Z-Fold Case</x:v>
      </x:c>
      <x:c r="V246" s="21" t="n">
        <x:v>39.95</x:v>
      </x:c>
      <x:c r="W246" s="21" t="n">
        <x:f>V246</x:f>
        <x:v>39.95</x:v>
      </x:c>
      <x:c r="X246" s="19" t="str">
        <x:v>NO</x:v>
      </x:c>
      <x:c r="Y246" s="19" t="str">
        <x:v>NO</x:v>
      </x:c>
      <x:c r="Z246" s="19" t="str">
        <x:v>42456124</x:v>
      </x:c>
      <x:c r="AA246" s="19" t="str">
        <x:v>50748760</x:v>
      </x:c>
      <x:c r="AB246" s="22" t="str">
        <x:f>IF(OR(M246&lt;&gt;"Approved",U246="Needs cost",O246=""),"Needs review","Ready after approval")</x:f>
        <x:v>Ready after approval</x:v>
      </x:c>
      <x:c r="AC246" s="22" t="str"/>
    </x:row>
    <x:row r="247">
      <x:c r="A247" s="19" t="str">
        <x:v>6413</x:v>
      </x:c>
      <x:c r="B247" s="19" t="str">
        <x:v>TM8-TAB-6413</x:v>
      </x:c>
      <x:c r="C247" s="19" t="str">
        <x:v>2999000064137</x:v>
      </x:c>
      <x:c r="D247" s="22" t="str">
        <x:v>iPad Z-Fold Case 9.7 Inch Green</x:v>
      </x:c>
      <x:c r="E247" s="22" t="str">
        <x:v>Z-Fold Case for iPad 9.7-inch (Gen 5/6 and Air 1/2) - Green</x:v>
      </x:c>
      <x:c r="F247" s="22" t="str">
        <x:v>Z-Fold Case</x:v>
      </x:c>
      <x:c r="G247" s="22" t="str">
        <x:v>Green</x:v>
      </x:c>
      <x:c r="H247" s="22" t="str">
        <x:v>TM8-GRP-IPAD-97-LEGACY-ZFD</x:v>
      </x:c>
      <x:c r="I247" s="22" t="str">
        <x:v>Z-Fold Case for iPad 9.7-inch (Gen 5/6 and Air 1/2)</x:v>
      </x:c>
      <x:c r="J247" s="22" t="str">
        <x:v>iPad 9.7 Inch</x:v>
      </x:c>
      <x:c r="K247" s="22" t="str">
        <x:v>IPAD-97-LEGACY</x:v>
      </x:c>
      <x:c r="L247" s="22" t="str">
        <x:v>iPad 9.7-inch (Gen 5/6 and Air 1/2)</x:v>
      </x:c>
      <x:c r="M247" s="22" t="str">
        <x:v>Approved</x:v>
      </x:c>
      <x:c r="N247" s="22" t="str">
        <x:v>https://dghyt15qon7us.cloudfront.net/images/productTheme/Inventory/small/1643172004.jpg</x:v>
      </x:c>
      <x:c r="O247" s="22" t="str">
        <x:v>https://dghyt15qon7us.cloudfront.net/images/productTheme/Inventory/small/1643172095.jpg</x:v>
      </x:c>
      <x:c r="P247" s="19" t="str">
        <x:v>park-ridge</x:v>
      </x:c>
      <x:c r="Q247" s="20" t="n">
        <x:v>0</x:v>
      </x:c>
      <x:c r="R247" s="20" t="n">
        <x:f>MAX(0,Q247)</x:f>
        <x:v>0</x:v>
      </x:c>
      <x:c r="S247" s="21" t="n">
        <x:v>10</x:v>
      </x:c>
      <x:c r="T247" s="21" t="n">
        <x:f>IF(OR(F247="Hard Case",F247="Bubble Hard Case"),15,IF(F247="Twist Leather Case",5,IF(F247="Z-Fold Case",4,IFERROR(VLOOKUP(B247,'Cost Overrides'!$A$2:$B$17,2,FALSE),S247))))</x:f>
        <x:v>4</x:v>
      </x:c>
      <x:c r="U247" s="21" t="str">
        <x:f>IF(OR(F247="Hard Case",F247="Bubble Hard Case"),"Confirmed: Hard Case",IF(F247="Twist Leather Case","Confirmed: Twist Leather Case",IF(F247="Z-Fold Case","Confirmed: Z-Fold Case",IF(COUNTIF('Cost Overrides'!$A$2:$A$17,B247)&gt;0,"Confirmed: Owner cost override",IF(S247&lt;=0,"Needs cost","Source cost")))))</x:f>
        <x:v>Confirmed: Z-Fold Case</x:v>
      </x:c>
      <x:c r="V247" s="21" t="n">
        <x:v>39.95</x:v>
      </x:c>
      <x:c r="W247" s="21" t="n">
        <x:f>V247</x:f>
        <x:v>39.95</x:v>
      </x:c>
      <x:c r="X247" s="19" t="str">
        <x:v>NO</x:v>
      </x:c>
      <x:c r="Y247" s="19" t="str">
        <x:v>NO</x:v>
      </x:c>
      <x:c r="Z247" s="19" t="str">
        <x:v>42456123</x:v>
      </x:c>
      <x:c r="AA247" s="19" t="str">
        <x:v>50748759</x:v>
      </x:c>
      <x:c r="AB247" s="22" t="str">
        <x:f>IF(OR(M247&lt;&gt;"Approved",U247="Needs cost",O247=""),"Needs review","Ready after approval")</x:f>
        <x:v>Ready after approval</x:v>
      </x:c>
      <x:c r="AC247" s="22" t="str"/>
    </x:row>
    <x:row r="248">
      <x:c r="A248" s="19" t="str">
        <x:v>6412</x:v>
      </x:c>
      <x:c r="B248" s="19" t="str">
        <x:v>TM8-TAB-6412</x:v>
      </x:c>
      <x:c r="C248" s="19" t="str">
        <x:v>2999000064120</x:v>
      </x:c>
      <x:c r="D248" s="22" t="str">
        <x:v>iPad Z-Fold Case 9.7 Inch Gray</x:v>
      </x:c>
      <x:c r="E248" s="22" t="str">
        <x:v>Z-Fold Case for iPad 9.7-inch (Gen 5/6 and Air 1/2) - Grey</x:v>
      </x:c>
      <x:c r="F248" s="22" t="str">
        <x:v>Z-Fold Case</x:v>
      </x:c>
      <x:c r="G248" s="22" t="str">
        <x:v>Grey</x:v>
      </x:c>
      <x:c r="H248" s="22" t="str">
        <x:v>TM8-GRP-IPAD-97-LEGACY-ZFD</x:v>
      </x:c>
      <x:c r="I248" s="22" t="str">
        <x:v>Z-Fold Case for iPad 9.7-inch (Gen 5/6 and Air 1/2)</x:v>
      </x:c>
      <x:c r="J248" s="22" t="str">
        <x:v>iPad 9.7 Inch</x:v>
      </x:c>
      <x:c r="K248" s="22" t="str">
        <x:v>IPAD-97-LEGACY</x:v>
      </x:c>
      <x:c r="L248" s="22" t="str">
        <x:v>iPad 9.7-inch (Gen 5/6 and Air 1/2)</x:v>
      </x:c>
      <x:c r="M248" s="22" t="str">
        <x:v>Approved</x:v>
      </x:c>
      <x:c r="N248" s="22" t="str">
        <x:v>https://dghyt15qon7us.cloudfront.net/images/productTheme/Inventory/small/165076370542456122.jpg</x:v>
      </x:c>
      <x:c r="O248" s="22" t="str">
        <x:v>https://dghyt15qon7us.cloudfront.net/images/productTheme/Inventory/small/1643172095.jpg</x:v>
      </x:c>
      <x:c r="P248" s="19" t="str">
        <x:v>park-ridge</x:v>
      </x:c>
      <x:c r="Q248" s="20" t="n">
        <x:v>1</x:v>
      </x:c>
      <x:c r="R248" s="20" t="n">
        <x:f>MAX(0,Q248)</x:f>
        <x:v>1</x:v>
      </x:c>
      <x:c r="S248" s="21" t="n">
        <x:v>10</x:v>
      </x:c>
      <x:c r="T248" s="21" t="n">
        <x:f>IF(OR(F248="Hard Case",F248="Bubble Hard Case"),15,IF(F248="Twist Leather Case",5,IF(F248="Z-Fold Case",4,IFERROR(VLOOKUP(B248,'Cost Overrides'!$A$2:$B$17,2,FALSE),S248))))</x:f>
        <x:v>4</x:v>
      </x:c>
      <x:c r="U248" s="21" t="str">
        <x:f>IF(OR(F248="Hard Case",F248="Bubble Hard Case"),"Confirmed: Hard Case",IF(F248="Twist Leather Case","Confirmed: Twist Leather Case",IF(F248="Z-Fold Case","Confirmed: Z-Fold Case",IF(COUNTIF('Cost Overrides'!$A$2:$A$17,B248)&gt;0,"Confirmed: Owner cost override",IF(S248&lt;=0,"Needs cost","Source cost")))))</x:f>
        <x:v>Confirmed: Z-Fold Case</x:v>
      </x:c>
      <x:c r="V248" s="21" t="n">
        <x:v>39.95</x:v>
      </x:c>
      <x:c r="W248" s="21" t="n">
        <x:f>V248</x:f>
        <x:v>39.95</x:v>
      </x:c>
      <x:c r="X248" s="19" t="str">
        <x:v>NO</x:v>
      </x:c>
      <x:c r="Y248" s="19" t="str">
        <x:v>NO</x:v>
      </x:c>
      <x:c r="Z248" s="19" t="str">
        <x:v>42456122</x:v>
      </x:c>
      <x:c r="AA248" s="19" t="str">
        <x:v>50748758</x:v>
      </x:c>
      <x:c r="AB248" s="22" t="str">
        <x:f>IF(OR(M248&lt;&gt;"Approved",U248="Needs cost",O248=""),"Needs review","Ready after approval")</x:f>
        <x:v>Ready after approval</x:v>
      </x:c>
      <x:c r="AC248" s="22" t="str"/>
    </x:row>
    <x:row r="249">
      <x:c r="A249" s="19" t="str">
        <x:v>6411</x:v>
      </x:c>
      <x:c r="B249" s="19" t="str">
        <x:v>TM8-TAB-6411</x:v>
      </x:c>
      <x:c r="C249" s="19" t="str">
        <x:v>2999000064113</x:v>
      </x:c>
      <x:c r="D249" s="22" t="str">
        <x:v>iPad Z-Fold Case 9.7 Inch Purple</x:v>
      </x:c>
      <x:c r="E249" s="22" t="str">
        <x:v>Z-Fold Case for iPad 9.7-inch (Gen 5/6 and Air 1/2) - Purple</x:v>
      </x:c>
      <x:c r="F249" s="22" t="str">
        <x:v>Z-Fold Case</x:v>
      </x:c>
      <x:c r="G249" s="22" t="str">
        <x:v>Purple</x:v>
      </x:c>
      <x:c r="H249" s="22" t="str">
        <x:v>TM8-GRP-IPAD-97-LEGACY-ZFD</x:v>
      </x:c>
      <x:c r="I249" s="22" t="str">
        <x:v>Z-Fold Case for iPad 9.7-inch (Gen 5/6 and Air 1/2)</x:v>
      </x:c>
      <x:c r="J249" s="22" t="str">
        <x:v>iPad 9.7 Inch</x:v>
      </x:c>
      <x:c r="K249" s="22" t="str">
        <x:v>IPAD-97-LEGACY</x:v>
      </x:c>
      <x:c r="L249" s="22" t="str">
        <x:v>iPad 9.7-inch (Gen 5/6 and Air 1/2)</x:v>
      </x:c>
      <x:c r="M249" s="22" t="str">
        <x:v>Approved</x:v>
      </x:c>
      <x:c r="N249" s="22" t="str">
        <x:v>https://dghyt15qon7us.cloudfront.net/images/productTheme/Inventory/small/1643170524.jpg</x:v>
      </x:c>
      <x:c r="O249" s="22" t="str">
        <x:v>https://dghyt15qon7us.cloudfront.net/images/productTheme/Inventory/small/1643172095.jpg</x:v>
      </x:c>
      <x:c r="P249" s="19" t="str">
        <x:v>park-ridge</x:v>
      </x:c>
      <x:c r="Q249" s="20" t="n">
        <x:v>2</x:v>
      </x:c>
      <x:c r="R249" s="20" t="n">
        <x:f>MAX(0,Q249)</x:f>
        <x:v>2</x:v>
      </x:c>
      <x:c r="S249" s="21" t="n">
        <x:v>10</x:v>
      </x:c>
      <x:c r="T249" s="21" t="n">
        <x:f>IF(OR(F249="Hard Case",F249="Bubble Hard Case"),15,IF(F249="Twist Leather Case",5,IF(F249="Z-Fold Case",4,IFERROR(VLOOKUP(B249,'Cost Overrides'!$A$2:$B$17,2,FALSE),S249))))</x:f>
        <x:v>4</x:v>
      </x:c>
      <x:c r="U249" s="21" t="str">
        <x:f>IF(OR(F249="Hard Case",F249="Bubble Hard Case"),"Confirmed: Hard Case",IF(F249="Twist Leather Case","Confirmed: Twist Leather Case",IF(F249="Z-Fold Case","Confirmed: Z-Fold Case",IF(COUNTIF('Cost Overrides'!$A$2:$A$17,B249)&gt;0,"Confirmed: Owner cost override",IF(S249&lt;=0,"Needs cost","Source cost")))))</x:f>
        <x:v>Confirmed: Z-Fold Case</x:v>
      </x:c>
      <x:c r="V249" s="21" t="n">
        <x:v>39.95</x:v>
      </x:c>
      <x:c r="W249" s="21" t="n">
        <x:f>V249</x:f>
        <x:v>39.95</x:v>
      </x:c>
      <x:c r="X249" s="19" t="str">
        <x:v>NO</x:v>
      </x:c>
      <x:c r="Y249" s="19" t="str">
        <x:v>NO</x:v>
      </x:c>
      <x:c r="Z249" s="19" t="str">
        <x:v>42456121</x:v>
      </x:c>
      <x:c r="AA249" s="19" t="str">
        <x:v>50748757</x:v>
      </x:c>
      <x:c r="AB249" s="22" t="str">
        <x:f>IF(OR(M249&lt;&gt;"Approved",U249="Needs cost",O249=""),"Needs review","Ready after approval")</x:f>
        <x:v>Ready after approval</x:v>
      </x:c>
      <x:c r="AC249" s="22" t="str"/>
    </x:row>
    <x:row r="250">
      <x:c r="A250" s="19" t="str">
        <x:v>6408</x:v>
      </x:c>
      <x:c r="B250" s="19" t="str">
        <x:v>TM8-TAB-6408</x:v>
      </x:c>
      <x:c r="C250" s="19" t="str">
        <x:v>2999000064083</x:v>
      </x:c>
      <x:c r="D250" s="22" t="str">
        <x:v>iPad Hard Case mini 6 Black</x:v>
      </x:c>
      <x:c r="E250" s="22" t="str">
        <x:v>Hard Case for iPad mini 6 - Black</x:v>
      </x:c>
      <x:c r="F250" s="22" t="str">
        <x:v>Hard Case</x:v>
      </x:c>
      <x:c r="G250" s="22" t="str">
        <x:v>Black</x:v>
      </x:c>
      <x:c r="H250" s="22" t="str">
        <x:v>TM8-GRP-IPAD-MINI6-HDC</x:v>
      </x:c>
      <x:c r="I250" s="22" t="str">
        <x:v>Hard Case for iPad mini 6</x:v>
      </x:c>
      <x:c r="J250" s="22" t="str">
        <x:v>iPad mini 6</x:v>
      </x:c>
      <x:c r="K250" s="22" t="str">
        <x:v>IPAD-MINI6</x:v>
      </x:c>
      <x:c r="L250" s="22" t="str">
        <x:v>iPad mini 6</x:v>
      </x:c>
      <x:c r="M250" s="22" t="str">
        <x:v>Proposed</x:v>
      </x:c>
      <x:c r="N250" s="22" t="str">
        <x:v>https://dghyt15qon7us.cloudfront.net/images/productTheme/Inventory/small/1643166032.jpg</x:v>
      </x:c>
      <x:c r="O250" s="22" t="str">
        <x:v>https://dghyt15qon7us.cloudfront.net/images/productTheme/Inventory/small/1643166032.jpg</x:v>
      </x:c>
      <x:c r="P250" s="19" t="str">
        <x:v>park-ridge</x:v>
      </x:c>
      <x:c r="Q250" s="20" t="n">
        <x:v>1</x:v>
      </x:c>
      <x:c r="R250" s="20" t="n">
        <x:f>MAX(0,Q250)</x:f>
        <x:v>1</x:v>
      </x:c>
      <x:c r="S250" s="21" t="n">
        <x:v>19.5</x:v>
      </x:c>
      <x:c r="T250" s="21" t="n">
        <x:f>IF(OR(F250="Hard Case",F250="Bubble Hard Case"),15,IF(F250="Twist Leather Case",5,IF(F250="Z-Fold Case",4,IFERROR(VLOOKUP(B250,'Cost Overrides'!$A$2:$B$17,2,FALSE),S250))))</x:f>
        <x:v>15</x:v>
      </x:c>
      <x:c r="U250" s="21" t="str">
        <x:f>IF(OR(F250="Hard Case",F250="Bubble Hard Case"),"Confirmed: Hard Case",IF(F250="Twist Leather Case","Confirmed: Twist Leather Case",IF(F250="Z-Fold Case","Confirmed: Z-Fold Case",IF(COUNTIF('Cost Overrides'!$A$2:$A$17,B250)&gt;0,"Confirmed: Owner cost override",IF(S250&lt;=0,"Needs cost","Source cost")))))</x:f>
        <x:v>Confirmed: Hard Case</x:v>
      </x:c>
      <x:c r="V250" s="21" t="n">
        <x:v>49.95</x:v>
      </x:c>
      <x:c r="W250" s="21" t="n">
        <x:f>V250</x:f>
        <x:v>49.95</x:v>
      </x:c>
      <x:c r="X250" s="19" t="str">
        <x:v>NO</x:v>
      </x:c>
      <x:c r="Y250" s="19" t="str">
        <x:v>NO</x:v>
      </x:c>
      <x:c r="Z250" s="19" t="str">
        <x:v>42456118</x:v>
      </x:c>
      <x:c r="AA250" s="19" t="str">
        <x:v>50748754</x:v>
      </x:c>
      <x:c r="AB250" s="22" t="str">
        <x:f>IF(OR(M250&lt;&gt;"Approved",U250="Needs cost",O250=""),"Needs review","Ready after approval")</x:f>
        <x:v>Needs review</x:v>
      </x:c>
      <x:c r="AC250" s="22" t="str"/>
    </x:row>
    <x:row r="251">
      <x:c r="A251" s="19" t="str">
        <x:v>6407</x:v>
      </x:c>
      <x:c r="B251" s="19" t="str">
        <x:v>TM8-TAB-6407</x:v>
      </x:c>
      <x:c r="C251" s="19" t="str">
        <x:v>2999000064076</x:v>
      </x:c>
      <x:c r="D251" s="22" t="str">
        <x:v>iPad Hard Case mini 6 Pink</x:v>
      </x:c>
      <x:c r="E251" s="22" t="str">
        <x:v>Hard Case for iPad mini 6 - Pink</x:v>
      </x:c>
      <x:c r="F251" s="22" t="str">
        <x:v>Hard Case</x:v>
      </x:c>
      <x:c r="G251" s="22" t="str">
        <x:v>Pink</x:v>
      </x:c>
      <x:c r="H251" s="22" t="str">
        <x:v>TM8-GRP-IPAD-MINI6-HDC</x:v>
      </x:c>
      <x:c r="I251" s="22" t="str">
        <x:v>Hard Case for iPad mini 6</x:v>
      </x:c>
      <x:c r="J251" s="22" t="str">
        <x:v>iPad mini 6</x:v>
      </x:c>
      <x:c r="K251" s="22" t="str">
        <x:v>IPAD-MINI6</x:v>
      </x:c>
      <x:c r="L251" s="22" t="str">
        <x:v>iPad mini 6</x:v>
      </x:c>
      <x:c r="M251" s="22" t="str">
        <x:v>Proposed</x:v>
      </x:c>
      <x:c r="N251" s="22" t="str">
        <x:v>https://dghyt15qon7us.cloudfront.net/images/productTheme/Inventory/small/1643166013.jpg</x:v>
      </x:c>
      <x:c r="O251" s="22" t="str">
        <x:v>https://dghyt15qon7us.cloudfront.net/images/productTheme/Inventory/small/1643166032.jpg</x:v>
      </x:c>
      <x:c r="P251" s="19" t="str">
        <x:v>park-ridge</x:v>
      </x:c>
      <x:c r="Q251" s="20" t="n">
        <x:v>2</x:v>
      </x:c>
      <x:c r="R251" s="20" t="n">
        <x:f>MAX(0,Q251)</x:f>
        <x:v>2</x:v>
      </x:c>
      <x:c r="S251" s="21" t="n">
        <x:v>19.5</x:v>
      </x:c>
      <x:c r="T251" s="21" t="n">
        <x:f>IF(OR(F251="Hard Case",F251="Bubble Hard Case"),15,IF(F251="Twist Leather Case",5,IF(F251="Z-Fold Case",4,IFERROR(VLOOKUP(B251,'Cost Overrides'!$A$2:$B$17,2,FALSE),S251))))</x:f>
        <x:v>15</x:v>
      </x:c>
      <x:c r="U251" s="21" t="str">
        <x:f>IF(OR(F251="Hard Case",F251="Bubble Hard Case"),"Confirmed: Hard Case",IF(F251="Twist Leather Case","Confirmed: Twist Leather Case",IF(F251="Z-Fold Case","Confirmed: Z-Fold Case",IF(COUNTIF('Cost Overrides'!$A$2:$A$17,B251)&gt;0,"Confirmed: Owner cost override",IF(S251&lt;=0,"Needs cost","Source cost")))))</x:f>
        <x:v>Confirmed: Hard Case</x:v>
      </x:c>
      <x:c r="V251" s="21" t="n">
        <x:v>49.95</x:v>
      </x:c>
      <x:c r="W251" s="21" t="n">
        <x:f>V251</x:f>
        <x:v>49.95</x:v>
      </x:c>
      <x:c r="X251" s="19" t="str">
        <x:v>NO</x:v>
      </x:c>
      <x:c r="Y251" s="19" t="str">
        <x:v>NO</x:v>
      </x:c>
      <x:c r="Z251" s="19" t="str">
        <x:v>42456117</x:v>
      </x:c>
      <x:c r="AA251" s="19" t="str">
        <x:v>50748753</x:v>
      </x:c>
      <x:c r="AB251" s="22" t="str">
        <x:f>IF(OR(M251&lt;&gt;"Approved",U251="Needs cost",O251=""),"Needs review","Ready after approval")</x:f>
        <x:v>Needs review</x:v>
      </x:c>
      <x:c r="AC251" s="22" t="str"/>
    </x:row>
    <x:row r="252">
      <x:c r="A252" s="19" t="str">
        <x:v>6406</x:v>
      </x:c>
      <x:c r="B252" s="19" t="str">
        <x:v>TM8-TAB-6406</x:v>
      </x:c>
      <x:c r="C252" s="19" t="str">
        <x:v>2999000064069</x:v>
      </x:c>
      <x:c r="D252" s="22" t="str">
        <x:v>iPad Hard Case mini 6 Blue</x:v>
      </x:c>
      <x:c r="E252" s="22" t="str">
        <x:v>Hard Case for iPad mini 6 - Blue</x:v>
      </x:c>
      <x:c r="F252" s="22" t="str">
        <x:v>Hard Case</x:v>
      </x:c>
      <x:c r="G252" s="22" t="str">
        <x:v>Blue</x:v>
      </x:c>
      <x:c r="H252" s="22" t="str">
        <x:v>TM8-GRP-IPAD-MINI6-HDC</x:v>
      </x:c>
      <x:c r="I252" s="22" t="str">
        <x:v>Hard Case for iPad mini 6</x:v>
      </x:c>
      <x:c r="J252" s="22" t="str">
        <x:v>iPad mini 6</x:v>
      </x:c>
      <x:c r="K252" s="22" t="str">
        <x:v>IPAD-MINI6</x:v>
      </x:c>
      <x:c r="L252" s="22" t="str">
        <x:v>iPad mini 6</x:v>
      </x:c>
      <x:c r="M252" s="22" t="str">
        <x:v>Proposed</x:v>
      </x:c>
      <x:c r="N252" s="22" t="str">
        <x:v>https://dghyt15qon7us.cloudfront.net/images/productTheme/Inventory/small/1643165979.jpg</x:v>
      </x:c>
      <x:c r="O252" s="22" t="str">
        <x:v>https://dghyt15qon7us.cloudfront.net/images/productTheme/Inventory/small/1643166032.jpg</x:v>
      </x:c>
      <x:c r="P252" s="19" t="str">
        <x:v>park-ridge</x:v>
      </x:c>
      <x:c r="Q252" s="20" t="n">
        <x:v>1</x:v>
      </x:c>
      <x:c r="R252" s="20" t="n">
        <x:f>MAX(0,Q252)</x:f>
        <x:v>1</x:v>
      </x:c>
      <x:c r="S252" s="21" t="n">
        <x:v>19.5</x:v>
      </x:c>
      <x:c r="T252" s="21" t="n">
        <x:f>IF(OR(F252="Hard Case",F252="Bubble Hard Case"),15,IF(F252="Twist Leather Case",5,IF(F252="Z-Fold Case",4,IFERROR(VLOOKUP(B252,'Cost Overrides'!$A$2:$B$17,2,FALSE),S252))))</x:f>
        <x:v>15</x:v>
      </x:c>
      <x:c r="U252" s="21" t="str">
        <x:f>IF(OR(F252="Hard Case",F252="Bubble Hard Case"),"Confirmed: Hard Case",IF(F252="Twist Leather Case","Confirmed: Twist Leather Case",IF(F252="Z-Fold Case","Confirmed: Z-Fold Case",IF(COUNTIF('Cost Overrides'!$A$2:$A$17,B252)&gt;0,"Confirmed: Owner cost override",IF(S252&lt;=0,"Needs cost","Source cost")))))</x:f>
        <x:v>Confirmed: Hard Case</x:v>
      </x:c>
      <x:c r="V252" s="21" t="n">
        <x:v>49.95</x:v>
      </x:c>
      <x:c r="W252" s="21" t="n">
        <x:f>V252</x:f>
        <x:v>49.95</x:v>
      </x:c>
      <x:c r="X252" s="19" t="str">
        <x:v>NO</x:v>
      </x:c>
      <x:c r="Y252" s="19" t="str">
        <x:v>NO</x:v>
      </x:c>
      <x:c r="Z252" s="19" t="str">
        <x:v>42456116</x:v>
      </x:c>
      <x:c r="AA252" s="19" t="str">
        <x:v>50748752</x:v>
      </x:c>
      <x:c r="AB252" s="22" t="str">
        <x:f>IF(OR(M252&lt;&gt;"Approved",U252="Needs cost",O252=""),"Needs review","Ready after approval")</x:f>
        <x:v>Needs review</x:v>
      </x:c>
      <x:c r="AC252" s="22" t="str"/>
    </x:row>
    <x:row r="253">
      <x:c r="A253" s="19" t="str">
        <x:v>6405</x:v>
      </x:c>
      <x:c r="B253" s="19" t="str">
        <x:v>TM8-TAB-6405</x:v>
      </x:c>
      <x:c r="C253" s="19" t="str">
        <x:v>2999000064052</x:v>
      </x:c>
      <x:c r="D253" s="22" t="str">
        <x:v>iPad Hard Case mini 6 Green</x:v>
      </x:c>
      <x:c r="E253" s="22" t="str">
        <x:v>Hard Case for iPad mini 6 - Green</x:v>
      </x:c>
      <x:c r="F253" s="22" t="str">
        <x:v>Hard Case</x:v>
      </x:c>
      <x:c r="G253" s="22" t="str">
        <x:v>Green</x:v>
      </x:c>
      <x:c r="H253" s="22" t="str">
        <x:v>TM8-GRP-IPAD-MINI6-HDC</x:v>
      </x:c>
      <x:c r="I253" s="22" t="str">
        <x:v>Hard Case for iPad mini 6</x:v>
      </x:c>
      <x:c r="J253" s="22" t="str">
        <x:v>iPad mini 6</x:v>
      </x:c>
      <x:c r="K253" s="22" t="str">
        <x:v>IPAD-MINI6</x:v>
      </x:c>
      <x:c r="L253" s="22" t="str">
        <x:v>iPad mini 6</x:v>
      </x:c>
      <x:c r="M253" s="22" t="str">
        <x:v>Proposed</x:v>
      </x:c>
      <x:c r="N253" s="22" t="str">
        <x:v>https://dghyt15qon7us.cloudfront.net/images/productTheme/Inventory/small/1643165916.jpg</x:v>
      </x:c>
      <x:c r="O253" s="22" t="str">
        <x:v>https://dghyt15qon7us.cloudfront.net/images/productTheme/Inventory/small/1643166032.jpg</x:v>
      </x:c>
      <x:c r="P253" s="19" t="str">
        <x:v>park-ridge</x:v>
      </x:c>
      <x:c r="Q253" s="20" t="n">
        <x:v>3</x:v>
      </x:c>
      <x:c r="R253" s="20" t="n">
        <x:f>MAX(0,Q253)</x:f>
        <x:v>3</x:v>
      </x:c>
      <x:c r="S253" s="21" t="n">
        <x:v>19.5</x:v>
      </x:c>
      <x:c r="T253" s="21" t="n">
        <x:f>IF(OR(F253="Hard Case",F253="Bubble Hard Case"),15,IF(F253="Twist Leather Case",5,IF(F253="Z-Fold Case",4,IFERROR(VLOOKUP(B253,'Cost Overrides'!$A$2:$B$17,2,FALSE),S253))))</x:f>
        <x:v>15</x:v>
      </x:c>
      <x:c r="U253" s="21" t="str">
        <x:f>IF(OR(F253="Hard Case",F253="Bubble Hard Case"),"Confirmed: Hard Case",IF(F253="Twist Leather Case","Confirmed: Twist Leather Case",IF(F253="Z-Fold Case","Confirmed: Z-Fold Case",IF(COUNTIF('Cost Overrides'!$A$2:$A$17,B253)&gt;0,"Confirmed: Owner cost override",IF(S253&lt;=0,"Needs cost","Source cost")))))</x:f>
        <x:v>Confirmed: Hard Case</x:v>
      </x:c>
      <x:c r="V253" s="21" t="n">
        <x:v>49.95</x:v>
      </x:c>
      <x:c r="W253" s="21" t="n">
        <x:f>V253</x:f>
        <x:v>49.95</x:v>
      </x:c>
      <x:c r="X253" s="19" t="str">
        <x:v>NO</x:v>
      </x:c>
      <x:c r="Y253" s="19" t="str">
        <x:v>NO</x:v>
      </x:c>
      <x:c r="Z253" s="19" t="str">
        <x:v>42456115</x:v>
      </x:c>
      <x:c r="AA253" s="19" t="str">
        <x:v>50748751</x:v>
      </x:c>
      <x:c r="AB253" s="22" t="str">
        <x:f>IF(OR(M253&lt;&gt;"Approved",U253="Needs cost",O253=""),"Needs review","Ready after approval")</x:f>
        <x:v>Needs review</x:v>
      </x:c>
      <x:c r="AC253" s="22" t="str"/>
    </x:row>
    <x:row r="254">
      <x:c r="A254" s="19" t="str">
        <x:v>6404</x:v>
      </x:c>
      <x:c r="B254" s="19" t="str">
        <x:v>TM8-TAB-6404</x:v>
      </x:c>
      <x:c r="C254" s="19" t="str">
        <x:v>2999000064045</x:v>
      </x:c>
      <x:c r="D254" s="22" t="str">
        <x:v>iPad Hard Case mini 6 Purple</x:v>
      </x:c>
      <x:c r="E254" s="22" t="str">
        <x:v>Hard Case for iPad mini 6 - Purple</x:v>
      </x:c>
      <x:c r="F254" s="22" t="str">
        <x:v>Hard Case</x:v>
      </x:c>
      <x:c r="G254" s="22" t="str">
        <x:v>Purple</x:v>
      </x:c>
      <x:c r="H254" s="22" t="str">
        <x:v>TM8-GRP-IPAD-MINI6-HDC</x:v>
      </x:c>
      <x:c r="I254" s="22" t="str">
        <x:v>Hard Case for iPad mini 6</x:v>
      </x:c>
      <x:c r="J254" s="22" t="str">
        <x:v>iPad mini 6</x:v>
      </x:c>
      <x:c r="K254" s="22" t="str">
        <x:v>IPAD-MINI6</x:v>
      </x:c>
      <x:c r="L254" s="22" t="str">
        <x:v>iPad mini 6</x:v>
      </x:c>
      <x:c r="M254" s="22" t="str">
        <x:v>Proposed</x:v>
      </x:c>
      <x:c r="N254" s="22" t="str">
        <x:v>https://dghyt15qon7us.cloudfront.net/images/productTheme/Inventory/small/1643165893.jpg</x:v>
      </x:c>
      <x:c r="O254" s="22" t="str">
        <x:v>https://dghyt15qon7us.cloudfront.net/images/productTheme/Inventory/small/1643166032.jpg</x:v>
      </x:c>
      <x:c r="P254" s="19" t="str">
        <x:v>park-ridge</x:v>
      </x:c>
      <x:c r="Q254" s="20" t="n">
        <x:v>2</x:v>
      </x:c>
      <x:c r="R254" s="20" t="n">
        <x:f>MAX(0,Q254)</x:f>
        <x:v>2</x:v>
      </x:c>
      <x:c r="S254" s="21" t="n">
        <x:v>19.5</x:v>
      </x:c>
      <x:c r="T254" s="21" t="n">
        <x:f>IF(OR(F254="Hard Case",F254="Bubble Hard Case"),15,IF(F254="Twist Leather Case",5,IF(F254="Z-Fold Case",4,IFERROR(VLOOKUP(B254,'Cost Overrides'!$A$2:$B$17,2,FALSE),S254))))</x:f>
        <x:v>15</x:v>
      </x:c>
      <x:c r="U254" s="21" t="str">
        <x:f>IF(OR(F254="Hard Case",F254="Bubble Hard Case"),"Confirmed: Hard Case",IF(F254="Twist Leather Case","Confirmed: Twist Leather Case",IF(F254="Z-Fold Case","Confirmed: Z-Fold Case",IF(COUNTIF('Cost Overrides'!$A$2:$A$17,B254)&gt;0,"Confirmed: Owner cost override",IF(S254&lt;=0,"Needs cost","Source cost")))))</x:f>
        <x:v>Confirmed: Hard Case</x:v>
      </x:c>
      <x:c r="V254" s="21" t="n">
        <x:v>49.95</x:v>
      </x:c>
      <x:c r="W254" s="21" t="n">
        <x:f>V254</x:f>
        <x:v>49.95</x:v>
      </x:c>
      <x:c r="X254" s="19" t="str">
        <x:v>NO</x:v>
      </x:c>
      <x:c r="Y254" s="19" t="str">
        <x:v>NO</x:v>
      </x:c>
      <x:c r="Z254" s="19" t="str">
        <x:v>42456114</x:v>
      </x:c>
      <x:c r="AA254" s="19" t="str">
        <x:v>50748750</x:v>
      </x:c>
      <x:c r="AB254" s="22" t="str">
        <x:f>IF(OR(M254&lt;&gt;"Approved",U254="Needs cost",O254=""),"Needs review","Ready after approval")</x:f>
        <x:v>Needs review</x:v>
      </x:c>
      <x:c r="AC254" s="22" t="str"/>
    </x:row>
    <x:row r="255">
      <x:c r="A255" s="19" t="str">
        <x:v>6403</x:v>
      </x:c>
      <x:c r="B255" s="19" t="str">
        <x:v>TM8-TAB-6403</x:v>
      </x:c>
      <x:c r="C255" s="19" t="str">
        <x:v>2999000064038</x:v>
      </x:c>
      <x:c r="D255" s="22" t="str">
        <x:v>iPad Hard Case mini 4/5 Black</x:v>
      </x:c>
      <x:c r="E255" s="22" t="str">
        <x:v>Hard Case for iPad mini 4/5 - Black</x:v>
      </x:c>
      <x:c r="F255" s="22" t="str">
        <x:v>Hard Case</x:v>
      </x:c>
      <x:c r="G255" s="22" t="str">
        <x:v>Black</x:v>
      </x:c>
      <x:c r="H255" s="22" t="str">
        <x:v>TM8-GRP-IPAD-MINI45-HDC</x:v>
      </x:c>
      <x:c r="I255" s="22" t="str">
        <x:v>Hard Case for iPad mini 4/5</x:v>
      </x:c>
      <x:c r="J255" s="22" t="str">
        <x:v>iPad mini 4/5</x:v>
      </x:c>
      <x:c r="K255" s="22" t="str">
        <x:v>IPAD-MINI45</x:v>
      </x:c>
      <x:c r="L255" s="22" t="str">
        <x:v>iPad mini 4/5</x:v>
      </x:c>
      <x:c r="M255" s="22" t="str">
        <x:v>Proposed</x:v>
      </x:c>
      <x:c r="N255" s="22" t="str">
        <x:v>https://dghyt15qon7us.cloudfront.net/images/productTheme/Inventory/small/1643165842.jpg</x:v>
      </x:c>
      <x:c r="O255" s="22" t="str">
        <x:v>https://dghyt15qon7us.cloudfront.net/images/productTheme/Inventory/small/1643165842.jpg</x:v>
      </x:c>
      <x:c r="P255" s="19" t="str">
        <x:v>park-ridge</x:v>
      </x:c>
      <x:c r="Q255" s="20" t="n">
        <x:v>2</x:v>
      </x:c>
      <x:c r="R255" s="20" t="n">
        <x:f>MAX(0,Q255)</x:f>
        <x:v>2</x:v>
      </x:c>
      <x:c r="S255" s="21" t="n">
        <x:v>19.5</x:v>
      </x:c>
      <x:c r="T255" s="21" t="n">
        <x:f>IF(OR(F255="Hard Case",F255="Bubble Hard Case"),15,IF(F255="Twist Leather Case",5,IF(F255="Z-Fold Case",4,IFERROR(VLOOKUP(B255,'Cost Overrides'!$A$2:$B$17,2,FALSE),S255))))</x:f>
        <x:v>15</x:v>
      </x:c>
      <x:c r="U255" s="21" t="str">
        <x:f>IF(OR(F255="Hard Case",F255="Bubble Hard Case"),"Confirmed: Hard Case",IF(F255="Twist Leather Case","Confirmed: Twist Leather Case",IF(F255="Z-Fold Case","Confirmed: Z-Fold Case",IF(COUNTIF('Cost Overrides'!$A$2:$A$17,B255)&gt;0,"Confirmed: Owner cost override",IF(S255&lt;=0,"Needs cost","Source cost")))))</x:f>
        <x:v>Confirmed: Hard Case</x:v>
      </x:c>
      <x:c r="V255" s="21" t="n">
        <x:v>49.95</x:v>
      </x:c>
      <x:c r="W255" s="21" t="n">
        <x:f>V255</x:f>
        <x:v>49.95</x:v>
      </x:c>
      <x:c r="X255" s="19" t="str">
        <x:v>NO</x:v>
      </x:c>
      <x:c r="Y255" s="19" t="str">
        <x:v>NO</x:v>
      </x:c>
      <x:c r="Z255" s="19" t="str">
        <x:v>42456113</x:v>
      </x:c>
      <x:c r="AA255" s="19" t="str">
        <x:v>50748749</x:v>
      </x:c>
      <x:c r="AB255" s="22" t="str">
        <x:f>IF(OR(M255&lt;&gt;"Approved",U255="Needs cost",O255=""),"Needs review","Ready after approval")</x:f>
        <x:v>Needs review</x:v>
      </x:c>
      <x:c r="AC255" s="22" t="str"/>
    </x:row>
    <x:row r="256">
      <x:c r="A256" s="19" t="str">
        <x:v>6402</x:v>
      </x:c>
      <x:c r="B256" s="19" t="str">
        <x:v>TM8-TAB-6402</x:v>
      </x:c>
      <x:c r="C256" s="19" t="str">
        <x:v>2999000064021</x:v>
      </x:c>
      <x:c r="D256" s="22" t="str">
        <x:v>iPad Hard Case mini 4/5 Red</x:v>
      </x:c>
      <x:c r="E256" s="22" t="str">
        <x:v>Hard Case for iPad mini 4/5 - Red</x:v>
      </x:c>
      <x:c r="F256" s="22" t="str">
        <x:v>Hard Case</x:v>
      </x:c>
      <x:c r="G256" s="22" t="str">
        <x:v>Red</x:v>
      </x:c>
      <x:c r="H256" s="22" t="str">
        <x:v>TM8-GRP-IPAD-MINI45-HDC</x:v>
      </x:c>
      <x:c r="I256" s="22" t="str">
        <x:v>Hard Case for iPad mini 4/5</x:v>
      </x:c>
      <x:c r="J256" s="22" t="str">
        <x:v>iPad mini 4/5</x:v>
      </x:c>
      <x:c r="K256" s="22" t="str">
        <x:v>IPAD-MINI45</x:v>
      </x:c>
      <x:c r="L256" s="22" t="str">
        <x:v>iPad mini 4/5</x:v>
      </x:c>
      <x:c r="M256" s="22" t="str">
        <x:v>Proposed</x:v>
      </x:c>
      <x:c r="N256" s="22" t="str">
        <x:v>https://dghyt15qon7us.cloudfront.net/images/productTheme/Inventory/small/1643165816.jpg</x:v>
      </x:c>
      <x:c r="O256" s="22" t="str">
        <x:v>https://dghyt15qon7us.cloudfront.net/images/productTheme/Inventory/small/1643165842.jpg</x:v>
      </x:c>
      <x:c r="P256" s="19" t="str">
        <x:v>park-ridge</x:v>
      </x:c>
      <x:c r="Q256" s="20" t="n">
        <x:v>1</x:v>
      </x:c>
      <x:c r="R256" s="20" t="n">
        <x:f>MAX(0,Q256)</x:f>
        <x:v>1</x:v>
      </x:c>
      <x:c r="S256" s="21" t="n">
        <x:v>19.5</x:v>
      </x:c>
      <x:c r="T256" s="21" t="n">
        <x:f>IF(OR(F256="Hard Case",F256="Bubble Hard Case"),15,IF(F256="Twist Leather Case",5,IF(F256="Z-Fold Case",4,IFERROR(VLOOKUP(B256,'Cost Overrides'!$A$2:$B$17,2,FALSE),S256))))</x:f>
        <x:v>15</x:v>
      </x:c>
      <x:c r="U256" s="21" t="str">
        <x:f>IF(OR(F256="Hard Case",F256="Bubble Hard Case"),"Confirmed: Hard Case",IF(F256="Twist Leather Case","Confirmed: Twist Leather Case",IF(F256="Z-Fold Case","Confirmed: Z-Fold Case",IF(COUNTIF('Cost Overrides'!$A$2:$A$17,B256)&gt;0,"Confirmed: Owner cost override",IF(S256&lt;=0,"Needs cost","Source cost")))))</x:f>
        <x:v>Confirmed: Hard Case</x:v>
      </x:c>
      <x:c r="V256" s="21" t="n">
        <x:v>49.95</x:v>
      </x:c>
      <x:c r="W256" s="21" t="n">
        <x:f>V256</x:f>
        <x:v>49.95</x:v>
      </x:c>
      <x:c r="X256" s="19" t="str">
        <x:v>NO</x:v>
      </x:c>
      <x:c r="Y256" s="19" t="str">
        <x:v>NO</x:v>
      </x:c>
      <x:c r="Z256" s="19" t="str">
        <x:v>42456112</x:v>
      </x:c>
      <x:c r="AA256" s="19" t="str">
        <x:v>50748748</x:v>
      </x:c>
      <x:c r="AB256" s="22" t="str">
        <x:f>IF(OR(M256&lt;&gt;"Approved",U256="Needs cost",O256=""),"Needs review","Ready after approval")</x:f>
        <x:v>Needs review</x:v>
      </x:c>
      <x:c r="AC256" s="22" t="str"/>
    </x:row>
    <x:row r="257">
      <x:c r="A257" s="19" t="str">
        <x:v>6401</x:v>
      </x:c>
      <x:c r="B257" s="19" t="str">
        <x:v>TM8-TAB-6401</x:v>
      </x:c>
      <x:c r="C257" s="19" t="str">
        <x:v>2999000064014</x:v>
      </x:c>
      <x:c r="D257" s="22" t="str">
        <x:v>iPad Hard Case mini 4/5 Pink</x:v>
      </x:c>
      <x:c r="E257" s="22" t="str">
        <x:v>Hard Case for iPad mini 4/5 - Pink</x:v>
      </x:c>
      <x:c r="F257" s="22" t="str">
        <x:v>Hard Case</x:v>
      </x:c>
      <x:c r="G257" s="22" t="str">
        <x:v>Pink</x:v>
      </x:c>
      <x:c r="H257" s="22" t="str">
        <x:v>TM8-GRP-IPAD-MINI45-HDC</x:v>
      </x:c>
      <x:c r="I257" s="22" t="str">
        <x:v>Hard Case for iPad mini 4/5</x:v>
      </x:c>
      <x:c r="J257" s="22" t="str">
        <x:v>iPad mini 4/5</x:v>
      </x:c>
      <x:c r="K257" s="22" t="str">
        <x:v>IPAD-MINI45</x:v>
      </x:c>
      <x:c r="L257" s="22" t="str">
        <x:v>iPad mini 4/5</x:v>
      </x:c>
      <x:c r="M257" s="22" t="str">
        <x:v>Proposed</x:v>
      </x:c>
      <x:c r="N257" s="22" t="str">
        <x:v>https://dghyt15qon7us.cloudfront.net/images/productTheme/Inventory/small/1643165783.jpg</x:v>
      </x:c>
      <x:c r="O257" s="22" t="str">
        <x:v>https://dghyt15qon7us.cloudfront.net/images/productTheme/Inventory/small/1643165842.jpg</x:v>
      </x:c>
      <x:c r="P257" s="19" t="str">
        <x:v>park-ridge</x:v>
      </x:c>
      <x:c r="Q257" s="20" t="n">
        <x:v>1</x:v>
      </x:c>
      <x:c r="R257" s="20" t="n">
        <x:f>MAX(0,Q257)</x:f>
        <x:v>1</x:v>
      </x:c>
      <x:c r="S257" s="21" t="n">
        <x:v>19.5</x:v>
      </x:c>
      <x:c r="T257" s="21" t="n">
        <x:f>IF(OR(F257="Hard Case",F257="Bubble Hard Case"),15,IF(F257="Twist Leather Case",5,IF(F257="Z-Fold Case",4,IFERROR(VLOOKUP(B257,'Cost Overrides'!$A$2:$B$17,2,FALSE),S257))))</x:f>
        <x:v>15</x:v>
      </x:c>
      <x:c r="U257" s="21" t="str">
        <x:f>IF(OR(F257="Hard Case",F257="Bubble Hard Case"),"Confirmed: Hard Case",IF(F257="Twist Leather Case","Confirmed: Twist Leather Case",IF(F257="Z-Fold Case","Confirmed: Z-Fold Case",IF(COUNTIF('Cost Overrides'!$A$2:$A$17,B257)&gt;0,"Confirmed: Owner cost override",IF(S257&lt;=0,"Needs cost","Source cost")))))</x:f>
        <x:v>Confirmed: Hard Case</x:v>
      </x:c>
      <x:c r="V257" s="21" t="n">
        <x:v>49.95</x:v>
      </x:c>
      <x:c r="W257" s="21" t="n">
        <x:f>V257</x:f>
        <x:v>49.95</x:v>
      </x:c>
      <x:c r="X257" s="19" t="str">
        <x:v>NO</x:v>
      </x:c>
      <x:c r="Y257" s="19" t="str">
        <x:v>NO</x:v>
      </x:c>
      <x:c r="Z257" s="19" t="str">
        <x:v>42456111</x:v>
      </x:c>
      <x:c r="AA257" s="19" t="str">
        <x:v>50748747</x:v>
      </x:c>
      <x:c r="AB257" s="22" t="str">
        <x:f>IF(OR(M257&lt;&gt;"Approved",U257="Needs cost",O257=""),"Needs review","Ready after approval")</x:f>
        <x:v>Needs review</x:v>
      </x:c>
      <x:c r="AC257" s="22" t="str"/>
    </x:row>
    <x:row r="258">
      <x:c r="A258" s="19" t="str">
        <x:v>6400</x:v>
      </x:c>
      <x:c r="B258" s="19" t="str">
        <x:v>TM8-TAB-6400</x:v>
      </x:c>
      <x:c r="C258" s="19" t="str">
        <x:v>2999000064007</x:v>
      </x:c>
      <x:c r="D258" s="22" t="str">
        <x:v>iPad Hard Case mini 4/5 Blue</x:v>
      </x:c>
      <x:c r="E258" s="22" t="str">
        <x:v>Hard Case for iPad mini 4/5 - Blue</x:v>
      </x:c>
      <x:c r="F258" s="22" t="str">
        <x:v>Hard Case</x:v>
      </x:c>
      <x:c r="G258" s="22" t="str">
        <x:v>Blue</x:v>
      </x:c>
      <x:c r="H258" s="22" t="str">
        <x:v>TM8-GRP-IPAD-MINI45-HDC</x:v>
      </x:c>
      <x:c r="I258" s="22" t="str">
        <x:v>Hard Case for iPad mini 4/5</x:v>
      </x:c>
      <x:c r="J258" s="22" t="str">
        <x:v>iPad mini 4/5</x:v>
      </x:c>
      <x:c r="K258" s="22" t="str">
        <x:v>IPAD-MINI45</x:v>
      </x:c>
      <x:c r="L258" s="22" t="str">
        <x:v>iPad mini 4/5</x:v>
      </x:c>
      <x:c r="M258" s="22" t="str">
        <x:v>Proposed</x:v>
      </x:c>
      <x:c r="N258" s="22" t="str">
        <x:v>https://dghyt15qon7us.cloudfront.net/images/productTheme/Inventory/small/1643165764.jpg</x:v>
      </x:c>
      <x:c r="O258" s="22" t="str">
        <x:v>https://dghyt15qon7us.cloudfront.net/images/productTheme/Inventory/small/1643165842.jpg</x:v>
      </x:c>
      <x:c r="P258" s="19" t="str">
        <x:v>park-ridge</x:v>
      </x:c>
      <x:c r="Q258" s="20" t="n">
        <x:v>1</x:v>
      </x:c>
      <x:c r="R258" s="20" t="n">
        <x:f>MAX(0,Q258)</x:f>
        <x:v>1</x:v>
      </x:c>
      <x:c r="S258" s="21" t="n">
        <x:v>19.5</x:v>
      </x:c>
      <x:c r="T258" s="21" t="n">
        <x:f>IF(OR(F258="Hard Case",F258="Bubble Hard Case"),15,IF(F258="Twist Leather Case",5,IF(F258="Z-Fold Case",4,IFERROR(VLOOKUP(B258,'Cost Overrides'!$A$2:$B$17,2,FALSE),S258))))</x:f>
        <x:v>15</x:v>
      </x:c>
      <x:c r="U258" s="21" t="str">
        <x:f>IF(OR(F258="Hard Case",F258="Bubble Hard Case"),"Confirmed: Hard Case",IF(F258="Twist Leather Case","Confirmed: Twist Leather Case",IF(F258="Z-Fold Case","Confirmed: Z-Fold Case",IF(COUNTIF('Cost Overrides'!$A$2:$A$17,B258)&gt;0,"Confirmed: Owner cost override",IF(S258&lt;=0,"Needs cost","Source cost")))))</x:f>
        <x:v>Confirmed: Hard Case</x:v>
      </x:c>
      <x:c r="V258" s="21" t="n">
        <x:v>49.95</x:v>
      </x:c>
      <x:c r="W258" s="21" t="n">
        <x:f>V258</x:f>
        <x:v>49.95</x:v>
      </x:c>
      <x:c r="X258" s="19" t="str">
        <x:v>NO</x:v>
      </x:c>
      <x:c r="Y258" s="19" t="str">
        <x:v>NO</x:v>
      </x:c>
      <x:c r="Z258" s="19" t="str">
        <x:v>42456110</x:v>
      </x:c>
      <x:c r="AA258" s="19" t="str">
        <x:v>50748746</x:v>
      </x:c>
      <x:c r="AB258" s="22" t="str">
        <x:f>IF(OR(M258&lt;&gt;"Approved",U258="Needs cost",O258=""),"Needs review","Ready after approval")</x:f>
        <x:v>Needs review</x:v>
      </x:c>
      <x:c r="AC258" s="22" t="str"/>
    </x:row>
    <x:row r="259">
      <x:c r="A259" s="19" t="str">
        <x:v>6399</x:v>
      </x:c>
      <x:c r="B259" s="19" t="str">
        <x:v>TM8-TAB-6399</x:v>
      </x:c>
      <x:c r="C259" s="19" t="str">
        <x:v>2999000063994</x:v>
      </x:c>
      <x:c r="D259" s="22" t="str">
        <x:v>iPad Hard Case mini 4/5 Green</x:v>
      </x:c>
      <x:c r="E259" s="22" t="str">
        <x:v>Hard Case for iPad mini 4/5 - Green</x:v>
      </x:c>
      <x:c r="F259" s="22" t="str">
        <x:v>Hard Case</x:v>
      </x:c>
      <x:c r="G259" s="22" t="str">
        <x:v>Green</x:v>
      </x:c>
      <x:c r="H259" s="22" t="str">
        <x:v>TM8-GRP-IPAD-MINI45-HDC</x:v>
      </x:c>
      <x:c r="I259" s="22" t="str">
        <x:v>Hard Case for iPad mini 4/5</x:v>
      </x:c>
      <x:c r="J259" s="22" t="str">
        <x:v>iPad mini 4/5</x:v>
      </x:c>
      <x:c r="K259" s="22" t="str">
        <x:v>IPAD-MINI45</x:v>
      </x:c>
      <x:c r="L259" s="22" t="str">
        <x:v>iPad mini 4/5</x:v>
      </x:c>
      <x:c r="M259" s="22" t="str">
        <x:v>Proposed</x:v>
      </x:c>
      <x:c r="N259" s="22" t="str">
        <x:v>https://dghyt15qon7us.cloudfront.net/images/productTheme/Inventory/small/1643165732.jpg</x:v>
      </x:c>
      <x:c r="O259" s="22" t="str">
        <x:v>https://dghyt15qon7us.cloudfront.net/images/productTheme/Inventory/small/1643165842.jpg</x:v>
      </x:c>
      <x:c r="P259" s="19" t="str">
        <x:v>park-ridge</x:v>
      </x:c>
      <x:c r="Q259" s="20" t="n">
        <x:v>0</x:v>
      </x:c>
      <x:c r="R259" s="20" t="n">
        <x:f>MAX(0,Q259)</x:f>
        <x:v>0</x:v>
      </x:c>
      <x:c r="S259" s="21" t="n">
        <x:v>19.5</x:v>
      </x:c>
      <x:c r="T259" s="21" t="n">
        <x:f>IF(OR(F259="Hard Case",F259="Bubble Hard Case"),15,IF(F259="Twist Leather Case",5,IF(F259="Z-Fold Case",4,IFERROR(VLOOKUP(B259,'Cost Overrides'!$A$2:$B$17,2,FALSE),S259))))</x:f>
        <x:v>15</x:v>
      </x:c>
      <x:c r="U259" s="21" t="str">
        <x:f>IF(OR(F259="Hard Case",F259="Bubble Hard Case"),"Confirmed: Hard Case",IF(F259="Twist Leather Case","Confirmed: Twist Leather Case",IF(F259="Z-Fold Case","Confirmed: Z-Fold Case",IF(COUNTIF('Cost Overrides'!$A$2:$A$17,B259)&gt;0,"Confirmed: Owner cost override",IF(S259&lt;=0,"Needs cost","Source cost")))))</x:f>
        <x:v>Confirmed: Hard Case</x:v>
      </x:c>
      <x:c r="V259" s="21" t="n">
        <x:v>49.95</x:v>
      </x:c>
      <x:c r="W259" s="21" t="n">
        <x:f>V259</x:f>
        <x:v>49.95</x:v>
      </x:c>
      <x:c r="X259" s="19" t="str">
        <x:v>NO</x:v>
      </x:c>
      <x:c r="Y259" s="19" t="str">
        <x:v>NO</x:v>
      </x:c>
      <x:c r="Z259" s="19" t="str">
        <x:v>42456109</x:v>
      </x:c>
      <x:c r="AA259" s="19" t="str">
        <x:v>50748745</x:v>
      </x:c>
      <x:c r="AB259" s="22" t="str">
        <x:f>IF(OR(M259&lt;&gt;"Approved",U259="Needs cost",O259=""),"Needs review","Ready after approval")</x:f>
        <x:v>Needs review</x:v>
      </x:c>
      <x:c r="AC259" s="22" t="str"/>
    </x:row>
    <x:row r="260">
      <x:c r="A260" s="19" t="str">
        <x:v>6398</x:v>
      </x:c>
      <x:c r="B260" s="19" t="str">
        <x:v>TM8-TAB-6398</x:v>
      </x:c>
      <x:c r="C260" s="19" t="str">
        <x:v>2999000063987</x:v>
      </x:c>
      <x:c r="D260" s="22" t="str">
        <x:v>iPad Hard Case mini 4/5 Purple</x:v>
      </x:c>
      <x:c r="E260" s="22" t="str">
        <x:v>Hard Case for iPad mini 4/5 - Purple</x:v>
      </x:c>
      <x:c r="F260" s="22" t="str">
        <x:v>Hard Case</x:v>
      </x:c>
      <x:c r="G260" s="22" t="str">
        <x:v>Purple</x:v>
      </x:c>
      <x:c r="H260" s="22" t="str">
        <x:v>TM8-GRP-IPAD-MINI45-HDC</x:v>
      </x:c>
      <x:c r="I260" s="22" t="str">
        <x:v>Hard Case for iPad mini 4/5</x:v>
      </x:c>
      <x:c r="J260" s="22" t="str">
        <x:v>iPad mini 4/5</x:v>
      </x:c>
      <x:c r="K260" s="22" t="str">
        <x:v>IPAD-MINI45</x:v>
      </x:c>
      <x:c r="L260" s="22" t="str">
        <x:v>iPad mini 4/5</x:v>
      </x:c>
      <x:c r="M260" s="22" t="str">
        <x:v>Proposed</x:v>
      </x:c>
      <x:c r="N260" s="22" t="str">
        <x:v>https://dghyt15qon7us.cloudfront.net/images/productTheme/Inventory/small/1643165670.jpg</x:v>
      </x:c>
      <x:c r="O260" s="22" t="str">
        <x:v>https://dghyt15qon7us.cloudfront.net/images/productTheme/Inventory/small/1643165842.jpg</x:v>
      </x:c>
      <x:c r="P260" s="19" t="str">
        <x:v>park-ridge</x:v>
      </x:c>
      <x:c r="Q260" s="20" t="n">
        <x:v>0</x:v>
      </x:c>
      <x:c r="R260" s="20" t="n">
        <x:f>MAX(0,Q260)</x:f>
        <x:v>0</x:v>
      </x:c>
      <x:c r="S260" s="21" t="n">
        <x:v>19.5</x:v>
      </x:c>
      <x:c r="T260" s="21" t="n">
        <x:f>IF(OR(F260="Hard Case",F260="Bubble Hard Case"),15,IF(F260="Twist Leather Case",5,IF(F260="Z-Fold Case",4,IFERROR(VLOOKUP(B260,'Cost Overrides'!$A$2:$B$17,2,FALSE),S260))))</x:f>
        <x:v>15</x:v>
      </x:c>
      <x:c r="U260" s="21" t="str">
        <x:f>IF(OR(F260="Hard Case",F260="Bubble Hard Case"),"Confirmed: Hard Case",IF(F260="Twist Leather Case","Confirmed: Twist Leather Case",IF(F260="Z-Fold Case","Confirmed: Z-Fold Case",IF(COUNTIF('Cost Overrides'!$A$2:$A$17,B260)&gt;0,"Confirmed: Owner cost override",IF(S260&lt;=0,"Needs cost","Source cost")))))</x:f>
        <x:v>Confirmed: Hard Case</x:v>
      </x:c>
      <x:c r="V260" s="21" t="n">
        <x:v>49.95</x:v>
      </x:c>
      <x:c r="W260" s="21" t="n">
        <x:f>V260</x:f>
        <x:v>49.95</x:v>
      </x:c>
      <x:c r="X260" s="19" t="str">
        <x:v>NO</x:v>
      </x:c>
      <x:c r="Y260" s="19" t="str">
        <x:v>NO</x:v>
      </x:c>
      <x:c r="Z260" s="19" t="str">
        <x:v>42456108</x:v>
      </x:c>
      <x:c r="AA260" s="19" t="str">
        <x:v>50748744</x:v>
      </x:c>
      <x:c r="AB260" s="22" t="str">
        <x:f>IF(OR(M260&lt;&gt;"Approved",U260="Needs cost",O260=""),"Needs review","Ready after approval")</x:f>
        <x:v>Needs review</x:v>
      </x:c>
      <x:c r="AC260" s="22" t="str"/>
    </x:row>
    <x:row r="261">
      <x:c r="A261" s="19" t="str">
        <x:v>6397</x:v>
      </x:c>
      <x:c r="B261" s="19" t="str">
        <x:v>TM8-TAB-6397</x:v>
      </x:c>
      <x:c r="C261" s="19" t="str">
        <x:v>2999000063970</x:v>
      </x:c>
      <x:c r="D261" s="22" t="str">
        <x:v>iPad Hard Case 12.9 Inch Black</x:v>
      </x:c>
      <x:c r="E261" s="22" t="str">
        <x:v>Hard Case for iPad Pro 12.9-inch (2018-2022) - Black</x:v>
      </x:c>
      <x:c r="F261" s="22" t="str">
        <x:v>Hard Case</x:v>
      </x:c>
      <x:c r="G261" s="22" t="str">
        <x:v>Black</x:v>
      </x:c>
      <x:c r="H261" s="22" t="str">
        <x:v>TM8-GRP-IPAD-129-LEGACY-HDC</x:v>
      </x:c>
      <x:c r="I261" s="22" t="str">
        <x:v>Hard Case for iPad Pro 12.9-inch (2018-2022)</x:v>
      </x:c>
      <x:c r="J261" s="22" t="str">
        <x:v>iPad 12.9 inch</x:v>
      </x:c>
      <x:c r="K261" s="22" t="str">
        <x:v>IPAD-129-LEGACY</x:v>
      </x:c>
      <x:c r="L261" s="22" t="str">
        <x:v>iPad Pro 12.9-inch (2018-2022)</x:v>
      </x:c>
      <x:c r="M261" s="22" t="str">
        <x:v>Approved</x:v>
      </x:c>
      <x:c r="N261" s="22" t="str">
        <x:v>https://dghyt15qon7us.cloudfront.net/images/productTheme/Inventory/small/1643165589.jpg</x:v>
      </x:c>
      <x:c r="O261" s="22" t="str">
        <x:v>https://dghyt15qon7us.cloudfront.net/images/productTheme/Inventory/small/1643165589.jpg</x:v>
      </x:c>
      <x:c r="P261" s="19" t="str">
        <x:v>park-ridge</x:v>
      </x:c>
      <x:c r="Q261" s="20" t="n">
        <x:v>0</x:v>
      </x:c>
      <x:c r="R261" s="20" t="n">
        <x:f>MAX(0,Q261)</x:f>
        <x:v>0</x:v>
      </x:c>
      <x:c r="S261" s="21" t="n">
        <x:v>19.5</x:v>
      </x:c>
      <x:c r="T261" s="21" t="n">
        <x:f>IF(OR(F261="Hard Case",F261="Bubble Hard Case"),15,IF(F261="Twist Leather Case",5,IF(F261="Z-Fold Case",4,IFERROR(VLOOKUP(B261,'Cost Overrides'!$A$2:$B$17,2,FALSE),S261))))</x:f>
        <x:v>15</x:v>
      </x:c>
      <x:c r="U261" s="21" t="str">
        <x:f>IF(OR(F261="Hard Case",F261="Bubble Hard Case"),"Confirmed: Hard Case",IF(F261="Twist Leather Case","Confirmed: Twist Leather Case",IF(F261="Z-Fold Case","Confirmed: Z-Fold Case",IF(COUNTIF('Cost Overrides'!$A$2:$A$17,B261)&gt;0,"Confirmed: Owner cost override",IF(S261&lt;=0,"Needs cost","Source cost")))))</x:f>
        <x:v>Confirmed: Hard Case</x:v>
      </x:c>
      <x:c r="V261" s="21" t="n">
        <x:v>49.95</x:v>
      </x:c>
      <x:c r="W261" s="21" t="n">
        <x:f>V261</x:f>
        <x:v>49.95</x:v>
      </x:c>
      <x:c r="X261" s="19" t="str">
        <x:v>NO</x:v>
      </x:c>
      <x:c r="Y261" s="19" t="str">
        <x:v>NO</x:v>
      </x:c>
      <x:c r="Z261" s="19" t="str">
        <x:v>42456107</x:v>
      </x:c>
      <x:c r="AA261" s="19" t="str">
        <x:v>50748743</x:v>
      </x:c>
      <x:c r="AB261" s="22" t="str">
        <x:f>IF(OR(M261&lt;&gt;"Approved",U261="Needs cost",O261=""),"Needs review","Ready after approval")</x:f>
        <x:v>Ready after approval</x:v>
      </x:c>
      <x:c r="AC261" s="22" t="str"/>
    </x:row>
    <x:row r="262">
      <x:c r="A262" s="19" t="str">
        <x:v>6396</x:v>
      </x:c>
      <x:c r="B262" s="19" t="str">
        <x:v>TM8-TAB-6396</x:v>
      </x:c>
      <x:c r="C262" s="19" t="str">
        <x:v>2999000063963</x:v>
      </x:c>
      <x:c r="D262" s="22" t="str">
        <x:v>iPad Hard Case 12.9 Inch Red</x:v>
      </x:c>
      <x:c r="E262" s="22" t="str">
        <x:v>Hard Case for iPad Pro 12.9-inch (2018-2022) - Red</x:v>
      </x:c>
      <x:c r="F262" s="22" t="str">
        <x:v>Hard Case</x:v>
      </x:c>
      <x:c r="G262" s="22" t="str">
        <x:v>Red</x:v>
      </x:c>
      <x:c r="H262" s="22" t="str">
        <x:v>TM8-GRP-IPAD-129-LEGACY-HDC</x:v>
      </x:c>
      <x:c r="I262" s="22" t="str">
        <x:v>Hard Case for iPad Pro 12.9-inch (2018-2022)</x:v>
      </x:c>
      <x:c r="J262" s="22" t="str">
        <x:v>iPad 12.9 inch</x:v>
      </x:c>
      <x:c r="K262" s="22" t="str">
        <x:v>IPAD-129-LEGACY</x:v>
      </x:c>
      <x:c r="L262" s="22" t="str">
        <x:v>iPad Pro 12.9-inch (2018-2022)</x:v>
      </x:c>
      <x:c r="M262" s="22" t="str">
        <x:v>Approved</x:v>
      </x:c>
      <x:c r="N262" s="22" t="str">
        <x:v>https://dghyt15qon7us.cloudfront.net/images/productTheme/Inventory/small/1643165544.jpg</x:v>
      </x:c>
      <x:c r="O262" s="22" t="str">
        <x:v>https://dghyt15qon7us.cloudfront.net/images/productTheme/Inventory/small/1643165589.jpg</x:v>
      </x:c>
      <x:c r="P262" s="19" t="str">
        <x:v>park-ridge</x:v>
      </x:c>
      <x:c r="Q262" s="20" t="n">
        <x:v>3</x:v>
      </x:c>
      <x:c r="R262" s="20" t="n">
        <x:f>MAX(0,Q262)</x:f>
        <x:v>3</x:v>
      </x:c>
      <x:c r="S262" s="21" t="n">
        <x:v>19.5</x:v>
      </x:c>
      <x:c r="T262" s="21" t="n">
        <x:f>IF(OR(F262="Hard Case",F262="Bubble Hard Case"),15,IF(F262="Twist Leather Case",5,IF(F262="Z-Fold Case",4,IFERROR(VLOOKUP(B262,'Cost Overrides'!$A$2:$B$17,2,FALSE),S262))))</x:f>
        <x:v>15</x:v>
      </x:c>
      <x:c r="U262" s="21" t="str">
        <x:f>IF(OR(F262="Hard Case",F262="Bubble Hard Case"),"Confirmed: Hard Case",IF(F262="Twist Leather Case","Confirmed: Twist Leather Case",IF(F262="Z-Fold Case","Confirmed: Z-Fold Case",IF(COUNTIF('Cost Overrides'!$A$2:$A$17,B262)&gt;0,"Confirmed: Owner cost override",IF(S262&lt;=0,"Needs cost","Source cost")))))</x:f>
        <x:v>Confirmed: Hard Case</x:v>
      </x:c>
      <x:c r="V262" s="21" t="n">
        <x:v>49.95</x:v>
      </x:c>
      <x:c r="W262" s="21" t="n">
        <x:f>V262</x:f>
        <x:v>49.95</x:v>
      </x:c>
      <x:c r="X262" s="19" t="str">
        <x:v>NO</x:v>
      </x:c>
      <x:c r="Y262" s="19" t="str">
        <x:v>NO</x:v>
      </x:c>
      <x:c r="Z262" s="19" t="str">
        <x:v>42456106</x:v>
      </x:c>
      <x:c r="AA262" s="19" t="str">
        <x:v>50748742</x:v>
      </x:c>
      <x:c r="AB262" s="22" t="str">
        <x:f>IF(OR(M262&lt;&gt;"Approved",U262="Needs cost",O262=""),"Needs review","Ready after approval")</x:f>
        <x:v>Ready after approval</x:v>
      </x:c>
      <x:c r="AC262" s="22" t="str"/>
    </x:row>
    <x:row r="263">
      <x:c r="A263" s="19" t="str">
        <x:v>6395</x:v>
      </x:c>
      <x:c r="B263" s="19" t="str">
        <x:v>TM8-TAB-6395</x:v>
      </x:c>
      <x:c r="C263" s="19" t="str">
        <x:v>2999000063956</x:v>
      </x:c>
      <x:c r="D263" s="22" t="str">
        <x:v>iPad Hard Case 12.9 Inch Pink</x:v>
      </x:c>
      <x:c r="E263" s="22" t="str">
        <x:v>Hard Case for iPad Pro 12.9-inch (2018-2022) - Pink</x:v>
      </x:c>
      <x:c r="F263" s="22" t="str">
        <x:v>Hard Case</x:v>
      </x:c>
      <x:c r="G263" s="22" t="str">
        <x:v>Pink</x:v>
      </x:c>
      <x:c r="H263" s="22" t="str">
        <x:v>TM8-GRP-IPAD-129-LEGACY-HDC</x:v>
      </x:c>
      <x:c r="I263" s="22" t="str">
        <x:v>Hard Case for iPad Pro 12.9-inch (2018-2022)</x:v>
      </x:c>
      <x:c r="J263" s="22" t="str">
        <x:v>iPad 12.9 inch</x:v>
      </x:c>
      <x:c r="K263" s="22" t="str">
        <x:v>IPAD-129-LEGACY</x:v>
      </x:c>
      <x:c r="L263" s="22" t="str">
        <x:v>iPad Pro 12.9-inch (2018-2022)</x:v>
      </x:c>
      <x:c r="M263" s="22" t="str">
        <x:v>Approved</x:v>
      </x:c>
      <x:c r="N263" s="22" t="str">
        <x:v>https://dghyt15qon7us.cloudfront.net/images/productTheme/Inventory/small/164316552742456105.jpg</x:v>
      </x:c>
      <x:c r="O263" s="22" t="str">
        <x:v>https://dghyt15qon7us.cloudfront.net/images/productTheme/Inventory/small/1643165589.jpg</x:v>
      </x:c>
      <x:c r="P263" s="19" t="str">
        <x:v>park-ridge</x:v>
      </x:c>
      <x:c r="Q263" s="20" t="n">
        <x:v>1</x:v>
      </x:c>
      <x:c r="R263" s="20" t="n">
        <x:f>MAX(0,Q263)</x:f>
        <x:v>1</x:v>
      </x:c>
      <x:c r="S263" s="21" t="n">
        <x:v>19.5</x:v>
      </x:c>
      <x:c r="T263" s="21" t="n">
        <x:f>IF(OR(F263="Hard Case",F263="Bubble Hard Case"),15,IF(F263="Twist Leather Case",5,IF(F263="Z-Fold Case",4,IFERROR(VLOOKUP(B263,'Cost Overrides'!$A$2:$B$17,2,FALSE),S263))))</x:f>
        <x:v>15</x:v>
      </x:c>
      <x:c r="U263" s="21" t="str">
        <x:f>IF(OR(F263="Hard Case",F263="Bubble Hard Case"),"Confirmed: Hard Case",IF(F263="Twist Leather Case","Confirmed: Twist Leather Case",IF(F263="Z-Fold Case","Confirmed: Z-Fold Case",IF(COUNTIF('Cost Overrides'!$A$2:$A$17,B263)&gt;0,"Confirmed: Owner cost override",IF(S263&lt;=0,"Needs cost","Source cost")))))</x:f>
        <x:v>Confirmed: Hard Case</x:v>
      </x:c>
      <x:c r="V263" s="21" t="n">
        <x:v>49.95</x:v>
      </x:c>
      <x:c r="W263" s="21" t="n">
        <x:f>V263</x:f>
        <x:v>49.95</x:v>
      </x:c>
      <x:c r="X263" s="19" t="str">
        <x:v>NO</x:v>
      </x:c>
      <x:c r="Y263" s="19" t="str">
        <x:v>NO</x:v>
      </x:c>
      <x:c r="Z263" s="19" t="str">
        <x:v>42456105</x:v>
      </x:c>
      <x:c r="AA263" s="19" t="str">
        <x:v>50748741</x:v>
      </x:c>
      <x:c r="AB263" s="22" t="str">
        <x:f>IF(OR(M263&lt;&gt;"Approved",U263="Needs cost",O263=""),"Needs review","Ready after approval")</x:f>
        <x:v>Ready after approval</x:v>
      </x:c>
      <x:c r="AC263" s="22" t="str"/>
    </x:row>
    <x:row r="264">
      <x:c r="A264" s="19" t="str">
        <x:v>6394</x:v>
      </x:c>
      <x:c r="B264" s="19" t="str">
        <x:v>TM8-TAB-6394</x:v>
      </x:c>
      <x:c r="C264" s="19" t="str">
        <x:v>2999000063949</x:v>
      </x:c>
      <x:c r="D264" s="22" t="str">
        <x:v>iPad Hard Case 12.9 Inch Blue</x:v>
      </x:c>
      <x:c r="E264" s="22" t="str">
        <x:v>Hard Case for iPad Pro 12.9-inch (2018-2022) - Blue</x:v>
      </x:c>
      <x:c r="F264" s="22" t="str">
        <x:v>Hard Case</x:v>
      </x:c>
      <x:c r="G264" s="22" t="str">
        <x:v>Blue</x:v>
      </x:c>
      <x:c r="H264" s="22" t="str">
        <x:v>TM8-GRP-IPAD-129-LEGACY-HDC</x:v>
      </x:c>
      <x:c r="I264" s="22" t="str">
        <x:v>Hard Case for iPad Pro 12.9-inch (2018-2022)</x:v>
      </x:c>
      <x:c r="J264" s="22" t="str">
        <x:v>iPad 12.9 inch</x:v>
      </x:c>
      <x:c r="K264" s="22" t="str">
        <x:v>IPAD-129-LEGACY</x:v>
      </x:c>
      <x:c r="L264" s="22" t="str">
        <x:v>iPad Pro 12.9-inch (2018-2022)</x:v>
      </x:c>
      <x:c r="M264" s="22" t="str">
        <x:v>Approved</x:v>
      </x:c>
      <x:c r="N264" s="22" t="str">
        <x:v>https://dghyt15qon7us.cloudfront.net/images/productTheme/Inventory/small/1643165440.jpg</x:v>
      </x:c>
      <x:c r="O264" s="22" t="str">
        <x:v>https://dghyt15qon7us.cloudfront.net/images/productTheme/Inventory/small/1643165589.jpg</x:v>
      </x:c>
      <x:c r="P264" s="19" t="str">
        <x:v>park-ridge</x:v>
      </x:c>
      <x:c r="Q264" s="20" t="n">
        <x:v>3</x:v>
      </x:c>
      <x:c r="R264" s="20" t="n">
        <x:f>MAX(0,Q264)</x:f>
        <x:v>3</x:v>
      </x:c>
      <x:c r="S264" s="21" t="n">
        <x:v>19.5</x:v>
      </x:c>
      <x:c r="T264" s="21" t="n">
        <x:f>IF(OR(F264="Hard Case",F264="Bubble Hard Case"),15,IF(F264="Twist Leather Case",5,IF(F264="Z-Fold Case",4,IFERROR(VLOOKUP(B264,'Cost Overrides'!$A$2:$B$17,2,FALSE),S264))))</x:f>
        <x:v>15</x:v>
      </x:c>
      <x:c r="U264" s="21" t="str">
        <x:f>IF(OR(F264="Hard Case",F264="Bubble Hard Case"),"Confirmed: Hard Case",IF(F264="Twist Leather Case","Confirmed: Twist Leather Case",IF(F264="Z-Fold Case","Confirmed: Z-Fold Case",IF(COUNTIF('Cost Overrides'!$A$2:$A$17,B264)&gt;0,"Confirmed: Owner cost override",IF(S264&lt;=0,"Needs cost","Source cost")))))</x:f>
        <x:v>Confirmed: Hard Case</x:v>
      </x:c>
      <x:c r="V264" s="21" t="n">
        <x:v>49.95</x:v>
      </x:c>
      <x:c r="W264" s="21" t="n">
        <x:f>V264</x:f>
        <x:v>49.95</x:v>
      </x:c>
      <x:c r="X264" s="19" t="str">
        <x:v>NO</x:v>
      </x:c>
      <x:c r="Y264" s="19" t="str">
        <x:v>NO</x:v>
      </x:c>
      <x:c r="Z264" s="19" t="str">
        <x:v>42456104</x:v>
      </x:c>
      <x:c r="AA264" s="19" t="str">
        <x:v>50748740</x:v>
      </x:c>
      <x:c r="AB264" s="22" t="str">
        <x:f>IF(OR(M264&lt;&gt;"Approved",U264="Needs cost",O264=""),"Needs review","Ready after approval")</x:f>
        <x:v>Ready after approval</x:v>
      </x:c>
      <x:c r="AC264" s="22" t="str"/>
    </x:row>
    <x:row r="265">
      <x:c r="A265" s="19" t="str">
        <x:v>6393</x:v>
      </x:c>
      <x:c r="B265" s="19" t="str">
        <x:v>TM8-TAB-6393</x:v>
      </x:c>
      <x:c r="C265" s="19" t="str">
        <x:v>2999000063932</x:v>
      </x:c>
      <x:c r="D265" s="22" t="str">
        <x:v>iPad Hard Case 12.9 Inch Green</x:v>
      </x:c>
      <x:c r="E265" s="22" t="str">
        <x:v>Hard Case for iPad Pro 12.9-inch (2018-2022) - Green</x:v>
      </x:c>
      <x:c r="F265" s="22" t="str">
        <x:v>Hard Case</x:v>
      </x:c>
      <x:c r="G265" s="22" t="str">
        <x:v>Green</x:v>
      </x:c>
      <x:c r="H265" s="22" t="str">
        <x:v>TM8-GRP-IPAD-129-LEGACY-HDC</x:v>
      </x:c>
      <x:c r="I265" s="22" t="str">
        <x:v>Hard Case for iPad Pro 12.9-inch (2018-2022)</x:v>
      </x:c>
      <x:c r="J265" s="22" t="str">
        <x:v>iPad 12.9 inch</x:v>
      </x:c>
      <x:c r="K265" s="22" t="str">
        <x:v>IPAD-129-LEGACY</x:v>
      </x:c>
      <x:c r="L265" s="22" t="str">
        <x:v>iPad Pro 12.9-inch (2018-2022)</x:v>
      </x:c>
      <x:c r="M265" s="22" t="str">
        <x:v>Approved</x:v>
      </x:c>
      <x:c r="N265" s="22" t="str">
        <x:v>https://dghyt15qon7us.cloudfront.net/images/productTheme/Inventory/small/1643165383.jpg</x:v>
      </x:c>
      <x:c r="O265" s="22" t="str">
        <x:v>https://dghyt15qon7us.cloudfront.net/images/productTheme/Inventory/small/1643165589.jpg</x:v>
      </x:c>
      <x:c r="P265" s="19" t="str">
        <x:v>park-ridge</x:v>
      </x:c>
      <x:c r="Q265" s="20" t="n">
        <x:v>2</x:v>
      </x:c>
      <x:c r="R265" s="20" t="n">
        <x:f>MAX(0,Q265)</x:f>
        <x:v>2</x:v>
      </x:c>
      <x:c r="S265" s="21" t="n">
        <x:v>19.5</x:v>
      </x:c>
      <x:c r="T265" s="21" t="n">
        <x:f>IF(OR(F265="Hard Case",F265="Bubble Hard Case"),15,IF(F265="Twist Leather Case",5,IF(F265="Z-Fold Case",4,IFERROR(VLOOKUP(B265,'Cost Overrides'!$A$2:$B$17,2,FALSE),S265))))</x:f>
        <x:v>15</x:v>
      </x:c>
      <x:c r="U265" s="21" t="str">
        <x:f>IF(OR(F265="Hard Case",F265="Bubble Hard Case"),"Confirmed: Hard Case",IF(F265="Twist Leather Case","Confirmed: Twist Leather Case",IF(F265="Z-Fold Case","Confirmed: Z-Fold Case",IF(COUNTIF('Cost Overrides'!$A$2:$A$17,B265)&gt;0,"Confirmed: Owner cost override",IF(S265&lt;=0,"Needs cost","Source cost")))))</x:f>
        <x:v>Confirmed: Hard Case</x:v>
      </x:c>
      <x:c r="V265" s="21" t="n">
        <x:v>49.95</x:v>
      </x:c>
      <x:c r="W265" s="21" t="n">
        <x:f>V265</x:f>
        <x:v>49.95</x:v>
      </x:c>
      <x:c r="X265" s="19" t="str">
        <x:v>NO</x:v>
      </x:c>
      <x:c r="Y265" s="19" t="str">
        <x:v>NO</x:v>
      </x:c>
      <x:c r="Z265" s="19" t="str">
        <x:v>42456103</x:v>
      </x:c>
      <x:c r="AA265" s="19" t="str">
        <x:v>50748739</x:v>
      </x:c>
      <x:c r="AB265" s="22" t="str">
        <x:f>IF(OR(M265&lt;&gt;"Approved",U265="Needs cost",O265=""),"Needs review","Ready after approval")</x:f>
        <x:v>Ready after approval</x:v>
      </x:c>
      <x:c r="AC265" s="22" t="str"/>
    </x:row>
    <x:row r="266">
      <x:c r="A266" s="19" t="str">
        <x:v>6392</x:v>
      </x:c>
      <x:c r="B266" s="19" t="str">
        <x:v>TM8-TAB-6392</x:v>
      </x:c>
      <x:c r="C266" s="19" t="str">
        <x:v>2999000063925</x:v>
      </x:c>
      <x:c r="D266" s="22" t="str">
        <x:v>iPad Hard Case 12.9 Inch Purple</x:v>
      </x:c>
      <x:c r="E266" s="22" t="str">
        <x:v>Hard Case for iPad Pro 12.9-inch (2018-2022) - Purple</x:v>
      </x:c>
      <x:c r="F266" s="22" t="str">
        <x:v>Hard Case</x:v>
      </x:c>
      <x:c r="G266" s="22" t="str">
        <x:v>Purple</x:v>
      </x:c>
      <x:c r="H266" s="22" t="str">
        <x:v>TM8-GRP-IPAD-129-LEGACY-HDC</x:v>
      </x:c>
      <x:c r="I266" s="22" t="str">
        <x:v>Hard Case for iPad Pro 12.9-inch (2018-2022)</x:v>
      </x:c>
      <x:c r="J266" s="22" t="str">
        <x:v>iPad 12.9 inch</x:v>
      </x:c>
      <x:c r="K266" s="22" t="str">
        <x:v>IPAD-129-LEGACY</x:v>
      </x:c>
      <x:c r="L266" s="22" t="str">
        <x:v>iPad Pro 12.9-inch (2018-2022)</x:v>
      </x:c>
      <x:c r="M266" s="22" t="str">
        <x:v>Approved</x:v>
      </x:c>
      <x:c r="N266" s="22" t="str">
        <x:v>https://dghyt15qon7us.cloudfront.net/images/productTheme/Inventory/small/1643165327.jpg</x:v>
      </x:c>
      <x:c r="O266" s="22" t="str">
        <x:v>https://dghyt15qon7us.cloudfront.net/images/productTheme/Inventory/small/1643165589.jpg</x:v>
      </x:c>
      <x:c r="P266" s="19" t="str">
        <x:v>park-ridge</x:v>
      </x:c>
      <x:c r="Q266" s="20" t="n">
        <x:v>1</x:v>
      </x:c>
      <x:c r="R266" s="20" t="n">
        <x:f>MAX(0,Q266)</x:f>
        <x:v>1</x:v>
      </x:c>
      <x:c r="S266" s="21" t="n">
        <x:v>19.5</x:v>
      </x:c>
      <x:c r="T266" s="21" t="n">
        <x:f>IF(OR(F266="Hard Case",F266="Bubble Hard Case"),15,IF(F266="Twist Leather Case",5,IF(F266="Z-Fold Case",4,IFERROR(VLOOKUP(B266,'Cost Overrides'!$A$2:$B$17,2,FALSE),S266))))</x:f>
        <x:v>15</x:v>
      </x:c>
      <x:c r="U266" s="21" t="str">
        <x:f>IF(OR(F266="Hard Case",F266="Bubble Hard Case"),"Confirmed: Hard Case",IF(F266="Twist Leather Case","Confirmed: Twist Leather Case",IF(F266="Z-Fold Case","Confirmed: Z-Fold Case",IF(COUNTIF('Cost Overrides'!$A$2:$A$17,B266)&gt;0,"Confirmed: Owner cost override",IF(S266&lt;=0,"Needs cost","Source cost")))))</x:f>
        <x:v>Confirmed: Hard Case</x:v>
      </x:c>
      <x:c r="V266" s="21" t="n">
        <x:v>49.95</x:v>
      </x:c>
      <x:c r="W266" s="21" t="n">
        <x:f>V266</x:f>
        <x:v>49.95</x:v>
      </x:c>
      <x:c r="X266" s="19" t="str">
        <x:v>NO</x:v>
      </x:c>
      <x:c r="Y266" s="19" t="str">
        <x:v>NO</x:v>
      </x:c>
      <x:c r="Z266" s="19" t="str">
        <x:v>42456102</x:v>
      </x:c>
      <x:c r="AA266" s="19" t="str">
        <x:v>50748738</x:v>
      </x:c>
      <x:c r="AB266" s="22" t="str">
        <x:f>IF(OR(M266&lt;&gt;"Approved",U266="Needs cost",O266=""),"Needs review","Ready after approval")</x:f>
        <x:v>Ready after approval</x:v>
      </x:c>
      <x:c r="AC266" s="22" t="str"/>
    </x:row>
    <x:row r="267">
      <x:c r="A267" s="19" t="str">
        <x:v>6382</x:v>
      </x:c>
      <x:c r="B267" s="19" t="str">
        <x:v>TM8-TAB-6382</x:v>
      </x:c>
      <x:c r="C267" s="19" t="str">
        <x:v>2999000063826</x:v>
      </x:c>
      <x:c r="D267" s="22" t="str">
        <x:v>iPad Hard Case Air 4/5 , Por 11 Black</x:v>
      </x:c>
      <x:c r="E267" s="22" t="str">
        <x:v>Hard Case for iPad Air 4/5 and iPad Pro 11 (2018-2022) - Black</x:v>
      </x:c>
      <x:c r="F267" s="22" t="str">
        <x:v>Hard Case</x:v>
      </x:c>
      <x:c r="G267" s="22" t="str">
        <x:v>Black</x:v>
      </x:c>
      <x:c r="H267" s="22" t="str">
        <x:v>TM8-GRP-IPAD-AIR45-PRO11-HDC</x:v>
      </x:c>
      <x:c r="I267" s="22" t="str">
        <x:v>Hard Case for iPad Air 4/5 and iPad Pro 11 (2018-2022)</x:v>
      </x:c>
      <x:c r="J267" s="22" t="str">
        <x:v>iPad Air 4/5, Pro 11</x:v>
      </x:c>
      <x:c r="K267" s="22" t="str">
        <x:v>IPAD-AIR45-PRO11</x:v>
      </x:c>
      <x:c r="L267" s="22" t="str">
        <x:v>iPad Air 4/5 and iPad Pro 11 (2018-2022)</x:v>
      </x:c>
      <x:c r="M267" s="22" t="str">
        <x:v>Approved</x:v>
      </x:c>
      <x:c r="N267" s="22" t="str">
        <x:v>https://dghyt15qon7us.cloudfront.net/images/productTheme/Inventory/small/1643164124.jpg</x:v>
      </x:c>
      <x:c r="O267" s="22" t="str">
        <x:v>https://dghyt15qon7us.cloudfront.net/images/productTheme/Inventory/small/1643164124.jpg</x:v>
      </x:c>
      <x:c r="P267" s="19" t="str">
        <x:v>park-ridge</x:v>
      </x:c>
      <x:c r="Q267" s="20" t="n">
        <x:v>0</x:v>
      </x:c>
      <x:c r="R267" s="20" t="n">
        <x:f>MAX(0,Q267)</x:f>
        <x:v>0</x:v>
      </x:c>
      <x:c r="S267" s="21" t="n">
        <x:v>19.5</x:v>
      </x:c>
      <x:c r="T267" s="21" t="n">
        <x:f>IF(OR(F267="Hard Case",F267="Bubble Hard Case"),15,IF(F267="Twist Leather Case",5,IF(F267="Z-Fold Case",4,IFERROR(VLOOKUP(B267,'Cost Overrides'!$A$2:$B$17,2,FALSE),S267))))</x:f>
        <x:v>15</x:v>
      </x:c>
      <x:c r="U267" s="21" t="str">
        <x:f>IF(OR(F267="Hard Case",F267="Bubble Hard Case"),"Confirmed: Hard Case",IF(F267="Twist Leather Case","Confirmed: Twist Leather Case",IF(F267="Z-Fold Case","Confirmed: Z-Fold Case",IF(COUNTIF('Cost Overrides'!$A$2:$A$17,B267)&gt;0,"Confirmed: Owner cost override",IF(S267&lt;=0,"Needs cost","Source cost")))))</x:f>
        <x:v>Confirmed: Hard Case</x:v>
      </x:c>
      <x:c r="V267" s="21" t="n">
        <x:v>49.95</x:v>
      </x:c>
      <x:c r="W267" s="21" t="n">
        <x:f>V267</x:f>
        <x:v>49.95</x:v>
      </x:c>
      <x:c r="X267" s="19" t="str">
        <x:v>NO</x:v>
      </x:c>
      <x:c r="Y267" s="19" t="str">
        <x:v>NO</x:v>
      </x:c>
      <x:c r="Z267" s="19" t="str">
        <x:v>42456092</x:v>
      </x:c>
      <x:c r="AA267" s="19" t="str">
        <x:v>50748728</x:v>
      </x:c>
      <x:c r="AB267" s="22" t="str">
        <x:f>IF(OR(M267&lt;&gt;"Approved",U267="Needs cost",O267=""),"Needs review","Ready after approval")</x:f>
        <x:v>Ready after approval</x:v>
      </x:c>
      <x:c r="AC267" s="22" t="str"/>
    </x:row>
    <x:row r="268">
      <x:c r="A268" s="19" t="str">
        <x:v>6381</x:v>
      </x:c>
      <x:c r="B268" s="19" t="str">
        <x:v>TM8-TAB-6381</x:v>
      </x:c>
      <x:c r="C268" s="19" t="str">
        <x:v>2999000063819</x:v>
      </x:c>
      <x:c r="D268" s="22" t="str">
        <x:v>iPad Hard Case Air 4/5 , Por 11 Red</x:v>
      </x:c>
      <x:c r="E268" s="22" t="str">
        <x:v>Hard Case for iPad Air 4/5 and iPad Pro 11 (2018-2022) - Red</x:v>
      </x:c>
      <x:c r="F268" s="22" t="str">
        <x:v>Hard Case</x:v>
      </x:c>
      <x:c r="G268" s="22" t="str">
        <x:v>Red</x:v>
      </x:c>
      <x:c r="H268" s="22" t="str">
        <x:v>TM8-GRP-IPAD-AIR45-PRO11-HDC</x:v>
      </x:c>
      <x:c r="I268" s="22" t="str">
        <x:v>Hard Case for iPad Air 4/5 and iPad Pro 11 (2018-2022)</x:v>
      </x:c>
      <x:c r="J268" s="22" t="str">
        <x:v>iPad Air 4/5, Pro 11</x:v>
      </x:c>
      <x:c r="K268" s="22" t="str">
        <x:v>IPAD-AIR45-PRO11</x:v>
      </x:c>
      <x:c r="L268" s="22" t="str">
        <x:v>iPad Air 4/5 and iPad Pro 11 (2018-2022)</x:v>
      </x:c>
      <x:c r="M268" s="22" t="str">
        <x:v>Approved</x:v>
      </x:c>
      <x:c r="N268" s="22" t="str">
        <x:v>https://dghyt15qon7us.cloudfront.net/images/productTheme/Inventory/small/1643164060.jpg</x:v>
      </x:c>
      <x:c r="O268" s="22" t="str">
        <x:v>https://dghyt15qon7us.cloudfront.net/images/productTheme/Inventory/small/1643164124.jpg</x:v>
      </x:c>
      <x:c r="P268" s="19" t="str">
        <x:v>park-ridge</x:v>
      </x:c>
      <x:c r="Q268" s="20" t="n">
        <x:v>5</x:v>
      </x:c>
      <x:c r="R268" s="20" t="n">
        <x:f>MAX(0,Q268)</x:f>
        <x:v>5</x:v>
      </x:c>
      <x:c r="S268" s="21" t="n">
        <x:v>19.5</x:v>
      </x:c>
      <x:c r="T268" s="21" t="n">
        <x:f>IF(OR(F268="Hard Case",F268="Bubble Hard Case"),15,IF(F268="Twist Leather Case",5,IF(F268="Z-Fold Case",4,IFERROR(VLOOKUP(B268,'Cost Overrides'!$A$2:$B$17,2,FALSE),S268))))</x:f>
        <x:v>15</x:v>
      </x:c>
      <x:c r="U268" s="21" t="str">
        <x:f>IF(OR(F268="Hard Case",F268="Bubble Hard Case"),"Confirmed: Hard Case",IF(F268="Twist Leather Case","Confirmed: Twist Leather Case",IF(F268="Z-Fold Case","Confirmed: Z-Fold Case",IF(COUNTIF('Cost Overrides'!$A$2:$A$17,B268)&gt;0,"Confirmed: Owner cost override",IF(S268&lt;=0,"Needs cost","Source cost")))))</x:f>
        <x:v>Confirmed: Hard Case</x:v>
      </x:c>
      <x:c r="V268" s="21" t="n">
        <x:v>49.95</x:v>
      </x:c>
      <x:c r="W268" s="21" t="n">
        <x:f>V268</x:f>
        <x:v>49.95</x:v>
      </x:c>
      <x:c r="X268" s="19" t="str">
        <x:v>NO</x:v>
      </x:c>
      <x:c r="Y268" s="19" t="str">
        <x:v>NO</x:v>
      </x:c>
      <x:c r="Z268" s="19" t="str">
        <x:v>42456091</x:v>
      </x:c>
      <x:c r="AA268" s="19" t="str">
        <x:v>50748727</x:v>
      </x:c>
      <x:c r="AB268" s="22" t="str">
        <x:f>IF(OR(M268&lt;&gt;"Approved",U268="Needs cost",O268=""),"Needs review","Ready after approval")</x:f>
        <x:v>Ready after approval</x:v>
      </x:c>
      <x:c r="AC268" s="22" t="str"/>
    </x:row>
    <x:row r="269">
      <x:c r="A269" s="19" t="str">
        <x:v>6380</x:v>
      </x:c>
      <x:c r="B269" s="19" t="str">
        <x:v>TM8-TAB-6380</x:v>
      </x:c>
      <x:c r="C269" s="19" t="str">
        <x:v>2999000063802</x:v>
      </x:c>
      <x:c r="D269" s="22" t="str">
        <x:v>iPad Hard Case Air 4/5 , Por 11 Pink</x:v>
      </x:c>
      <x:c r="E269" s="22" t="str">
        <x:v>Hard Case for iPad Air 4/5 and iPad Pro 11 (2018-2022) - Pink</x:v>
      </x:c>
      <x:c r="F269" s="22" t="str">
        <x:v>Hard Case</x:v>
      </x:c>
      <x:c r="G269" s="22" t="str">
        <x:v>Pink</x:v>
      </x:c>
      <x:c r="H269" s="22" t="str">
        <x:v>TM8-GRP-IPAD-AIR45-PRO11-HDC</x:v>
      </x:c>
      <x:c r="I269" s="22" t="str">
        <x:v>Hard Case for iPad Air 4/5 and iPad Pro 11 (2018-2022)</x:v>
      </x:c>
      <x:c r="J269" s="22" t="str">
        <x:v>iPad Air 4/5, Pro 11</x:v>
      </x:c>
      <x:c r="K269" s="22" t="str">
        <x:v>IPAD-AIR45-PRO11</x:v>
      </x:c>
      <x:c r="L269" s="22" t="str">
        <x:v>iPad Air 4/5 and iPad Pro 11 (2018-2022)</x:v>
      </x:c>
      <x:c r="M269" s="22" t="str">
        <x:v>Approved</x:v>
      </x:c>
      <x:c r="N269" s="22" t="str">
        <x:v>https://dghyt15qon7us.cloudfront.net/images/productTheme/Inventory/small/1643163833.jpg</x:v>
      </x:c>
      <x:c r="O269" s="22" t="str">
        <x:v>https://dghyt15qon7us.cloudfront.net/images/productTheme/Inventory/small/1643164124.jpg</x:v>
      </x:c>
      <x:c r="P269" s="19" t="str">
        <x:v>park-ridge</x:v>
      </x:c>
      <x:c r="Q269" s="20" t="n">
        <x:v>1</x:v>
      </x:c>
      <x:c r="R269" s="20" t="n">
        <x:f>MAX(0,Q269)</x:f>
        <x:v>1</x:v>
      </x:c>
      <x:c r="S269" s="21" t="n">
        <x:v>19.5</x:v>
      </x:c>
      <x:c r="T269" s="21" t="n">
        <x:f>IF(OR(F269="Hard Case",F269="Bubble Hard Case"),15,IF(F269="Twist Leather Case",5,IF(F269="Z-Fold Case",4,IFERROR(VLOOKUP(B269,'Cost Overrides'!$A$2:$B$17,2,FALSE),S269))))</x:f>
        <x:v>15</x:v>
      </x:c>
      <x:c r="U269" s="21" t="str">
        <x:f>IF(OR(F269="Hard Case",F269="Bubble Hard Case"),"Confirmed: Hard Case",IF(F269="Twist Leather Case","Confirmed: Twist Leather Case",IF(F269="Z-Fold Case","Confirmed: Z-Fold Case",IF(COUNTIF('Cost Overrides'!$A$2:$A$17,B269)&gt;0,"Confirmed: Owner cost override",IF(S269&lt;=0,"Needs cost","Source cost")))))</x:f>
        <x:v>Confirmed: Hard Case</x:v>
      </x:c>
      <x:c r="V269" s="21" t="n">
        <x:v>49.95</x:v>
      </x:c>
      <x:c r="W269" s="21" t="n">
        <x:f>V269</x:f>
        <x:v>49.95</x:v>
      </x:c>
      <x:c r="X269" s="19" t="str">
        <x:v>NO</x:v>
      </x:c>
      <x:c r="Y269" s="19" t="str">
        <x:v>NO</x:v>
      </x:c>
      <x:c r="Z269" s="19" t="str">
        <x:v>42456090</x:v>
      </x:c>
      <x:c r="AA269" s="19" t="str">
        <x:v>50748726</x:v>
      </x:c>
      <x:c r="AB269" s="22" t="str">
        <x:f>IF(OR(M269&lt;&gt;"Approved",U269="Needs cost",O269=""),"Needs review","Ready after approval")</x:f>
        <x:v>Ready after approval</x:v>
      </x:c>
      <x:c r="AC269" s="22" t="str"/>
    </x:row>
    <x:row r="270">
      <x:c r="A270" s="19" t="str">
        <x:v>6379</x:v>
      </x:c>
      <x:c r="B270" s="19" t="str">
        <x:v>TM8-TAB-6379</x:v>
      </x:c>
      <x:c r="C270" s="19" t="str">
        <x:v>2999000063796</x:v>
      </x:c>
      <x:c r="D270" s="22" t="str">
        <x:v>iPad Hard Case Air 4/5 , Por 11 Blue</x:v>
      </x:c>
      <x:c r="E270" s="22" t="str">
        <x:v>Hard Case for iPad Air 4/5 and iPad Pro 11 (2018-2022) - Blue</x:v>
      </x:c>
      <x:c r="F270" s="22" t="str">
        <x:v>Hard Case</x:v>
      </x:c>
      <x:c r="G270" s="22" t="str">
        <x:v>Blue</x:v>
      </x:c>
      <x:c r="H270" s="22" t="str">
        <x:v>TM8-GRP-IPAD-AIR45-PRO11-HDC</x:v>
      </x:c>
      <x:c r="I270" s="22" t="str">
        <x:v>Hard Case for iPad Air 4/5 and iPad Pro 11 (2018-2022)</x:v>
      </x:c>
      <x:c r="J270" s="22" t="str">
        <x:v>iPad Air 4/5, Pro 11</x:v>
      </x:c>
      <x:c r="K270" s="22" t="str">
        <x:v>IPAD-AIR45-PRO11</x:v>
      </x:c>
      <x:c r="L270" s="22" t="str">
        <x:v>iPad Air 4/5 and iPad Pro 11 (2018-2022)</x:v>
      </x:c>
      <x:c r="M270" s="22" t="str">
        <x:v>Approved</x:v>
      </x:c>
      <x:c r="N270" s="22" t="str">
        <x:v>https://dghyt15qon7us.cloudfront.net/images/productTheme/Inventory/small/1643163805.jpg</x:v>
      </x:c>
      <x:c r="O270" s="22" t="str">
        <x:v>https://dghyt15qon7us.cloudfront.net/images/productTheme/Inventory/small/1643164124.jpg</x:v>
      </x:c>
      <x:c r="P270" s="19" t="str">
        <x:v>park-ridge</x:v>
      </x:c>
      <x:c r="Q270" s="20" t="n">
        <x:v>0</x:v>
      </x:c>
      <x:c r="R270" s="20" t="n">
        <x:f>MAX(0,Q270)</x:f>
        <x:v>0</x:v>
      </x:c>
      <x:c r="S270" s="21" t="n">
        <x:v>19.5</x:v>
      </x:c>
      <x:c r="T270" s="21" t="n">
        <x:f>IF(OR(F270="Hard Case",F270="Bubble Hard Case"),15,IF(F270="Twist Leather Case",5,IF(F270="Z-Fold Case",4,IFERROR(VLOOKUP(B270,'Cost Overrides'!$A$2:$B$17,2,FALSE),S270))))</x:f>
        <x:v>15</x:v>
      </x:c>
      <x:c r="U270" s="21" t="str">
        <x:f>IF(OR(F270="Hard Case",F270="Bubble Hard Case"),"Confirmed: Hard Case",IF(F270="Twist Leather Case","Confirmed: Twist Leather Case",IF(F270="Z-Fold Case","Confirmed: Z-Fold Case",IF(COUNTIF('Cost Overrides'!$A$2:$A$17,B270)&gt;0,"Confirmed: Owner cost override",IF(S270&lt;=0,"Needs cost","Source cost")))))</x:f>
        <x:v>Confirmed: Hard Case</x:v>
      </x:c>
      <x:c r="V270" s="21" t="n">
        <x:v>49.95</x:v>
      </x:c>
      <x:c r="W270" s="21" t="n">
        <x:f>V270</x:f>
        <x:v>49.95</x:v>
      </x:c>
      <x:c r="X270" s="19" t="str">
        <x:v>NO</x:v>
      </x:c>
      <x:c r="Y270" s="19" t="str">
        <x:v>NO</x:v>
      </x:c>
      <x:c r="Z270" s="19" t="str">
        <x:v>42456089</x:v>
      </x:c>
      <x:c r="AA270" s="19" t="str">
        <x:v>50748725</x:v>
      </x:c>
      <x:c r="AB270" s="22" t="str">
        <x:f>IF(OR(M270&lt;&gt;"Approved",U270="Needs cost",O270=""),"Needs review","Ready after approval")</x:f>
        <x:v>Ready after approval</x:v>
      </x:c>
      <x:c r="AC270" s="22" t="str"/>
    </x:row>
    <x:row r="271">
      <x:c r="A271" s="19" t="str">
        <x:v>6378</x:v>
      </x:c>
      <x:c r="B271" s="19" t="str">
        <x:v>TM8-TAB-6378</x:v>
      </x:c>
      <x:c r="C271" s="19" t="str">
        <x:v>2999000063789</x:v>
      </x:c>
      <x:c r="D271" s="22" t="str">
        <x:v>iPad Hard Case Air 4/5 , Por 11 Green</x:v>
      </x:c>
      <x:c r="E271" s="22" t="str">
        <x:v>Hard Case for iPad Air 4/5 and iPad Pro 11 (2018-2022) - Green</x:v>
      </x:c>
      <x:c r="F271" s="22" t="str">
        <x:v>Hard Case</x:v>
      </x:c>
      <x:c r="G271" s="22" t="str">
        <x:v>Green</x:v>
      </x:c>
      <x:c r="H271" s="22" t="str">
        <x:v>TM8-GRP-IPAD-AIR45-PRO11-HDC</x:v>
      </x:c>
      <x:c r="I271" s="22" t="str">
        <x:v>Hard Case for iPad Air 4/5 and iPad Pro 11 (2018-2022)</x:v>
      </x:c>
      <x:c r="J271" s="22" t="str">
        <x:v>iPad Air 4/5, Pro 11</x:v>
      </x:c>
      <x:c r="K271" s="22" t="str">
        <x:v>IPAD-AIR45-PRO11</x:v>
      </x:c>
      <x:c r="L271" s="22" t="str">
        <x:v>iPad Air 4/5 and iPad Pro 11 (2018-2022)</x:v>
      </x:c>
      <x:c r="M271" s="22" t="str">
        <x:v>Approved</x:v>
      </x:c>
      <x:c r="N271" s="22" t="str">
        <x:v>https://dghyt15qon7us.cloudfront.net/images/productTheme/Inventory/small/1643163747.jpg</x:v>
      </x:c>
      <x:c r="O271" s="22" t="str">
        <x:v>https://dghyt15qon7us.cloudfront.net/images/productTheme/Inventory/small/1643164124.jpg</x:v>
      </x:c>
      <x:c r="P271" s="19" t="str">
        <x:v>park-ridge</x:v>
      </x:c>
      <x:c r="Q271" s="20" t="n">
        <x:v>5</x:v>
      </x:c>
      <x:c r="R271" s="20" t="n">
        <x:f>MAX(0,Q271)</x:f>
        <x:v>5</x:v>
      </x:c>
      <x:c r="S271" s="21" t="n">
        <x:v>19.5</x:v>
      </x:c>
      <x:c r="T271" s="21" t="n">
        <x:f>IF(OR(F271="Hard Case",F271="Bubble Hard Case"),15,IF(F271="Twist Leather Case",5,IF(F271="Z-Fold Case",4,IFERROR(VLOOKUP(B271,'Cost Overrides'!$A$2:$B$17,2,FALSE),S271))))</x:f>
        <x:v>15</x:v>
      </x:c>
      <x:c r="U271" s="21" t="str">
        <x:f>IF(OR(F271="Hard Case",F271="Bubble Hard Case"),"Confirmed: Hard Case",IF(F271="Twist Leather Case","Confirmed: Twist Leather Case",IF(F271="Z-Fold Case","Confirmed: Z-Fold Case",IF(COUNTIF('Cost Overrides'!$A$2:$A$17,B271)&gt;0,"Confirmed: Owner cost override",IF(S271&lt;=0,"Needs cost","Source cost")))))</x:f>
        <x:v>Confirmed: Hard Case</x:v>
      </x:c>
      <x:c r="V271" s="21" t="n">
        <x:v>49.95</x:v>
      </x:c>
      <x:c r="W271" s="21" t="n">
        <x:f>V271</x:f>
        <x:v>49.95</x:v>
      </x:c>
      <x:c r="X271" s="19" t="str">
        <x:v>NO</x:v>
      </x:c>
      <x:c r="Y271" s="19" t="str">
        <x:v>NO</x:v>
      </x:c>
      <x:c r="Z271" s="19" t="str">
        <x:v>42456088</x:v>
      </x:c>
      <x:c r="AA271" s="19" t="str">
        <x:v>50748724</x:v>
      </x:c>
      <x:c r="AB271" s="22" t="str">
        <x:f>IF(OR(M271&lt;&gt;"Approved",U271="Needs cost",O271=""),"Needs review","Ready after approval")</x:f>
        <x:v>Ready after approval</x:v>
      </x:c>
      <x:c r="AC271" s="22" t="str"/>
    </x:row>
    <x:row r="272">
      <x:c r="A272" s="19" t="str">
        <x:v>6377</x:v>
      </x:c>
      <x:c r="B272" s="19" t="str">
        <x:v>TM8-TAB-6377</x:v>
      </x:c>
      <x:c r="C272" s="19" t="str">
        <x:v>2999000063772</x:v>
      </x:c>
      <x:c r="D272" s="22" t="str">
        <x:v>iPad Hard Case Air 4/5 , Por 11 Purple</x:v>
      </x:c>
      <x:c r="E272" s="22" t="str">
        <x:v>Hard Case for iPad Air 4/5 and iPad Pro 11 (2018-2022) - Purple</x:v>
      </x:c>
      <x:c r="F272" s="22" t="str">
        <x:v>Hard Case</x:v>
      </x:c>
      <x:c r="G272" s="22" t="str">
        <x:v>Purple</x:v>
      </x:c>
      <x:c r="H272" s="22" t="str">
        <x:v>TM8-GRP-IPAD-AIR45-PRO11-HDC</x:v>
      </x:c>
      <x:c r="I272" s="22" t="str">
        <x:v>Hard Case for iPad Air 4/5 and iPad Pro 11 (2018-2022)</x:v>
      </x:c>
      <x:c r="J272" s="22" t="str">
        <x:v>iPad Air 4/5, Pro 11</x:v>
      </x:c>
      <x:c r="K272" s="22" t="str">
        <x:v>IPAD-AIR45-PRO11</x:v>
      </x:c>
      <x:c r="L272" s="22" t="str">
        <x:v>iPad Air 4/5 and iPad Pro 11 (2018-2022)</x:v>
      </x:c>
      <x:c r="M272" s="22" t="str">
        <x:v>Approved</x:v>
      </x:c>
      <x:c r="N272" s="22" t="str">
        <x:v>https://dghyt15qon7us.cloudfront.net/images/productTheme/Inventory/small/1643163719.jpg</x:v>
      </x:c>
      <x:c r="O272" s="22" t="str">
        <x:v>https://dghyt15qon7us.cloudfront.net/images/productTheme/Inventory/small/1643164124.jpg</x:v>
      </x:c>
      <x:c r="P272" s="19" t="str">
        <x:v>park-ridge</x:v>
      </x:c>
      <x:c r="Q272" s="20" t="n">
        <x:v>0</x:v>
      </x:c>
      <x:c r="R272" s="20" t="n">
        <x:f>MAX(0,Q272)</x:f>
        <x:v>0</x:v>
      </x:c>
      <x:c r="S272" s="21" t="n">
        <x:v>19.5</x:v>
      </x:c>
      <x:c r="T272" s="21" t="n">
        <x:f>IF(OR(F272="Hard Case",F272="Bubble Hard Case"),15,IF(F272="Twist Leather Case",5,IF(F272="Z-Fold Case",4,IFERROR(VLOOKUP(B272,'Cost Overrides'!$A$2:$B$17,2,FALSE),S272))))</x:f>
        <x:v>15</x:v>
      </x:c>
      <x:c r="U272" s="21" t="str">
        <x:f>IF(OR(F272="Hard Case",F272="Bubble Hard Case"),"Confirmed: Hard Case",IF(F272="Twist Leather Case","Confirmed: Twist Leather Case",IF(F272="Z-Fold Case","Confirmed: Z-Fold Case",IF(COUNTIF('Cost Overrides'!$A$2:$A$17,B272)&gt;0,"Confirmed: Owner cost override",IF(S272&lt;=0,"Needs cost","Source cost")))))</x:f>
        <x:v>Confirmed: Hard Case</x:v>
      </x:c>
      <x:c r="V272" s="21" t="n">
        <x:v>49.95</x:v>
      </x:c>
      <x:c r="W272" s="21" t="n">
        <x:f>V272</x:f>
        <x:v>49.95</x:v>
      </x:c>
      <x:c r="X272" s="19" t="str">
        <x:v>NO</x:v>
      </x:c>
      <x:c r="Y272" s="19" t="str">
        <x:v>NO</x:v>
      </x:c>
      <x:c r="Z272" s="19" t="str">
        <x:v>42456087</x:v>
      </x:c>
      <x:c r="AA272" s="19" t="str">
        <x:v>50748723</x:v>
      </x:c>
      <x:c r="AB272" s="22" t="str">
        <x:f>IF(OR(M272&lt;&gt;"Approved",U272="Needs cost",O272=""),"Needs review","Ready after approval")</x:f>
        <x:v>Ready after approval</x:v>
      </x:c>
      <x:c r="AC272" s="22" t="str"/>
    </x:row>
    <x:row r="273">
      <x:c r="A273" s="19" t="str">
        <x:v>6376</x:v>
      </x:c>
      <x:c r="B273" s="19" t="str">
        <x:v>TM8-TAB-6376</x:v>
      </x:c>
      <x:c r="C273" s="19" t="str">
        <x:v>2999000063765</x:v>
      </x:c>
      <x:c r="D273" s="22" t="str">
        <x:v>iPad Hard Case 10.2 Inch Black</x:v>
      </x:c>
      <x:c r="E273" s="22" t="str">
        <x:v>Hard Case for iPad 10.2-inch (Gen 7/8/9) - Black</x:v>
      </x:c>
      <x:c r="F273" s="22" t="str">
        <x:v>Hard Case</x:v>
      </x:c>
      <x:c r="G273" s="22" t="str">
        <x:v>Black</x:v>
      </x:c>
      <x:c r="H273" s="22" t="str">
        <x:v>TM8-GRP-IPAD-102-GEN789-HDC</x:v>
      </x:c>
      <x:c r="I273" s="22" t="str">
        <x:v>Hard Case for iPad 10.2-inch (Gen 7/8/9)</x:v>
      </x:c>
      <x:c r="J273" s="22" t="str">
        <x:v>iPad 10.2 Inch</x:v>
      </x:c>
      <x:c r="K273" s="22" t="str">
        <x:v>IPAD-102-GEN789</x:v>
      </x:c>
      <x:c r="L273" s="22" t="str">
        <x:v>iPad 10.2-inch (Gen 7/8/9)</x:v>
      </x:c>
      <x:c r="M273" s="22" t="str">
        <x:v>Proposed</x:v>
      </x:c>
      <x:c r="N273" s="22" t="str">
        <x:v>https://dghyt15qon7us.cloudfront.net/images/productTheme/Inventory/small/1643163643.jpg</x:v>
      </x:c>
      <x:c r="O273" s="22" t="str">
        <x:v>https://dghyt15qon7us.cloudfront.net/images/productTheme/Inventory/small/1643163643.jpg</x:v>
      </x:c>
      <x:c r="P273" s="19" t="str">
        <x:v>park-ridge</x:v>
      </x:c>
      <x:c r="Q273" s="20" t="n">
        <x:v>1</x:v>
      </x:c>
      <x:c r="R273" s="20" t="n">
        <x:f>MAX(0,Q273)</x:f>
        <x:v>1</x:v>
      </x:c>
      <x:c r="S273" s="21" t="n">
        <x:v>19.5</x:v>
      </x:c>
      <x:c r="T273" s="21" t="n">
        <x:f>IF(OR(F273="Hard Case",F273="Bubble Hard Case"),15,IF(F273="Twist Leather Case",5,IF(F273="Z-Fold Case",4,IFERROR(VLOOKUP(B273,'Cost Overrides'!$A$2:$B$17,2,FALSE),S273))))</x:f>
        <x:v>15</x:v>
      </x:c>
      <x:c r="U273" s="21" t="str">
        <x:f>IF(OR(F273="Hard Case",F273="Bubble Hard Case"),"Confirmed: Hard Case",IF(F273="Twist Leather Case","Confirmed: Twist Leather Case",IF(F273="Z-Fold Case","Confirmed: Z-Fold Case",IF(COUNTIF('Cost Overrides'!$A$2:$A$17,B273)&gt;0,"Confirmed: Owner cost override",IF(S273&lt;=0,"Needs cost","Source cost")))))</x:f>
        <x:v>Confirmed: Hard Case</x:v>
      </x:c>
      <x:c r="V273" s="21" t="n">
        <x:v>49.95</x:v>
      </x:c>
      <x:c r="W273" s="21" t="n">
        <x:f>V273</x:f>
        <x:v>49.95</x:v>
      </x:c>
      <x:c r="X273" s="19" t="str">
        <x:v>NO</x:v>
      </x:c>
      <x:c r="Y273" s="19" t="str">
        <x:v>NO</x:v>
      </x:c>
      <x:c r="Z273" s="19" t="str">
        <x:v>42456086</x:v>
      </x:c>
      <x:c r="AA273" s="19" t="str">
        <x:v>50748722</x:v>
      </x:c>
      <x:c r="AB273" s="22" t="str">
        <x:f>IF(OR(M273&lt;&gt;"Approved",U273="Needs cost",O273=""),"Needs review","Ready after approval")</x:f>
        <x:v>Needs review</x:v>
      </x:c>
      <x:c r="AC273" s="22" t="str"/>
    </x:row>
    <x:row r="274">
      <x:c r="A274" s="19" t="str">
        <x:v>6375</x:v>
      </x:c>
      <x:c r="B274" s="19" t="str">
        <x:v>TM8-TAB-6375</x:v>
      </x:c>
      <x:c r="C274" s="19" t="str">
        <x:v>2999000063758</x:v>
      </x:c>
      <x:c r="D274" s="22" t="str">
        <x:v>iPad Hard Case 10.2 Inch Red</x:v>
      </x:c>
      <x:c r="E274" s="22" t="str">
        <x:v>Hard Case for iPad 10.2-inch (Gen 7/8/9) - Red</x:v>
      </x:c>
      <x:c r="F274" s="22" t="str">
        <x:v>Hard Case</x:v>
      </x:c>
      <x:c r="G274" s="22" t="str">
        <x:v>Red</x:v>
      </x:c>
      <x:c r="H274" s="22" t="str">
        <x:v>TM8-GRP-IPAD-102-GEN789-HDC</x:v>
      </x:c>
      <x:c r="I274" s="22" t="str">
        <x:v>Hard Case for iPad 10.2-inch (Gen 7/8/9)</x:v>
      </x:c>
      <x:c r="J274" s="22" t="str">
        <x:v>iPad 10.2 Inch</x:v>
      </x:c>
      <x:c r="K274" s="22" t="str">
        <x:v>IPAD-102-GEN789</x:v>
      </x:c>
      <x:c r="L274" s="22" t="str">
        <x:v>iPad 10.2-inch (Gen 7/8/9)</x:v>
      </x:c>
      <x:c r="M274" s="22" t="str">
        <x:v>Proposed</x:v>
      </x:c>
      <x:c r="N274" s="22" t="str">
        <x:v>https://dghyt15qon7us.cloudfront.net/images/productTheme/Inventory/small/1643163606.jpg</x:v>
      </x:c>
      <x:c r="O274" s="22" t="str">
        <x:v>https://dghyt15qon7us.cloudfront.net/images/productTheme/Inventory/small/1643163643.jpg</x:v>
      </x:c>
      <x:c r="P274" s="19" t="str">
        <x:v>park-ridge</x:v>
      </x:c>
      <x:c r="Q274" s="20" t="n">
        <x:v>0</x:v>
      </x:c>
      <x:c r="R274" s="20" t="n">
        <x:f>MAX(0,Q274)</x:f>
        <x:v>0</x:v>
      </x:c>
      <x:c r="S274" s="21" t="n">
        <x:v>19.5</x:v>
      </x:c>
      <x:c r="T274" s="21" t="n">
        <x:f>IF(OR(F274="Hard Case",F274="Bubble Hard Case"),15,IF(F274="Twist Leather Case",5,IF(F274="Z-Fold Case",4,IFERROR(VLOOKUP(B274,'Cost Overrides'!$A$2:$B$17,2,FALSE),S274))))</x:f>
        <x:v>15</x:v>
      </x:c>
      <x:c r="U274" s="21" t="str">
        <x:f>IF(OR(F274="Hard Case",F274="Bubble Hard Case"),"Confirmed: Hard Case",IF(F274="Twist Leather Case","Confirmed: Twist Leather Case",IF(F274="Z-Fold Case","Confirmed: Z-Fold Case",IF(COUNTIF('Cost Overrides'!$A$2:$A$17,B274)&gt;0,"Confirmed: Owner cost override",IF(S274&lt;=0,"Needs cost","Source cost")))))</x:f>
        <x:v>Confirmed: Hard Case</x:v>
      </x:c>
      <x:c r="V274" s="21" t="n">
        <x:v>49.95</x:v>
      </x:c>
      <x:c r="W274" s="21" t="n">
        <x:f>V274</x:f>
        <x:v>49.95</x:v>
      </x:c>
      <x:c r="X274" s="19" t="str">
        <x:v>NO</x:v>
      </x:c>
      <x:c r="Y274" s="19" t="str">
        <x:v>NO</x:v>
      </x:c>
      <x:c r="Z274" s="19" t="str">
        <x:v>42456085</x:v>
      </x:c>
      <x:c r="AA274" s="19" t="str">
        <x:v>50748721</x:v>
      </x:c>
      <x:c r="AB274" s="22" t="str">
        <x:f>IF(OR(M274&lt;&gt;"Approved",U274="Needs cost",O274=""),"Needs review","Ready after approval")</x:f>
        <x:v>Needs review</x:v>
      </x:c>
      <x:c r="AC274" s="22" t="str"/>
    </x:row>
    <x:row r="275">
      <x:c r="A275" s="19" t="str">
        <x:v>6374</x:v>
      </x:c>
      <x:c r="B275" s="19" t="str">
        <x:v>TM8-TAB-6374</x:v>
      </x:c>
      <x:c r="C275" s="19" t="str">
        <x:v>2999000063741</x:v>
      </x:c>
      <x:c r="D275" s="22" t="str">
        <x:v>iPad Hard Case 10.2 Inch Pink</x:v>
      </x:c>
      <x:c r="E275" s="22" t="str">
        <x:v>Hard Case for iPad 10.2-inch (Gen 7/8/9) - Pink</x:v>
      </x:c>
      <x:c r="F275" s="22" t="str">
        <x:v>Hard Case</x:v>
      </x:c>
      <x:c r="G275" s="22" t="str">
        <x:v>Pink</x:v>
      </x:c>
      <x:c r="H275" s="22" t="str">
        <x:v>TM8-GRP-IPAD-102-GEN789-HDC</x:v>
      </x:c>
      <x:c r="I275" s="22" t="str">
        <x:v>Hard Case for iPad 10.2-inch (Gen 7/8/9)</x:v>
      </x:c>
      <x:c r="J275" s="22" t="str">
        <x:v>iPad 10.2 Inch</x:v>
      </x:c>
      <x:c r="K275" s="22" t="str">
        <x:v>IPAD-102-GEN789</x:v>
      </x:c>
      <x:c r="L275" s="22" t="str">
        <x:v>iPad 10.2-inch (Gen 7/8/9)</x:v>
      </x:c>
      <x:c r="M275" s="22" t="str">
        <x:v>Proposed</x:v>
      </x:c>
      <x:c r="N275" s="22" t="str">
        <x:v>https://dghyt15qon7us.cloudfront.net/images/productTheme/Inventory/small/1643163582.jpg</x:v>
      </x:c>
      <x:c r="O275" s="22" t="str">
        <x:v>https://dghyt15qon7us.cloudfront.net/images/productTheme/Inventory/small/1643163643.jpg</x:v>
      </x:c>
      <x:c r="P275" s="19" t="str">
        <x:v>park-ridge</x:v>
      </x:c>
      <x:c r="Q275" s="20" t="n">
        <x:v>3</x:v>
      </x:c>
      <x:c r="R275" s="20" t="n">
        <x:f>MAX(0,Q275)</x:f>
        <x:v>3</x:v>
      </x:c>
      <x:c r="S275" s="21" t="n">
        <x:v>19.5</x:v>
      </x:c>
      <x:c r="T275" s="21" t="n">
        <x:f>IF(OR(F275="Hard Case",F275="Bubble Hard Case"),15,IF(F275="Twist Leather Case",5,IF(F275="Z-Fold Case",4,IFERROR(VLOOKUP(B275,'Cost Overrides'!$A$2:$B$17,2,FALSE),S275))))</x:f>
        <x:v>15</x:v>
      </x:c>
      <x:c r="U275" s="21" t="str">
        <x:f>IF(OR(F275="Hard Case",F275="Bubble Hard Case"),"Confirmed: Hard Case",IF(F275="Twist Leather Case","Confirmed: Twist Leather Case",IF(F275="Z-Fold Case","Confirmed: Z-Fold Case",IF(COUNTIF('Cost Overrides'!$A$2:$A$17,B275)&gt;0,"Confirmed: Owner cost override",IF(S275&lt;=0,"Needs cost","Source cost")))))</x:f>
        <x:v>Confirmed: Hard Case</x:v>
      </x:c>
      <x:c r="V275" s="21" t="n">
        <x:v>49.95</x:v>
      </x:c>
      <x:c r="W275" s="21" t="n">
        <x:f>V275</x:f>
        <x:v>49.95</x:v>
      </x:c>
      <x:c r="X275" s="19" t="str">
        <x:v>NO</x:v>
      </x:c>
      <x:c r="Y275" s="19" t="str">
        <x:v>NO</x:v>
      </x:c>
      <x:c r="Z275" s="19" t="str">
        <x:v>42456084</x:v>
      </x:c>
      <x:c r="AA275" s="19" t="str">
        <x:v>50748720</x:v>
      </x:c>
      <x:c r="AB275" s="22" t="str">
        <x:f>IF(OR(M275&lt;&gt;"Approved",U275="Needs cost",O275=""),"Needs review","Ready after approval")</x:f>
        <x:v>Needs review</x:v>
      </x:c>
      <x:c r="AC275" s="22" t="str"/>
    </x:row>
    <x:row r="276">
      <x:c r="A276" s="19" t="str">
        <x:v>6373</x:v>
      </x:c>
      <x:c r="B276" s="19" t="str">
        <x:v>TM8-TAB-6373</x:v>
      </x:c>
      <x:c r="C276" s="19" t="str">
        <x:v>2999000063734</x:v>
      </x:c>
      <x:c r="D276" s="22" t="str">
        <x:v>iPad Hard Case 10.2 Inch Blue</x:v>
      </x:c>
      <x:c r="E276" s="22" t="str">
        <x:v>Hard Case for iPad 10.2-inch (Gen 7/8/9) - Blue</x:v>
      </x:c>
      <x:c r="F276" s="22" t="str">
        <x:v>Hard Case</x:v>
      </x:c>
      <x:c r="G276" s="22" t="str">
        <x:v>Blue</x:v>
      </x:c>
      <x:c r="H276" s="22" t="str">
        <x:v>TM8-GRP-IPAD-102-GEN789-HDC</x:v>
      </x:c>
      <x:c r="I276" s="22" t="str">
        <x:v>Hard Case for iPad 10.2-inch (Gen 7/8/9)</x:v>
      </x:c>
      <x:c r="J276" s="22" t="str">
        <x:v>iPad 10.2 Inch</x:v>
      </x:c>
      <x:c r="K276" s="22" t="str">
        <x:v>IPAD-102-GEN789</x:v>
      </x:c>
      <x:c r="L276" s="22" t="str">
        <x:v>iPad 10.2-inch (Gen 7/8/9)</x:v>
      </x:c>
      <x:c r="M276" s="22" t="str">
        <x:v>Proposed</x:v>
      </x:c>
      <x:c r="N276" s="22" t="str">
        <x:v>https://dghyt15qon7us.cloudfront.net/images/productTheme/Inventory/small/1643163554.jpg</x:v>
      </x:c>
      <x:c r="O276" s="22" t="str">
        <x:v>https://dghyt15qon7us.cloudfront.net/images/productTheme/Inventory/small/1643163643.jpg</x:v>
      </x:c>
      <x:c r="P276" s="19" t="str">
        <x:v>park-ridge</x:v>
      </x:c>
      <x:c r="Q276" s="20" t="n">
        <x:v>3</x:v>
      </x:c>
      <x:c r="R276" s="20" t="n">
        <x:f>MAX(0,Q276)</x:f>
        <x:v>3</x:v>
      </x:c>
      <x:c r="S276" s="21" t="n">
        <x:v>19.5</x:v>
      </x:c>
      <x:c r="T276" s="21" t="n">
        <x:f>IF(OR(F276="Hard Case",F276="Bubble Hard Case"),15,IF(F276="Twist Leather Case",5,IF(F276="Z-Fold Case",4,IFERROR(VLOOKUP(B276,'Cost Overrides'!$A$2:$B$17,2,FALSE),S276))))</x:f>
        <x:v>15</x:v>
      </x:c>
      <x:c r="U276" s="21" t="str">
        <x:f>IF(OR(F276="Hard Case",F276="Bubble Hard Case"),"Confirmed: Hard Case",IF(F276="Twist Leather Case","Confirmed: Twist Leather Case",IF(F276="Z-Fold Case","Confirmed: Z-Fold Case",IF(COUNTIF('Cost Overrides'!$A$2:$A$17,B276)&gt;0,"Confirmed: Owner cost override",IF(S276&lt;=0,"Needs cost","Source cost")))))</x:f>
        <x:v>Confirmed: Hard Case</x:v>
      </x:c>
      <x:c r="V276" s="21" t="n">
        <x:v>49.95</x:v>
      </x:c>
      <x:c r="W276" s="21" t="n">
        <x:f>V276</x:f>
        <x:v>49.95</x:v>
      </x:c>
      <x:c r="X276" s="19" t="str">
        <x:v>NO</x:v>
      </x:c>
      <x:c r="Y276" s="19" t="str">
        <x:v>NO</x:v>
      </x:c>
      <x:c r="Z276" s="19" t="str">
        <x:v>42456083</x:v>
      </x:c>
      <x:c r="AA276" s="19" t="str">
        <x:v>50748719</x:v>
      </x:c>
      <x:c r="AB276" s="22" t="str">
        <x:f>IF(OR(M276&lt;&gt;"Approved",U276="Needs cost",O276=""),"Needs review","Ready after approval")</x:f>
        <x:v>Needs review</x:v>
      </x:c>
      <x:c r="AC276" s="22" t="str"/>
    </x:row>
    <x:row r="277">
      <x:c r="A277" s="19" t="str">
        <x:v>6372</x:v>
      </x:c>
      <x:c r="B277" s="19" t="str">
        <x:v>TM8-TAB-6372</x:v>
      </x:c>
      <x:c r="C277" s="19" t="str">
        <x:v>2999000063727</x:v>
      </x:c>
      <x:c r="D277" s="22" t="str">
        <x:v>iPad Hard Case 10.2 Inch Green</x:v>
      </x:c>
      <x:c r="E277" s="22" t="str">
        <x:v>Hard Case for iPad 10.2-inch (Gen 7/8/9) - Green</x:v>
      </x:c>
      <x:c r="F277" s="22" t="str">
        <x:v>Hard Case</x:v>
      </x:c>
      <x:c r="G277" s="22" t="str">
        <x:v>Green</x:v>
      </x:c>
      <x:c r="H277" s="22" t="str">
        <x:v>TM8-GRP-IPAD-102-GEN789-HDC</x:v>
      </x:c>
      <x:c r="I277" s="22" t="str">
        <x:v>Hard Case for iPad 10.2-inch (Gen 7/8/9)</x:v>
      </x:c>
      <x:c r="J277" s="22" t="str">
        <x:v>iPad 10.2 Inch</x:v>
      </x:c>
      <x:c r="K277" s="22" t="str">
        <x:v>IPAD-102-GEN789</x:v>
      </x:c>
      <x:c r="L277" s="22" t="str">
        <x:v>iPad 10.2-inch (Gen 7/8/9)</x:v>
      </x:c>
      <x:c r="M277" s="22" t="str">
        <x:v>Proposed</x:v>
      </x:c>
      <x:c r="N277" s="22" t="str">
        <x:v>https://dghyt15qon7us.cloudfront.net/images/productTheme/Inventory/small/1643163523.jpg</x:v>
      </x:c>
      <x:c r="O277" s="22" t="str">
        <x:v>https://dghyt15qon7us.cloudfront.net/images/productTheme/Inventory/small/1643163643.jpg</x:v>
      </x:c>
      <x:c r="P277" s="19" t="str">
        <x:v>park-ridge</x:v>
      </x:c>
      <x:c r="Q277" s="20" t="n">
        <x:v>1</x:v>
      </x:c>
      <x:c r="R277" s="20" t="n">
        <x:f>MAX(0,Q277)</x:f>
        <x:v>1</x:v>
      </x:c>
      <x:c r="S277" s="21" t="n">
        <x:v>19.5</x:v>
      </x:c>
      <x:c r="T277" s="21" t="n">
        <x:f>IF(OR(F277="Hard Case",F277="Bubble Hard Case"),15,IF(F277="Twist Leather Case",5,IF(F277="Z-Fold Case",4,IFERROR(VLOOKUP(B277,'Cost Overrides'!$A$2:$B$17,2,FALSE),S277))))</x:f>
        <x:v>15</x:v>
      </x:c>
      <x:c r="U277" s="21" t="str">
        <x:f>IF(OR(F277="Hard Case",F277="Bubble Hard Case"),"Confirmed: Hard Case",IF(F277="Twist Leather Case","Confirmed: Twist Leather Case",IF(F277="Z-Fold Case","Confirmed: Z-Fold Case",IF(COUNTIF('Cost Overrides'!$A$2:$A$17,B277)&gt;0,"Confirmed: Owner cost override",IF(S277&lt;=0,"Needs cost","Source cost")))))</x:f>
        <x:v>Confirmed: Hard Case</x:v>
      </x:c>
      <x:c r="V277" s="21" t="n">
        <x:v>49.95</x:v>
      </x:c>
      <x:c r="W277" s="21" t="n">
        <x:f>V277</x:f>
        <x:v>49.95</x:v>
      </x:c>
      <x:c r="X277" s="19" t="str">
        <x:v>NO</x:v>
      </x:c>
      <x:c r="Y277" s="19" t="str">
        <x:v>NO</x:v>
      </x:c>
      <x:c r="Z277" s="19" t="str">
        <x:v>42456082</x:v>
      </x:c>
      <x:c r="AA277" s="19" t="str">
        <x:v>50748718</x:v>
      </x:c>
      <x:c r="AB277" s="22" t="str">
        <x:f>IF(OR(M277&lt;&gt;"Approved",U277="Needs cost",O277=""),"Needs review","Ready after approval")</x:f>
        <x:v>Needs review</x:v>
      </x:c>
      <x:c r="AC277" s="22" t="str"/>
    </x:row>
    <x:row r="278">
      <x:c r="A278" s="19" t="str">
        <x:v>6371</x:v>
      </x:c>
      <x:c r="B278" s="19" t="str">
        <x:v>TM8-TAB-6371</x:v>
      </x:c>
      <x:c r="C278" s="19" t="str">
        <x:v>2999000063710</x:v>
      </x:c>
      <x:c r="D278" s="22" t="str">
        <x:v>iPad Hard Case 10.2 Inch Purple</x:v>
      </x:c>
      <x:c r="E278" s="22" t="str">
        <x:v>Hard Case for iPad 10.2-inch (Gen 7/8/9) - Purple</x:v>
      </x:c>
      <x:c r="F278" s="22" t="str">
        <x:v>Hard Case</x:v>
      </x:c>
      <x:c r="G278" s="22" t="str">
        <x:v>Purple</x:v>
      </x:c>
      <x:c r="H278" s="22" t="str">
        <x:v>TM8-GRP-IPAD-102-GEN789-HDC</x:v>
      </x:c>
      <x:c r="I278" s="22" t="str">
        <x:v>Hard Case for iPad 10.2-inch (Gen 7/8/9)</x:v>
      </x:c>
      <x:c r="J278" s="22" t="str">
        <x:v>iPad 10.2 Inch</x:v>
      </x:c>
      <x:c r="K278" s="22" t="str">
        <x:v>IPAD-102-GEN789</x:v>
      </x:c>
      <x:c r="L278" s="22" t="str">
        <x:v>iPad 10.2-inch (Gen 7/8/9)</x:v>
      </x:c>
      <x:c r="M278" s="22" t="str">
        <x:v>Proposed</x:v>
      </x:c>
      <x:c r="N278" s="22" t="str">
        <x:v>https://dghyt15qon7us.cloudfront.net/images/productTheme/Inventory/small/1643162628.jpg</x:v>
      </x:c>
      <x:c r="O278" s="22" t="str">
        <x:v>https://dghyt15qon7us.cloudfront.net/images/productTheme/Inventory/small/1643163643.jpg</x:v>
      </x:c>
      <x:c r="P278" s="19" t="str">
        <x:v>park-ridge</x:v>
      </x:c>
      <x:c r="Q278" s="20" t="n">
        <x:v>3</x:v>
      </x:c>
      <x:c r="R278" s="20" t="n">
        <x:f>MAX(0,Q278)</x:f>
        <x:v>3</x:v>
      </x:c>
      <x:c r="S278" s="21" t="n">
        <x:v>19.5</x:v>
      </x:c>
      <x:c r="T278" s="21" t="n">
        <x:f>IF(OR(F278="Hard Case",F278="Bubble Hard Case"),15,IF(F278="Twist Leather Case",5,IF(F278="Z-Fold Case",4,IFERROR(VLOOKUP(B278,'Cost Overrides'!$A$2:$B$17,2,FALSE),S278))))</x:f>
        <x:v>15</x:v>
      </x:c>
      <x:c r="U278" s="21" t="str">
        <x:f>IF(OR(F278="Hard Case",F278="Bubble Hard Case"),"Confirmed: Hard Case",IF(F278="Twist Leather Case","Confirmed: Twist Leather Case",IF(F278="Z-Fold Case","Confirmed: Z-Fold Case",IF(COUNTIF('Cost Overrides'!$A$2:$A$17,B278)&gt;0,"Confirmed: Owner cost override",IF(S278&lt;=0,"Needs cost","Source cost")))))</x:f>
        <x:v>Confirmed: Hard Case</x:v>
      </x:c>
      <x:c r="V278" s="21" t="n">
        <x:v>49.95</x:v>
      </x:c>
      <x:c r="W278" s="21" t="n">
        <x:f>V278</x:f>
        <x:v>49.95</x:v>
      </x:c>
      <x:c r="X278" s="19" t="str">
        <x:v>NO</x:v>
      </x:c>
      <x:c r="Y278" s="19" t="str">
        <x:v>NO</x:v>
      </x:c>
      <x:c r="Z278" s="19" t="str">
        <x:v>42456081</x:v>
      </x:c>
      <x:c r="AA278" s="19" t="str">
        <x:v>50748717</x:v>
      </x:c>
      <x:c r="AB278" s="22" t="str">
        <x:f>IF(OR(M278&lt;&gt;"Approved",U278="Needs cost",O278=""),"Needs review","Ready after approval")</x:f>
        <x:v>Needs review</x:v>
      </x:c>
      <x:c r="AC278" s="22" t="str"/>
    </x:row>
    <x:row r="279">
      <x:c r="A279" s="19" t="str">
        <x:v>6370</x:v>
      </x:c>
      <x:c r="B279" s="19" t="str">
        <x:v>TM8-TAB-6370</x:v>
      </x:c>
      <x:c r="C279" s="19" t="str">
        <x:v>2999000063703</x:v>
      </x:c>
      <x:c r="D279" s="22" t="str">
        <x:v>iPad Hard Case 9.7 Inch Black</x:v>
      </x:c>
      <x:c r="E279" s="22" t="str">
        <x:v>Hard Case for iPad 9.7-inch (Gen 5/6 and Air 1/2) - Black</x:v>
      </x:c>
      <x:c r="F279" s="22" t="str">
        <x:v>Hard Case</x:v>
      </x:c>
      <x:c r="G279" s="22" t="str">
        <x:v>Black</x:v>
      </x:c>
      <x:c r="H279" s="22" t="str">
        <x:v>TM8-GRP-IPAD-97-LEGACY-HDC</x:v>
      </x:c>
      <x:c r="I279" s="22" t="str">
        <x:v>Hard Case for iPad 9.7-inch (Gen 5/6 and Air 1/2)</x:v>
      </x:c>
      <x:c r="J279" s="22" t="str">
        <x:v>iPad 9.7 Inch</x:v>
      </x:c>
      <x:c r="K279" s="22" t="str">
        <x:v>IPAD-97-LEGACY</x:v>
      </x:c>
      <x:c r="L279" s="22" t="str">
        <x:v>iPad 9.7-inch (Gen 5/6 and Air 1/2)</x:v>
      </x:c>
      <x:c r="M279" s="22" t="str">
        <x:v>Approved</x:v>
      </x:c>
      <x:c r="N279" s="22" t="str">
        <x:v>https://dghyt15qon7us.cloudfront.net/images/productTheme/Inventory/small/1643162474.jpg</x:v>
      </x:c>
      <x:c r="O279" s="22" t="str">
        <x:v>https://dghyt15qon7us.cloudfront.net/images/productTheme/Inventory/small/1643162474.jpg</x:v>
      </x:c>
      <x:c r="P279" s="19" t="str">
        <x:v>park-ridge</x:v>
      </x:c>
      <x:c r="Q279" s="20" t="n">
        <x:v>1</x:v>
      </x:c>
      <x:c r="R279" s="20" t="n">
        <x:f>MAX(0,Q279)</x:f>
        <x:v>1</x:v>
      </x:c>
      <x:c r="S279" s="21" t="n">
        <x:v>19.5</x:v>
      </x:c>
      <x:c r="T279" s="21" t="n">
        <x:f>IF(OR(F279="Hard Case",F279="Bubble Hard Case"),15,IF(F279="Twist Leather Case",5,IF(F279="Z-Fold Case",4,IFERROR(VLOOKUP(B279,'Cost Overrides'!$A$2:$B$17,2,FALSE),S279))))</x:f>
        <x:v>15</x:v>
      </x:c>
      <x:c r="U279" s="21" t="str">
        <x:f>IF(OR(F279="Hard Case",F279="Bubble Hard Case"),"Confirmed: Hard Case",IF(F279="Twist Leather Case","Confirmed: Twist Leather Case",IF(F279="Z-Fold Case","Confirmed: Z-Fold Case",IF(COUNTIF('Cost Overrides'!$A$2:$A$17,B279)&gt;0,"Confirmed: Owner cost override",IF(S279&lt;=0,"Needs cost","Source cost")))))</x:f>
        <x:v>Confirmed: Hard Case</x:v>
      </x:c>
      <x:c r="V279" s="21" t="n">
        <x:v>49.95</x:v>
      </x:c>
      <x:c r="W279" s="21" t="n">
        <x:f>V279</x:f>
        <x:v>49.95</x:v>
      </x:c>
      <x:c r="X279" s="19" t="str">
        <x:v>NO</x:v>
      </x:c>
      <x:c r="Y279" s="19" t="str">
        <x:v>NO</x:v>
      </x:c>
      <x:c r="Z279" s="19" t="str">
        <x:v>42456080</x:v>
      </x:c>
      <x:c r="AA279" s="19" t="str">
        <x:v>50748716</x:v>
      </x:c>
      <x:c r="AB279" s="22" t="str">
        <x:f>IF(OR(M279&lt;&gt;"Approved",U279="Needs cost",O279=""),"Needs review","Ready after approval")</x:f>
        <x:v>Ready after approval</x:v>
      </x:c>
      <x:c r="AC279" s="22" t="str"/>
    </x:row>
    <x:row r="280">
      <x:c r="A280" s="19" t="str">
        <x:v>6369</x:v>
      </x:c>
      <x:c r="B280" s="19" t="str">
        <x:v>TM8-TAB-6369</x:v>
      </x:c>
      <x:c r="C280" s="19" t="str">
        <x:v>2999000063697</x:v>
      </x:c>
      <x:c r="D280" s="22" t="str">
        <x:v>iPad Hard Case 9.7 Inch Red</x:v>
      </x:c>
      <x:c r="E280" s="22" t="str">
        <x:v>Hard Case for iPad 9.7-inch (Gen 5/6 and Air 1/2) - Red</x:v>
      </x:c>
      <x:c r="F280" s="22" t="str">
        <x:v>Hard Case</x:v>
      </x:c>
      <x:c r="G280" s="22" t="str">
        <x:v>Red</x:v>
      </x:c>
      <x:c r="H280" s="22" t="str">
        <x:v>TM8-GRP-IPAD-97-LEGACY-HDC</x:v>
      </x:c>
      <x:c r="I280" s="22" t="str">
        <x:v>Hard Case for iPad 9.7-inch (Gen 5/6 and Air 1/2)</x:v>
      </x:c>
      <x:c r="J280" s="22" t="str">
        <x:v>iPad 9.7 Inch</x:v>
      </x:c>
      <x:c r="K280" s="22" t="str">
        <x:v>IPAD-97-LEGACY</x:v>
      </x:c>
      <x:c r="L280" s="22" t="str">
        <x:v>iPad 9.7-inch (Gen 5/6 and Air 1/2)</x:v>
      </x:c>
      <x:c r="M280" s="22" t="str">
        <x:v>Approved</x:v>
      </x:c>
      <x:c r="N280" s="22" t="str">
        <x:v>https://dghyt15qon7us.cloudfront.net/images/productTheme/Inventory/small/1643162417.jpg</x:v>
      </x:c>
      <x:c r="O280" s="22" t="str">
        <x:v>https://dghyt15qon7us.cloudfront.net/images/productTheme/Inventory/small/1643162474.jpg</x:v>
      </x:c>
      <x:c r="P280" s="19" t="str">
        <x:v>park-ridge</x:v>
      </x:c>
      <x:c r="Q280" s="20" t="n">
        <x:v>3</x:v>
      </x:c>
      <x:c r="R280" s="20" t="n">
        <x:f>MAX(0,Q280)</x:f>
        <x:v>3</x:v>
      </x:c>
      <x:c r="S280" s="21" t="n">
        <x:v>19.5</x:v>
      </x:c>
      <x:c r="T280" s="21" t="n">
        <x:f>IF(OR(F280="Hard Case",F280="Bubble Hard Case"),15,IF(F280="Twist Leather Case",5,IF(F280="Z-Fold Case",4,IFERROR(VLOOKUP(B280,'Cost Overrides'!$A$2:$B$17,2,FALSE),S280))))</x:f>
        <x:v>15</x:v>
      </x:c>
      <x:c r="U280" s="21" t="str">
        <x:f>IF(OR(F280="Hard Case",F280="Bubble Hard Case"),"Confirmed: Hard Case",IF(F280="Twist Leather Case","Confirmed: Twist Leather Case",IF(F280="Z-Fold Case","Confirmed: Z-Fold Case",IF(COUNTIF('Cost Overrides'!$A$2:$A$17,B280)&gt;0,"Confirmed: Owner cost override",IF(S280&lt;=0,"Needs cost","Source cost")))))</x:f>
        <x:v>Confirmed: Hard Case</x:v>
      </x:c>
      <x:c r="V280" s="21" t="n">
        <x:v>49.95</x:v>
      </x:c>
      <x:c r="W280" s="21" t="n">
        <x:f>V280</x:f>
        <x:v>49.95</x:v>
      </x:c>
      <x:c r="X280" s="19" t="str">
        <x:v>NO</x:v>
      </x:c>
      <x:c r="Y280" s="19" t="str">
        <x:v>NO</x:v>
      </x:c>
      <x:c r="Z280" s="19" t="str">
        <x:v>42456079</x:v>
      </x:c>
      <x:c r="AA280" s="19" t="str">
        <x:v>50748715</x:v>
      </x:c>
      <x:c r="AB280" s="22" t="str">
        <x:f>IF(OR(M280&lt;&gt;"Approved",U280="Needs cost",O280=""),"Needs review","Ready after approval")</x:f>
        <x:v>Ready after approval</x:v>
      </x:c>
      <x:c r="AC280" s="22" t="str"/>
    </x:row>
    <x:row r="281">
      <x:c r="A281" s="19" t="str">
        <x:v>6368</x:v>
      </x:c>
      <x:c r="B281" s="19" t="str">
        <x:v>TM8-TAB-6368</x:v>
      </x:c>
      <x:c r="C281" s="19" t="str">
        <x:v>2999000063680</x:v>
      </x:c>
      <x:c r="D281" s="22" t="str">
        <x:v>iPad Hard Case 9.7 Inch Pink</x:v>
      </x:c>
      <x:c r="E281" s="22" t="str">
        <x:v>Hard Case for iPad 9.7-inch (Gen 5/6 and Air 1/2) - Pink</x:v>
      </x:c>
      <x:c r="F281" s="22" t="str">
        <x:v>Hard Case</x:v>
      </x:c>
      <x:c r="G281" s="22" t="str">
        <x:v>Pink</x:v>
      </x:c>
      <x:c r="H281" s="22" t="str">
        <x:v>TM8-GRP-IPAD-97-LEGACY-HDC</x:v>
      </x:c>
      <x:c r="I281" s="22" t="str">
        <x:v>Hard Case for iPad 9.7-inch (Gen 5/6 and Air 1/2)</x:v>
      </x:c>
      <x:c r="J281" s="22" t="str">
        <x:v>iPad 9.7 Inch</x:v>
      </x:c>
      <x:c r="K281" s="22" t="str">
        <x:v>IPAD-97-LEGACY</x:v>
      </x:c>
      <x:c r="L281" s="22" t="str">
        <x:v>iPad 9.7-inch (Gen 5/6 and Air 1/2)</x:v>
      </x:c>
      <x:c r="M281" s="22" t="str">
        <x:v>Approved</x:v>
      </x:c>
      <x:c r="N281" s="22" t="str">
        <x:v>https://dghyt15qon7us.cloudfront.net/images/productTheme/Inventory/small/1643162347.jpg</x:v>
      </x:c>
      <x:c r="O281" s="22" t="str">
        <x:v>https://dghyt15qon7us.cloudfront.net/images/productTheme/Inventory/small/1643162474.jpg</x:v>
      </x:c>
      <x:c r="P281" s="19" t="str">
        <x:v>park-ridge</x:v>
      </x:c>
      <x:c r="Q281" s="20" t="n">
        <x:v>0</x:v>
      </x:c>
      <x:c r="R281" s="20" t="n">
        <x:f>MAX(0,Q281)</x:f>
        <x:v>0</x:v>
      </x:c>
      <x:c r="S281" s="21" t="n">
        <x:v>19.5</x:v>
      </x:c>
      <x:c r="T281" s="21" t="n">
        <x:f>IF(OR(F281="Hard Case",F281="Bubble Hard Case"),15,IF(F281="Twist Leather Case",5,IF(F281="Z-Fold Case",4,IFERROR(VLOOKUP(B281,'Cost Overrides'!$A$2:$B$17,2,FALSE),S281))))</x:f>
        <x:v>15</x:v>
      </x:c>
      <x:c r="U281" s="21" t="str">
        <x:f>IF(OR(F281="Hard Case",F281="Bubble Hard Case"),"Confirmed: Hard Case",IF(F281="Twist Leather Case","Confirmed: Twist Leather Case",IF(F281="Z-Fold Case","Confirmed: Z-Fold Case",IF(COUNTIF('Cost Overrides'!$A$2:$A$17,B281)&gt;0,"Confirmed: Owner cost override",IF(S281&lt;=0,"Needs cost","Source cost")))))</x:f>
        <x:v>Confirmed: Hard Case</x:v>
      </x:c>
      <x:c r="V281" s="21" t="n">
        <x:v>49.95</x:v>
      </x:c>
      <x:c r="W281" s="21" t="n">
        <x:f>V281</x:f>
        <x:v>49.95</x:v>
      </x:c>
      <x:c r="X281" s="19" t="str">
        <x:v>NO</x:v>
      </x:c>
      <x:c r="Y281" s="19" t="str">
        <x:v>NO</x:v>
      </x:c>
      <x:c r="Z281" s="19" t="str">
        <x:v>42456078</x:v>
      </x:c>
      <x:c r="AA281" s="19" t="str">
        <x:v>50748714</x:v>
      </x:c>
      <x:c r="AB281" s="22" t="str">
        <x:f>IF(OR(M281&lt;&gt;"Approved",U281="Needs cost",O281=""),"Needs review","Ready after approval")</x:f>
        <x:v>Ready after approval</x:v>
      </x:c>
      <x:c r="AC281" s="22" t="str"/>
    </x:row>
    <x:row r="282">
      <x:c r="A282" s="19" t="str">
        <x:v>6367</x:v>
      </x:c>
      <x:c r="B282" s="19" t="str">
        <x:v>TM8-TAB-6367</x:v>
      </x:c>
      <x:c r="C282" s="19" t="str">
        <x:v>2999000063673</x:v>
      </x:c>
      <x:c r="D282" s="22" t="str">
        <x:v>iPad Hard Case 9.7 Inch Blue</x:v>
      </x:c>
      <x:c r="E282" s="22" t="str">
        <x:v>Hard Case for iPad 9.7-inch (Gen 5/6 and Air 1/2) - Blue</x:v>
      </x:c>
      <x:c r="F282" s="22" t="str">
        <x:v>Hard Case</x:v>
      </x:c>
      <x:c r="G282" s="22" t="str">
        <x:v>Blue</x:v>
      </x:c>
      <x:c r="H282" s="22" t="str">
        <x:v>TM8-GRP-IPAD-97-LEGACY-HDC</x:v>
      </x:c>
      <x:c r="I282" s="22" t="str">
        <x:v>Hard Case for iPad 9.7-inch (Gen 5/6 and Air 1/2)</x:v>
      </x:c>
      <x:c r="J282" s="22" t="str">
        <x:v>iPad 9.7 Inch</x:v>
      </x:c>
      <x:c r="K282" s="22" t="str">
        <x:v>IPAD-97-LEGACY</x:v>
      </x:c>
      <x:c r="L282" s="22" t="str">
        <x:v>iPad 9.7-inch (Gen 5/6 and Air 1/2)</x:v>
      </x:c>
      <x:c r="M282" s="22" t="str">
        <x:v>Approved</x:v>
      </x:c>
      <x:c r="N282" s="22" t="str">
        <x:v>https://dghyt15qon7us.cloudfront.net/images/productTheme/Inventory/small/1643162293.jpg</x:v>
      </x:c>
      <x:c r="O282" s="22" t="str">
        <x:v>https://dghyt15qon7us.cloudfront.net/images/productTheme/Inventory/small/1643162474.jpg</x:v>
      </x:c>
      <x:c r="P282" s="19" t="str">
        <x:v>park-ridge</x:v>
      </x:c>
      <x:c r="Q282" s="20" t="n">
        <x:v>1</x:v>
      </x:c>
      <x:c r="R282" s="20" t="n">
        <x:f>MAX(0,Q282)</x:f>
        <x:v>1</x:v>
      </x:c>
      <x:c r="S282" s="21" t="n">
        <x:v>19.5</x:v>
      </x:c>
      <x:c r="T282" s="21" t="n">
        <x:f>IF(OR(F282="Hard Case",F282="Bubble Hard Case"),15,IF(F282="Twist Leather Case",5,IF(F282="Z-Fold Case",4,IFERROR(VLOOKUP(B282,'Cost Overrides'!$A$2:$B$17,2,FALSE),S282))))</x:f>
        <x:v>15</x:v>
      </x:c>
      <x:c r="U282" s="21" t="str">
        <x:f>IF(OR(F282="Hard Case",F282="Bubble Hard Case"),"Confirmed: Hard Case",IF(F282="Twist Leather Case","Confirmed: Twist Leather Case",IF(F282="Z-Fold Case","Confirmed: Z-Fold Case",IF(COUNTIF('Cost Overrides'!$A$2:$A$17,B282)&gt;0,"Confirmed: Owner cost override",IF(S282&lt;=0,"Needs cost","Source cost")))))</x:f>
        <x:v>Confirmed: Hard Case</x:v>
      </x:c>
      <x:c r="V282" s="21" t="n">
        <x:v>49.95</x:v>
      </x:c>
      <x:c r="W282" s="21" t="n">
        <x:f>V282</x:f>
        <x:v>49.95</x:v>
      </x:c>
      <x:c r="X282" s="19" t="str">
        <x:v>NO</x:v>
      </x:c>
      <x:c r="Y282" s="19" t="str">
        <x:v>NO</x:v>
      </x:c>
      <x:c r="Z282" s="19" t="str">
        <x:v>42456077</x:v>
      </x:c>
      <x:c r="AA282" s="19" t="str">
        <x:v>50748713</x:v>
      </x:c>
      <x:c r="AB282" s="22" t="str">
        <x:f>IF(OR(M282&lt;&gt;"Approved",U282="Needs cost",O282=""),"Needs review","Ready after approval")</x:f>
        <x:v>Ready after approval</x:v>
      </x:c>
      <x:c r="AC282" s="22" t="str"/>
    </x:row>
    <x:row r="283">
      <x:c r="A283" s="19" t="str">
        <x:v>6366</x:v>
      </x:c>
      <x:c r="B283" s="19" t="str">
        <x:v>TM8-TAB-6366</x:v>
      </x:c>
      <x:c r="C283" s="19" t="str">
        <x:v>2999000063666</x:v>
      </x:c>
      <x:c r="D283" s="22" t="str">
        <x:v>iPad Hard Case 9.7 Inch Green</x:v>
      </x:c>
      <x:c r="E283" s="22" t="str">
        <x:v>Hard Case for iPad 9.7-inch (Gen 5/6 and Air 1/2) - Green</x:v>
      </x:c>
      <x:c r="F283" s="22" t="str">
        <x:v>Hard Case</x:v>
      </x:c>
      <x:c r="G283" s="22" t="str">
        <x:v>Green</x:v>
      </x:c>
      <x:c r="H283" s="22" t="str">
        <x:v>TM8-GRP-IPAD-97-LEGACY-HDC</x:v>
      </x:c>
      <x:c r="I283" s="22" t="str">
        <x:v>Hard Case for iPad 9.7-inch (Gen 5/6 and Air 1/2)</x:v>
      </x:c>
      <x:c r="J283" s="22" t="str">
        <x:v>iPad 9.7 Inch</x:v>
      </x:c>
      <x:c r="K283" s="22" t="str">
        <x:v>IPAD-97-LEGACY</x:v>
      </x:c>
      <x:c r="L283" s="22" t="str">
        <x:v>iPad 9.7-inch (Gen 5/6 and Air 1/2)</x:v>
      </x:c>
      <x:c r="M283" s="22" t="str">
        <x:v>Approved</x:v>
      </x:c>
      <x:c r="N283" s="22" t="str">
        <x:v>https://dghyt15qon7us.cloudfront.net/images/productTheme/Inventory/small/1643162232.jpg</x:v>
      </x:c>
      <x:c r="O283" s="22" t="str">
        <x:v>https://dghyt15qon7us.cloudfront.net/images/productTheme/Inventory/small/1643162474.jpg</x:v>
      </x:c>
      <x:c r="P283" s="19" t="str">
        <x:v>park-ridge</x:v>
      </x:c>
      <x:c r="Q283" s="20" t="n">
        <x:v>0</x:v>
      </x:c>
      <x:c r="R283" s="20" t="n">
        <x:f>MAX(0,Q283)</x:f>
        <x:v>0</x:v>
      </x:c>
      <x:c r="S283" s="21" t="n">
        <x:v>19.5</x:v>
      </x:c>
      <x:c r="T283" s="21" t="n">
        <x:f>IF(OR(F283="Hard Case",F283="Bubble Hard Case"),15,IF(F283="Twist Leather Case",5,IF(F283="Z-Fold Case",4,IFERROR(VLOOKUP(B283,'Cost Overrides'!$A$2:$B$17,2,FALSE),S283))))</x:f>
        <x:v>15</x:v>
      </x:c>
      <x:c r="U283" s="21" t="str">
        <x:f>IF(OR(F283="Hard Case",F283="Bubble Hard Case"),"Confirmed: Hard Case",IF(F283="Twist Leather Case","Confirmed: Twist Leather Case",IF(F283="Z-Fold Case","Confirmed: Z-Fold Case",IF(COUNTIF('Cost Overrides'!$A$2:$A$17,B283)&gt;0,"Confirmed: Owner cost override",IF(S283&lt;=0,"Needs cost","Source cost")))))</x:f>
        <x:v>Confirmed: Hard Case</x:v>
      </x:c>
      <x:c r="V283" s="21" t="n">
        <x:v>49.95</x:v>
      </x:c>
      <x:c r="W283" s="21" t="n">
        <x:f>V283</x:f>
        <x:v>49.95</x:v>
      </x:c>
      <x:c r="X283" s="19" t="str">
        <x:v>NO</x:v>
      </x:c>
      <x:c r="Y283" s="19" t="str">
        <x:v>NO</x:v>
      </x:c>
      <x:c r="Z283" s="19" t="str">
        <x:v>42456076</x:v>
      </x:c>
      <x:c r="AA283" s="19" t="str">
        <x:v>50748712</x:v>
      </x:c>
      <x:c r="AB283" s="22" t="str">
        <x:f>IF(OR(M283&lt;&gt;"Approved",U283="Needs cost",O283=""),"Needs review","Ready after approval")</x:f>
        <x:v>Ready after approval</x:v>
      </x:c>
      <x:c r="AC283" s="22" t="str"/>
    </x:row>
    <x:row r="284">
      <x:c r="A284" s="19" t="str">
        <x:v>6365</x:v>
      </x:c>
      <x:c r="B284" s="19" t="str">
        <x:v>TM8-TAB-6365</x:v>
      </x:c>
      <x:c r="C284" s="19" t="str">
        <x:v>2999000063659</x:v>
      </x:c>
      <x:c r="D284" s="22" t="str">
        <x:v>iPad Hard Case 9.7 Inch Purple</x:v>
      </x:c>
      <x:c r="E284" s="22" t="str">
        <x:v>Hard Case for iPad 9.7-inch (Gen 5/6 and Air 1/2) - Purple</x:v>
      </x:c>
      <x:c r="F284" s="22" t="str">
        <x:v>Hard Case</x:v>
      </x:c>
      <x:c r="G284" s="22" t="str">
        <x:v>Purple</x:v>
      </x:c>
      <x:c r="H284" s="22" t="str">
        <x:v>TM8-GRP-IPAD-97-LEGACY-HDC</x:v>
      </x:c>
      <x:c r="I284" s="22" t="str">
        <x:v>Hard Case for iPad 9.7-inch (Gen 5/6 and Air 1/2)</x:v>
      </x:c>
      <x:c r="J284" s="22" t="str">
        <x:v>iPad 9.7 Inch</x:v>
      </x:c>
      <x:c r="K284" s="22" t="str">
        <x:v>IPAD-97-LEGACY</x:v>
      </x:c>
      <x:c r="L284" s="22" t="str">
        <x:v>iPad 9.7-inch (Gen 5/6 and Air 1/2)</x:v>
      </x:c>
      <x:c r="M284" s="22" t="str">
        <x:v>Approved</x:v>
      </x:c>
      <x:c r="N284" s="22" t="str">
        <x:v>https://dghyt15qon7us.cloudfront.net/images/productTheme/Inventory/small/1643162134.jpg</x:v>
      </x:c>
      <x:c r="O284" s="22" t="str">
        <x:v>https://dghyt15qon7us.cloudfront.net/images/productTheme/Inventory/small/1643162474.jpg</x:v>
      </x:c>
      <x:c r="P284" s="19" t="str">
        <x:v>park-ridge</x:v>
      </x:c>
      <x:c r="Q284" s="20" t="n">
        <x:v>0</x:v>
      </x:c>
      <x:c r="R284" s="20" t="n">
        <x:f>MAX(0,Q284)</x:f>
        <x:v>0</x:v>
      </x:c>
      <x:c r="S284" s="21" t="n">
        <x:v>19.5</x:v>
      </x:c>
      <x:c r="T284" s="21" t="n">
        <x:f>IF(OR(F284="Hard Case",F284="Bubble Hard Case"),15,IF(F284="Twist Leather Case",5,IF(F284="Z-Fold Case",4,IFERROR(VLOOKUP(B284,'Cost Overrides'!$A$2:$B$17,2,FALSE),S284))))</x:f>
        <x:v>15</x:v>
      </x:c>
      <x:c r="U284" s="21" t="str">
        <x:f>IF(OR(F284="Hard Case",F284="Bubble Hard Case"),"Confirmed: Hard Case",IF(F284="Twist Leather Case","Confirmed: Twist Leather Case",IF(F284="Z-Fold Case","Confirmed: Z-Fold Case",IF(COUNTIF('Cost Overrides'!$A$2:$A$17,B284)&gt;0,"Confirmed: Owner cost override",IF(S284&lt;=0,"Needs cost","Source cost")))))</x:f>
        <x:v>Confirmed: Hard Case</x:v>
      </x:c>
      <x:c r="V284" s="21" t="n">
        <x:v>49.95</x:v>
      </x:c>
      <x:c r="W284" s="21" t="n">
        <x:f>V284</x:f>
        <x:v>49.95</x:v>
      </x:c>
      <x:c r="X284" s="19" t="str">
        <x:v>NO</x:v>
      </x:c>
      <x:c r="Y284" s="19" t="str">
        <x:v>NO</x:v>
      </x:c>
      <x:c r="Z284" s="19" t="str">
        <x:v>42456075</x:v>
      </x:c>
      <x:c r="AA284" s="19" t="str">
        <x:v>50748711</x:v>
      </x:c>
      <x:c r="AB284" s="22" t="str">
        <x:f>IF(OR(M284&lt;&gt;"Approved",U284="Needs cost",O284=""),"Needs review","Ready after approval")</x:f>
        <x:v>Ready after approval</x:v>
      </x:c>
      <x:c r="AC284" s="22" t="str"/>
    </x:row>
  </x:sheetData>
  <x:conditionalFormatting sqref="AB2:AB284">
    <x:cfRule type="containsText" dxfId="0" priority="1" operator="containsText" text="Needs review"/>
  </x:conditionalFormatting>
  <x:conditionalFormatting sqref="Q2:Q284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4e72a22a714a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44" hidden="0" customWidth="1"/>
    <x:col min="10" max="10" width="20" hidden="0" customWidth="1"/>
    <x:col min="11" max="11" width="20" hidden="0" customWidth="1"/>
  </x:cols>
  <x:sheetData>
    <x:row r="1">
      <x:c r="A1" s="17" t="str">
        <x:v>Group Code</x:v>
      </x:c>
      <x:c r="B1" s="17" t="str">
        <x:v>Group Name</x:v>
      </x:c>
      <x:c r="C1" s="17" t="str">
        <x:v>Product Family</x:v>
      </x:c>
      <x:c r="D1" s="17" t="str">
        <x:v>Fit Profile Code</x:v>
      </x:c>
      <x:c r="E1" s="17" t="str">
        <x:v>Fit Profile Name</x:v>
      </x:c>
      <x:c r="F1" s="17" t="str">
        <x:v>Variant Count</x:v>
      </x:c>
      <x:c r="G1" s="17" t="str">
        <x:v>Colors</x:v>
      </x:c>
      <x:c r="H1" s="17" t="str">
        <x:v>Retail Price Range</x:v>
      </x:c>
      <x:c r="I1" s="17" t="str">
        <x:v>Group Main Image URL</x:v>
      </x:c>
      <x:c r="J1" s="17" t="str">
        <x:v>Compatibility Status</x:v>
      </x:c>
      <x:c r="K1" s="17" t="str">
        <x:v>Online Visible</x:v>
      </x:c>
    </x:row>
    <x:row r="2">
      <x:c r="A2" s="23" t="str">
        <x:v>TM8-GRP-IPAD-102-GEN789-BHC</x:v>
      </x:c>
      <x:c r="B2" s="23" t="str">
        <x:v>Bubble Hard Case for iPad 10.2-inch (Gen 7/8/9)</x:v>
      </x:c>
      <x:c r="C2" s="23" t="str">
        <x:v>Bubble Hard Case</x:v>
      </x:c>
      <x:c r="D2" s="23" t="str">
        <x:v>IPAD-102-GEN789</x:v>
      </x:c>
      <x:c r="E2" s="23" t="str">
        <x:v>iPad 10.2-inch (Gen 7/8/9)</x:v>
      </x:c>
      <x:c r="F2" s="23" t="n">
        <x:v>2</x:v>
      </x:c>
      <x:c r="G2" s="23" t="str">
        <x:v>Black, Pink</x:v>
      </x:c>
      <x:c r="H2" s="23" t="str">
        <x:v>$49.95</x:v>
      </x:c>
      <x:c r="I2" s="23" t="str">
        <x:v>https://dghyt15qon7us.cloudfront.net/images/productTheme/Inventory/small/1675670205.jpg</x:v>
      </x:c>
      <x:c r="J2" s="23" t="str">
        <x:v>Proposed</x:v>
      </x:c>
      <x:c r="K2" s="23" t="str">
        <x:v>NO</x:v>
      </x:c>
    </x:row>
    <x:row r="3">
      <x:c r="A3" s="23" t="str">
        <x:v>TM8-GRP-IPAD-10-GEN10-BHC</x:v>
      </x:c>
      <x:c r="B3" s="23" t="str">
        <x:v>Bubble Hard Case for iPad 10th Gen 10.9-inch</x:v>
      </x:c>
      <x:c r="C3" s="23" t="str">
        <x:v>Bubble Hard Case</x:v>
      </x:c>
      <x:c r="D3" s="23" t="str">
        <x:v>IPAD-10-GEN10</x:v>
      </x:c>
      <x:c r="E3" s="23" t="str">
        <x:v>iPad 10th Gen 10.9-inch</x:v>
      </x:c>
      <x:c r="F3" s="23" t="n">
        <x:v>2</x:v>
      </x:c>
      <x:c r="G3" s="23" t="str">
        <x:v>Black, Pink</x:v>
      </x:c>
      <x:c r="H3" s="23" t="str">
        <x:v>$49.95</x:v>
      </x:c>
      <x:c r="I3" s="23" t="str">
        <x:v>https://dghyt15qon7us.cloudfront.net/images/productTheme/Inventory/small/1675670396.jpg</x:v>
      </x:c>
      <x:c r="J3" s="23" t="str">
        <x:v>Proposed</x:v>
      </x:c>
      <x:c r="K3" s="23" t="str">
        <x:v>NO</x:v>
      </x:c>
    </x:row>
    <x:row r="4">
      <x:c r="A4" s="23" t="str">
        <x:v>TM8-GRP-IPAD-97-LEGACY-BHC</x:v>
      </x:c>
      <x:c r="B4" s="23" t="str">
        <x:v>Bubble Hard Case for iPad 9.7-inch (Gen 5/6 and Air 1/2)</x:v>
      </x:c>
      <x:c r="C4" s="23" t="str">
        <x:v>Bubble Hard Case</x:v>
      </x:c>
      <x:c r="D4" s="23" t="str">
        <x:v>IPAD-97-LEGACY</x:v>
      </x:c>
      <x:c r="E4" s="23" t="str">
        <x:v>iPad 9.7-inch (Gen 5/6 and Air 1/2)</x:v>
      </x:c>
      <x:c r="F4" s="23" t="n">
        <x:v>2</x:v>
      </x:c>
      <x:c r="G4" s="23" t="str">
        <x:v>Black, Pink</x:v>
      </x:c>
      <x:c r="H4" s="23" t="str">
        <x:v>$49.95</x:v>
      </x:c>
      <x:c r="I4" s="23" t="str">
        <x:v>https://dghyt15qon7us.cloudfront.net/images/productTheme/Inventory/small/1675670324.jpg</x:v>
      </x:c>
      <x:c r="J4" s="23" t="str">
        <x:v>Approved</x:v>
      </x:c>
      <x:c r="K4" s="23" t="str">
        <x:v>NO</x:v>
      </x:c>
    </x:row>
    <x:row r="5">
      <x:c r="A5" s="23" t="str">
        <x:v>TM8-GRP-IPAD-AIR45-PRO11-BHC</x:v>
      </x:c>
      <x:c r="B5" s="23" t="str">
        <x:v>Bubble Hard Case for iPad Air 4/5 and iPad Pro 11 (2018-2022)</x:v>
      </x:c>
      <x:c r="C5" s="23" t="str">
        <x:v>Bubble Hard Case</x:v>
      </x:c>
      <x:c r="D5" s="23" t="str">
        <x:v>IPAD-AIR45-PRO11</x:v>
      </x:c>
      <x:c r="E5" s="23" t="str">
        <x:v>iPad Air 4/5 and iPad Pro 11 (2018-2022)</x:v>
      </x:c>
      <x:c r="F5" s="23" t="n">
        <x:v>2</x:v>
      </x:c>
      <x:c r="G5" s="23" t="str">
        <x:v>Black, Pink</x:v>
      </x:c>
      <x:c r="H5" s="23" t="str">
        <x:v>$49.95</x:v>
      </x:c>
      <x:c r="I5" s="23" t="str">
        <x:v>https://dghyt15qon7us.cloudfront.net/images/productTheme/Inventory/small/1675670488.jpg</x:v>
      </x:c>
      <x:c r="J5" s="23" t="str">
        <x:v>Approved</x:v>
      </x:c>
      <x:c r="K5" s="23" t="str">
        <x:v>NO</x:v>
      </x:c>
    </x:row>
    <x:row r="6">
      <x:c r="A6" s="23" t="str">
        <x:v>TM8-GRP-IPAD-102-GEN789-FLC</x:v>
      </x:c>
      <x:c r="B6" s="23" t="str">
        <x:v>Flip Case for iPad 10.2-inch (Gen 7/8/9)</x:v>
      </x:c>
      <x:c r="C6" s="23" t="str">
        <x:v>Flip Case</x:v>
      </x:c>
      <x:c r="D6" s="23" t="str">
        <x:v>IPAD-102-GEN789</x:v>
      </x:c>
      <x:c r="E6" s="23" t="str">
        <x:v>iPad 10.2-inch (Gen 7/8/9)</x:v>
      </x:c>
      <x:c r="F6" s="23" t="n">
        <x:v>3</x:v>
      </x:c>
      <x:c r="G6" s="23" t="str">
        <x:v>Black, Mint, Red</x:v>
      </x:c>
      <x:c r="H6" s="23" t="str">
        <x:v>$39.00</x:v>
      </x:c>
      <x:c r="I6" s="23" t="str">
        <x:v>https://dghyt15qon7us.cloudfront.net/images/productTheme/Inventory/small/1703654690.jpg</x:v>
      </x:c>
      <x:c r="J6" s="23" t="str">
        <x:v>Proposed</x:v>
      </x:c>
      <x:c r="K6" s="23" t="str">
        <x:v>NO</x:v>
      </x:c>
    </x:row>
    <x:row r="7">
      <x:c r="A7" s="23" t="str">
        <x:v>TM8-GRP-IPAD-10-GEN10-FLC</x:v>
      </x:c>
      <x:c r="B7" s="23" t="str">
        <x:v>Flip Case for iPad 10th Gen 10.9-inch</x:v>
      </x:c>
      <x:c r="C7" s="23" t="str">
        <x:v>Flip Case</x:v>
      </x:c>
      <x:c r="D7" s="23" t="str">
        <x:v>IPAD-10-GEN10</x:v>
      </x:c>
      <x:c r="E7" s="23" t="str">
        <x:v>iPad 10th Gen 10.9-inch</x:v>
      </x:c>
      <x:c r="F7" s="23" t="n">
        <x:v>2</x:v>
      </x:c>
      <x:c r="G7" s="23" t="str">
        <x:v>Black, Rose Gold</x:v>
      </x:c>
      <x:c r="H7" s="23" t="str">
        <x:v>$39.00</x:v>
      </x:c>
      <x:c r="I7" s="23" t="str">
        <x:v>https://dghyt15qon7us.cloudfront.net/images/productTheme/Inventory/small/1703654044.jpg</x:v>
      </x:c>
      <x:c r="J7" s="23" t="str">
        <x:v>Proposed</x:v>
      </x:c>
      <x:c r="K7" s="23" t="str">
        <x:v>NO</x:v>
      </x:c>
    </x:row>
    <x:row r="8">
      <x:c r="A8" s="23" t="str">
        <x:v>TM8-GRP-IPAD-AIR45-PRO11-FLC</x:v>
      </x:c>
      <x:c r="B8" s="23" t="str">
        <x:v>Flip Case for iPad Air 4/5 and iPad Pro 11 (2018-2022)</x:v>
      </x:c>
      <x:c r="C8" s="23" t="str">
        <x:v>Flip Case</x:v>
      </x:c>
      <x:c r="D8" s="23" t="str">
        <x:v>IPAD-AIR45-PRO11</x:v>
      </x:c>
      <x:c r="E8" s="23" t="str">
        <x:v>iPad Air 4/5 and iPad Pro 11 (2018-2022)</x:v>
      </x:c>
      <x:c r="F8" s="23" t="n">
        <x:v>1</x:v>
      </x:c>
      <x:c r="G8" s="23" t="str">
        <x:v>Mint</x:v>
      </x:c>
      <x:c r="H8" s="23" t="str">
        <x:v>$39.00</x:v>
      </x:c>
      <x:c r="I8" s="23" t="str">
        <x:v>https://dghyt15qon7us.cloudfront.net/images/productTheme/Inventory/small/0.83743600%201732497072.jpg</x:v>
      </x:c>
      <x:c r="J8" s="23" t="str">
        <x:v>Approved</x:v>
      </x:c>
      <x:c r="K8" s="23" t="str">
        <x:v>NO</x:v>
      </x:c>
    </x:row>
    <x:row r="9">
      <x:c r="A9" s="23" t="str">
        <x:v>TM8-GRP-IPAD-129-LEGACY-FLC</x:v>
      </x:c>
      <x:c r="B9" s="23" t="str">
        <x:v>Flip Case for iPad Pro 12.9-inch (2018-2022)</x:v>
      </x:c>
      <x:c r="C9" s="23" t="str">
        <x:v>Flip Case</x:v>
      </x:c>
      <x:c r="D9" s="23" t="str">
        <x:v>IPAD-129-LEGACY</x:v>
      </x:c>
      <x:c r="E9" s="23" t="str">
        <x:v>iPad Pro 12.9-inch (2018-2022)</x:v>
      </x:c>
      <x:c r="F9" s="23" t="n">
        <x:v>2</x:v>
      </x:c>
      <x:c r="G9" s="23" t="str">
        <x:v>Mint, Pink</x:v>
      </x:c>
      <x:c r="H9" s="23" t="str">
        <x:v>$35.00</x:v>
      </x:c>
      <x:c r="I9" s="23" t="str">
        <x:v>https://dghyt15qon7us.cloudfront.net/images/productTheme/Inventory/small/0.02184500%201732343936.jpg</x:v>
      </x:c>
      <x:c r="J9" s="23" t="str">
        <x:v>Approved</x:v>
      </x:c>
      <x:c r="K9" s="23" t="str">
        <x:v>NO</x:v>
      </x:c>
    </x:row>
    <x:row r="10">
      <x:c r="A10" s="23" t="str">
        <x:v>TM8-GRP-SAMSUNG-A11-PLUS-FLC</x:v>
      </x:c>
      <x:c r="B10" s="23" t="str">
        <x:v>Flip Case for Samsung Galaxy Tab A11 Plus</x:v>
      </x:c>
      <x:c r="C10" s="23" t="str">
        <x:v>Flip Case</x:v>
      </x:c>
      <x:c r="D10" s="23" t="str">
        <x:v>SAMSUNG-A11-PLUS</x:v>
      </x:c>
      <x:c r="E10" s="23" t="str">
        <x:v>Samsung Galaxy Tab A11 Plus</x:v>
      </x:c>
      <x:c r="F10" s="23" t="n">
        <x:v>1</x:v>
      </x:c>
      <x:c r="G10" s="23" t="str">
        <x:v>Black</x:v>
      </x:c>
      <x:c r="H10" s="23" t="str">
        <x:v>$39.00</x:v>
      </x:c>
      <x:c r="I10" s="23" t="str">
        <x:v>https://dghyt15qon7us.cloudfront.net/images/productTheme/Inventory/small/0.29143100%201769827271.jpg</x:v>
      </x:c>
      <x:c r="J10" s="23" t="str">
        <x:v>Proposed</x:v>
      </x:c>
      <x:c r="K10" s="23" t="str">
        <x:v>NO</x:v>
      </x:c>
    </x:row>
    <x:row r="11">
      <x:c r="A11" s="23" t="str">
        <x:v>TM8-GRP-IPAD-102-GEN789-HDC</x:v>
      </x:c>
      <x:c r="B11" s="23" t="str">
        <x:v>Hard Case for iPad 10.2-inch (Gen 7/8/9)</x:v>
      </x:c>
      <x:c r="C11" s="23" t="str">
        <x:v>Hard Case</x:v>
      </x:c>
      <x:c r="D11" s="23" t="str">
        <x:v>IPAD-102-GEN789</x:v>
      </x:c>
      <x:c r="E11" s="23" t="str">
        <x:v>iPad 10.2-inch (Gen 7/8/9)</x:v>
      </x:c>
      <x:c r="F11" s="23" t="n">
        <x:v>7</x:v>
      </x:c>
      <x:c r="G11" s="23" t="str">
        <x:v>Black, Blue, Green, Pink, Purple, Rainbow, Red</x:v>
      </x:c>
      <x:c r="H11" s="23" t="str">
        <x:v>$49.95</x:v>
      </x:c>
      <x:c r="I11" s="23" t="str">
        <x:v>https://dghyt15qon7us.cloudfront.net/images/productTheme/Inventory/small/1643163643.jpg</x:v>
      </x:c>
      <x:c r="J11" s="23" t="str">
        <x:v>Proposed</x:v>
      </x:c>
      <x:c r="K11" s="23" t="str">
        <x:v>NO</x:v>
      </x:c>
    </x:row>
    <x:row r="12">
      <x:c r="A12" s="23" t="str">
        <x:v>TM8-GRP-IPAD-10-GEN10-HDC</x:v>
      </x:c>
      <x:c r="B12" s="23" t="str">
        <x:v>Hard Case for iPad 10th Gen 10.9-inch</x:v>
      </x:c>
      <x:c r="C12" s="23" t="str">
        <x:v>Hard Case</x:v>
      </x:c>
      <x:c r="D12" s="23" t="str">
        <x:v>IPAD-10-GEN10</x:v>
      </x:c>
      <x:c r="E12" s="23" t="str">
        <x:v>iPad 10th Gen 10.9-inch</x:v>
      </x:c>
      <x:c r="F12" s="23" t="n">
        <x:v>7</x:v>
      </x:c>
      <x:c r="G12" s="23" t="str">
        <x:v>Black, Blue, Green, Pink, Purple, Rainbow, Red</x:v>
      </x:c>
      <x:c r="H12" s="23" t="str">
        <x:v>$49.95</x:v>
      </x:c>
      <x:c r="I12" s="23" t="str">
        <x:v>https://dghyt15qon7us.cloudfront.net/images/productTheme/Inventory/small/1672270259.jpg</x:v>
      </x:c>
      <x:c r="J12" s="23" t="str">
        <x:v>Proposed</x:v>
      </x:c>
      <x:c r="K12" s="23" t="str">
        <x:v>NO</x:v>
      </x:c>
    </x:row>
    <x:row r="13">
      <x:c r="A13" s="23" t="str">
        <x:v>TM8-GRP-IPAD-97-LEGACY-HDC</x:v>
      </x:c>
      <x:c r="B13" s="23" t="str">
        <x:v>Hard Case for iPad 9.7-inch (Gen 5/6 and Air 1/2)</x:v>
      </x:c>
      <x:c r="C13" s="23" t="str">
        <x:v>Hard Case</x:v>
      </x:c>
      <x:c r="D13" s="23" t="str">
        <x:v>IPAD-97-LEGACY</x:v>
      </x:c>
      <x:c r="E13" s="23" t="str">
        <x:v>iPad 9.7-inch (Gen 5/6 and Air 1/2)</x:v>
      </x:c>
      <x:c r="F13" s="23" t="n">
        <x:v>7</x:v>
      </x:c>
      <x:c r="G13" s="23" t="str">
        <x:v>Black, Blue, Green, Pink, Purple, Rainbow, Red</x:v>
      </x:c>
      <x:c r="H13" s="23" t="str">
        <x:v>$49.95</x:v>
      </x:c>
      <x:c r="I13" s="23" t="str">
        <x:v>https://dghyt15qon7us.cloudfront.net/images/productTheme/Inventory/small/1643162474.jpg</x:v>
      </x:c>
      <x:c r="J13" s="23" t="str">
        <x:v>Approved</x:v>
      </x:c>
      <x:c r="K13" s="23" t="str">
        <x:v>NO</x:v>
      </x:c>
    </x:row>
    <x:row r="14">
      <x:c r="A14" s="23" t="str">
        <x:v>TM8-GRP-IPAD-AIR11-2024-HDC</x:v>
      </x:c>
      <x:c r="B14" s="23" t="str">
        <x:v>Hard Case for iPad Air 11-inch (2024)</x:v>
      </x:c>
      <x:c r="C14" s="23" t="str">
        <x:v>Hard Case</x:v>
      </x:c>
      <x:c r="D14" s="23" t="str">
        <x:v>IPAD-AIR11-2024</x:v>
      </x:c>
      <x:c r="E14" s="23" t="str">
        <x:v>iPad Air 11-inch (2024)</x:v>
      </x:c>
      <x:c r="F14" s="23" t="n">
        <x:v>6</x:v>
      </x:c>
      <x:c r="G14" s="23" t="str">
        <x:v>Black, Blue, Green, Pink, Purple, Red</x:v>
      </x:c>
      <x:c r="H14" s="23" t="str">
        <x:v>$49.95</x:v>
      </x:c>
      <x:c r="I14" s="23" t="str">
        <x:v>https://dghyt15qon7us.cloudfront.net/images/productTheme/Inventory/small/0.42545700%201719884073.jpg</x:v>
      </x:c>
      <x:c r="J14" s="23" t="str">
        <x:v>Proposed</x:v>
      </x:c>
      <x:c r="K14" s="23" t="str">
        <x:v>NO</x:v>
      </x:c>
    </x:row>
    <x:row r="15">
      <x:c r="A15" s="23" t="str">
        <x:v>TM8-GRP-IPAD-AIR13-2024-HDC</x:v>
      </x:c>
      <x:c r="B15" s="23" t="str">
        <x:v>Hard Case for iPad Air 13-inch (2024)</x:v>
      </x:c>
      <x:c r="C15" s="23" t="str">
        <x:v>Hard Case</x:v>
      </x:c>
      <x:c r="D15" s="23" t="str">
        <x:v>IPAD-AIR13-2024</x:v>
      </x:c>
      <x:c r="E15" s="23" t="str">
        <x:v>iPad Air 13-inch (2024)</x:v>
      </x:c>
      <x:c r="F15" s="23" t="n">
        <x:v>5</x:v>
      </x:c>
      <x:c r="G15" s="23" t="str">
        <x:v>Black, Blue, Pink, Purple, Red</x:v>
      </x:c>
      <x:c r="H15" s="23" t="str">
        <x:v>$49.95</x:v>
      </x:c>
      <x:c r="I15" s="23" t="str">
        <x:v>https://dghyt15qon7us.cloudfront.net/images/productTheme/Inventory/small/0.43178600%201723696223.jpg</x:v>
      </x:c>
      <x:c r="J15" s="23" t="str">
        <x:v>Proposed</x:v>
      </x:c>
      <x:c r="K15" s="23" t="str">
        <x:v>NO</x:v>
      </x:c>
    </x:row>
    <x:row r="16">
      <x:c r="A16" s="23" t="str">
        <x:v>TM8-GRP-IPAD-AIR45-PRO11-HDC</x:v>
      </x:c>
      <x:c r="B16" s="23" t="str">
        <x:v>Hard Case for iPad Air 4/5 and iPad Pro 11 (2018-2022)</x:v>
      </x:c>
      <x:c r="C16" s="23" t="str">
        <x:v>Hard Case</x:v>
      </x:c>
      <x:c r="D16" s="23" t="str">
        <x:v>IPAD-AIR45-PRO11</x:v>
      </x:c>
      <x:c r="E16" s="23" t="str">
        <x:v>iPad Air 4/5 and iPad Pro 11 (2018-2022)</x:v>
      </x:c>
      <x:c r="F16" s="23" t="n">
        <x:v>7</x:v>
      </x:c>
      <x:c r="G16" s="23" t="str">
        <x:v>Black, Blue, Green, Pink, Purple, Rainbow, Red</x:v>
      </x:c>
      <x:c r="H16" s="23" t="str">
        <x:v>$49.95</x:v>
      </x:c>
      <x:c r="I16" s="23" t="str">
        <x:v>https://dghyt15qon7us.cloudfront.net/images/productTheme/Inventory/small/1643164124.jpg</x:v>
      </x:c>
      <x:c r="J16" s="23" t="str">
        <x:v>Approved</x:v>
      </x:c>
      <x:c r="K16" s="23" t="str">
        <x:v>NO</x:v>
      </x:c>
    </x:row>
    <x:row r="17">
      <x:c r="A17" s="23" t="str">
        <x:v>TM8-GRP-IPAD-109-PRO11-LEGACY-HDC</x:v>
      </x:c>
      <x:c r="B17" s="23" t="str">
        <x:v>Hard Case for iPad Air 4/5 and iPad Pro 11 (2018-2022)</x:v>
      </x:c>
      <x:c r="C17" s="23" t="str">
        <x:v>Hard Case</x:v>
      </x:c>
      <x:c r="D17" s="23" t="str">
        <x:v>IPAD-109-PRO11-LEGACY</x:v>
      </x:c>
      <x:c r="E17" s="23" t="str">
        <x:v>iPad Air 4/5 and iPad Pro 11 (2018-2022)</x:v>
      </x:c>
      <x:c r="F17" s="23" t="n">
        <x:v>5</x:v>
      </x:c>
      <x:c r="G17" s="23" t="str">
        <x:v>Blue, Green, Pink, Purple, Red</x:v>
      </x:c>
      <x:c r="H17" s="23" t="str">
        <x:v>$49.95</x:v>
      </x:c>
      <x:c r="I17" s="23" t="str">
        <x:v>https://dghyt15qon7us.cloudfront.net/images/productTheme/Inventory/small/1670478494.jpg</x:v>
      </x:c>
      <x:c r="J17" s="23" t="str">
        <x:v>Approved</x:v>
      </x:c>
      <x:c r="K17" s="23" t="str">
        <x:v>NO</x:v>
      </x:c>
    </x:row>
    <x:row r="18">
      <x:c r="A18" s="23" t="str">
        <x:v>TM8-GRP-IPAD-MINI45-HDC</x:v>
      </x:c>
      <x:c r="B18" s="23" t="str">
        <x:v>Hard Case for iPad mini 4/5</x:v>
      </x:c>
      <x:c r="C18" s="23" t="str">
        <x:v>Hard Case</x:v>
      </x:c>
      <x:c r="D18" s="23" t="str">
        <x:v>IPAD-MINI45</x:v>
      </x:c>
      <x:c r="E18" s="23" t="str">
        <x:v>iPad mini 4/5</x:v>
      </x:c>
      <x:c r="F18" s="23" t="n">
        <x:v>6</x:v>
      </x:c>
      <x:c r="G18" s="23" t="str">
        <x:v>Black, Blue, Green, Pink, Purple, Red</x:v>
      </x:c>
      <x:c r="H18" s="23" t="str">
        <x:v>$49.95</x:v>
      </x:c>
      <x:c r="I18" s="23" t="str">
        <x:v>https://dghyt15qon7us.cloudfront.net/images/productTheme/Inventory/small/1643165842.jpg</x:v>
      </x:c>
      <x:c r="J18" s="23" t="str">
        <x:v>Proposed</x:v>
      </x:c>
      <x:c r="K18" s="23" t="str">
        <x:v>NO</x:v>
      </x:c>
    </x:row>
    <x:row r="19">
      <x:c r="A19" s="23" t="str">
        <x:v>TM8-GRP-IPAD-MINI6-HDC</x:v>
      </x:c>
      <x:c r="B19" s="23" t="str">
        <x:v>Hard Case for iPad mini 6</x:v>
      </x:c>
      <x:c r="C19" s="23" t="str">
        <x:v>Hard Case</x:v>
      </x:c>
      <x:c r="D19" s="23" t="str">
        <x:v>IPAD-MINI6</x:v>
      </x:c>
      <x:c r="E19" s="23" t="str">
        <x:v>iPad mini 6</x:v>
      </x:c>
      <x:c r="F19" s="23" t="n">
        <x:v>6</x:v>
      </x:c>
      <x:c r="G19" s="23" t="str">
        <x:v>Black, Blue, Green, Pink, Purple, Red</x:v>
      </x:c>
      <x:c r="H19" s="23" t="str">
        <x:v>$49.95</x:v>
      </x:c>
      <x:c r="I19" s="23" t="str">
        <x:v>https://dghyt15qon7us.cloudfront.net/images/productTheme/Inventory/small/1643166032.jpg</x:v>
      </x:c>
      <x:c r="J19" s="23" t="str">
        <x:v>Proposed</x:v>
      </x:c>
      <x:c r="K19" s="23" t="str">
        <x:v>NO</x:v>
      </x:c>
    </x:row>
    <x:row r="20">
      <x:c r="A20" s="23" t="str">
        <x:v>TM8-GRP-IPAD-PRO11-2024-HDC</x:v>
      </x:c>
      <x:c r="B20" s="23" t="str">
        <x:v>Hard Case for iPad Pro 11-inch (2024)</x:v>
      </x:c>
      <x:c r="C20" s="23" t="str">
        <x:v>Hard Case</x:v>
      </x:c>
      <x:c r="D20" s="23" t="str">
        <x:v>IPAD-PRO11-2024</x:v>
      </x:c>
      <x:c r="E20" s="23" t="str">
        <x:v>iPad Pro 11-inch (2024)</x:v>
      </x:c>
      <x:c r="F20" s="23" t="n">
        <x:v>5</x:v>
      </x:c>
      <x:c r="G20" s="23" t="str">
        <x:v>Black, Blue, Pink, Purple, Red</x:v>
      </x:c>
      <x:c r="H20" s="23" t="str">
        <x:v>$49.95</x:v>
      </x:c>
      <x:c r="I20" s="23" t="str">
        <x:v>https://dghyt15qon7us.cloudfront.net/images/productTheme/Inventory/small/0.38465200%201719882266.jpg</x:v>
      </x:c>
      <x:c r="J20" s="23" t="str">
        <x:v>Proposed</x:v>
      </x:c>
      <x:c r="K20" s="23" t="str">
        <x:v>NO</x:v>
      </x:c>
    </x:row>
    <x:row r="21">
      <x:c r="A21" s="23" t="str">
        <x:v>TM8-GRP-IPAD-129-LEGACY-HDC</x:v>
      </x:c>
      <x:c r="B21" s="23" t="str">
        <x:v>Hard Case for iPad Pro 12.9-inch (2018-2022)</x:v>
      </x:c>
      <x:c r="C21" s="23" t="str">
        <x:v>Hard Case</x:v>
      </x:c>
      <x:c r="D21" s="23" t="str">
        <x:v>IPAD-129-LEGACY</x:v>
      </x:c>
      <x:c r="E21" s="23" t="str">
        <x:v>iPad Pro 12.9-inch (2018-2022)</x:v>
      </x:c>
      <x:c r="F21" s="23" t="n">
        <x:v>6</x:v>
      </x:c>
      <x:c r="G21" s="23" t="str">
        <x:v>Black, Blue, Green, Pink, Purple, Red</x:v>
      </x:c>
      <x:c r="H21" s="23" t="str">
        <x:v>$49.95</x:v>
      </x:c>
      <x:c r="I21" s="23" t="str">
        <x:v>https://dghyt15qon7us.cloudfront.net/images/productTheme/Inventory/small/1643165589.jpg</x:v>
      </x:c>
      <x:c r="J21" s="23" t="str">
        <x:v>Approved</x:v>
      </x:c>
      <x:c r="K21" s="23" t="str">
        <x:v>NO</x:v>
      </x:c>
    </x:row>
    <x:row r="22">
      <x:c r="A22" s="23" t="str">
        <x:v>TM8-GRP-IPAD-PRO13-2024-HDC</x:v>
      </x:c>
      <x:c r="B22" s="23" t="str">
        <x:v>Hard Case for iPad Pro 13-inch (2024)</x:v>
      </x:c>
      <x:c r="C22" s="23" t="str">
        <x:v>Hard Case</x:v>
      </x:c>
      <x:c r="D22" s="23" t="str">
        <x:v>IPAD-PRO13-2024</x:v>
      </x:c>
      <x:c r="E22" s="23" t="str">
        <x:v>iPad Pro 13-inch (2024)</x:v>
      </x:c>
      <x:c r="F22" s="23" t="n">
        <x:v>5</x:v>
      </x:c>
      <x:c r="G22" s="23" t="str">
        <x:v>Black, Blue, Pink, Purple, Red</x:v>
      </x:c>
      <x:c r="H22" s="23" t="str">
        <x:v>$49.95</x:v>
      </x:c>
      <x:c r="I22" s="23" t="str">
        <x:v>https://dghyt15qon7us.cloudfront.net/images/productTheme/Inventory/small/0.67812600%201719882401.jpg</x:v>
      </x:c>
      <x:c r="J22" s="23" t="str">
        <x:v>Proposed</x:v>
      </x:c>
      <x:c r="K22" s="23" t="str">
        <x:v>NO</x:v>
      </x:c>
    </x:row>
    <x:row r="23">
      <x:c r="A23" s="23" t="str">
        <x:v>TM8-GRP-SAMSUNG-A8-HDC</x:v>
      </x:c>
      <x:c r="B23" s="23" t="str">
        <x:v>Hard Case for Samsung Galaxy Tab A8</x:v>
      </x:c>
      <x:c r="C23" s="23" t="str">
        <x:v>Hard Case</x:v>
      </x:c>
      <x:c r="D23" s="23" t="str">
        <x:v>SAMSUNG-A8</x:v>
      </x:c>
      <x:c r="E23" s="23" t="str">
        <x:v>Samsung Galaxy Tab A8</x:v>
      </x:c>
      <x:c r="F23" s="23" t="n">
        <x:v>1</x:v>
      </x:c>
      <x:c r="G23" s="23" t="str">
        <x:v>Unspecified</x:v>
      </x:c>
      <x:c r="H23" s="23" t="str">
        <x:v>$49.95</x:v>
      </x:c>
      <x:c r="I23" s="23" t="str">
        <x:v>https://dghyt15qon7us.cloudfront.net/images/productTheme/Inventory/small/1651814860.jpg</x:v>
      </x:c>
      <x:c r="J23" s="23" t="str">
        <x:v>Proposed</x:v>
      </x:c>
      <x:c r="K23" s="23" t="str">
        <x:v>NO</x:v>
      </x:c>
    </x:row>
    <x:row r="24">
      <x:c r="A24" s="23" t="str">
        <x:v>TM8-GRP-SAMSUNG-A9-PLUS-HDC</x:v>
      </x:c>
      <x:c r="B24" s="23" t="str">
        <x:v>Hard Case for Samsung Galaxy Tab A9 Plus</x:v>
      </x:c>
      <x:c r="C24" s="23" t="str">
        <x:v>Hard Case</x:v>
      </x:c>
      <x:c r="D24" s="23" t="str">
        <x:v>SAMSUNG-A9-PLUS</x:v>
      </x:c>
      <x:c r="E24" s="23" t="str">
        <x:v>Samsung Galaxy Tab A9 Plus</x:v>
      </x:c>
      <x:c r="F24" s="23" t="n">
        <x:v>1</x:v>
      </x:c>
      <x:c r="G24" s="23" t="str">
        <x:v>Unspecified</x:v>
      </x:c>
      <x:c r="H24" s="23" t="str">
        <x:v>$49.95</x:v>
      </x:c>
      <x:c r="I24" s="23" t="str">
        <x:v>https://dghyt15qon7us.cloudfront.net/images/productTheme/Inventory/small/0.11463000%201712624953.jpg</x:v>
      </x:c>
      <x:c r="J24" s="23" t="str">
        <x:v>Proposed</x:v>
      </x:c>
      <x:c r="K24" s="23" t="str">
        <x:v>NO</x:v>
      </x:c>
    </x:row>
    <x:row r="25">
      <x:c r="A25" s="23" t="str">
        <x:v>TM8-GRP-SAMSUNG-S7-PLUS-FE-HDC</x:v>
      </x:c>
      <x:c r="B25" s="23" t="str">
        <x:v>Hard Case for Samsung Galaxy Tab S7 Plus / FE</x:v>
      </x:c>
      <x:c r="C25" s="23" t="str">
        <x:v>Hard Case</x:v>
      </x:c>
      <x:c r="D25" s="23" t="str">
        <x:v>SAMSUNG-S7-PLUS-FE</x:v>
      </x:c>
      <x:c r="E25" s="23" t="str">
        <x:v>Samsung Galaxy Tab S7 Plus / FE</x:v>
      </x:c>
      <x:c r="F25" s="23" t="n">
        <x:v>1</x:v>
      </x:c>
      <x:c r="G25" s="23" t="str">
        <x:v>Unspecified</x:v>
      </x:c>
      <x:c r="H25" s="23" t="str">
        <x:v>$49.95</x:v>
      </x:c>
      <x:c r="I25" s="23" t="str">
        <x:v>https://dghyt15qon7us.cloudfront.net/images/productTheme/Inventory/small/1659429328.jpg</x:v>
      </x:c>
      <x:c r="J25" s="23" t="str">
        <x:v>Proposed</x:v>
      </x:c>
      <x:c r="K25" s="23" t="str">
        <x:v>NO</x:v>
      </x:c>
    </x:row>
    <x:row r="26">
      <x:c r="A26" s="23" t="str">
        <x:v>TM8-GRP-SAMSUNG-S7-S8-HDC</x:v>
      </x:c>
      <x:c r="B26" s="23" t="str">
        <x:v>Hard Case for Samsung Galaxy Tab S7/S8</x:v>
      </x:c>
      <x:c r="C26" s="23" t="str">
        <x:v>Hard Case</x:v>
      </x:c>
      <x:c r="D26" s="23" t="str">
        <x:v>SAMSUNG-S7-S8</x:v>
      </x:c>
      <x:c r="E26" s="23" t="str">
        <x:v>Samsung Galaxy Tab S7/S8</x:v>
      </x:c>
      <x:c r="F26" s="23" t="n">
        <x:v>1</x:v>
      </x:c>
      <x:c r="G26" s="23" t="str">
        <x:v>Unspecified</x:v>
      </x:c>
      <x:c r="H26" s="23" t="str">
        <x:v>$49.95</x:v>
      </x:c>
      <x:c r="I26" s="23" t="str">
        <x:v>https://dghyt15qon7us.cloudfront.net/images/productTheme/Inventory/small/166052856842456566.jpg</x:v>
      </x:c>
      <x:c r="J26" s="23" t="str">
        <x:v>Proposed</x:v>
      </x:c>
      <x:c r="K26" s="23" t="str">
        <x:v>NO</x:v>
      </x:c>
    </x:row>
    <x:row r="27">
      <x:c r="A27" s="23" t="str">
        <x:v>TM8-GRP-SAMSUNG-S8-PLUS-HDC</x:v>
      </x:c>
      <x:c r="B27" s="23" t="str">
        <x:v>Hard Case for Samsung Galaxy Tab S8 Plus</x:v>
      </x:c>
      <x:c r="C27" s="23" t="str">
        <x:v>Hard Case</x:v>
      </x:c>
      <x:c r="D27" s="23" t="str">
        <x:v>SAMSUNG-S8-PLUS</x:v>
      </x:c>
      <x:c r="E27" s="23" t="str">
        <x:v>Samsung Galaxy Tab S8 Plus</x:v>
      </x:c>
      <x:c r="F27" s="23" t="n">
        <x:v>1</x:v>
      </x:c>
      <x:c r="G27" s="23" t="str">
        <x:v>Unspecified</x:v>
      </x:c>
      <x:c r="H27" s="23" t="str">
        <x:v>$49.95</x:v>
      </x:c>
      <x:c r="I27" s="23" t="str">
        <x:v>https://dghyt15qon7us.cloudfront.net/images/productTheme/Inventory/small/1659429444.jpg</x:v>
      </x:c>
      <x:c r="J27" s="23" t="str">
        <x:v>Proposed</x:v>
      </x:c>
      <x:c r="K27" s="23" t="str">
        <x:v>NO</x:v>
      </x:c>
    </x:row>
    <x:row r="28">
      <x:c r="A28" s="23" t="str">
        <x:v>TM8-GRP-SAMSUNG-S8-ULTRA-HDC</x:v>
      </x:c>
      <x:c r="B28" s="23" t="str">
        <x:v>Hard Case for Samsung Galaxy Tab S8 Ultra</x:v>
      </x:c>
      <x:c r="C28" s="23" t="str">
        <x:v>Hard Case</x:v>
      </x:c>
      <x:c r="D28" s="23" t="str">
        <x:v>SAMSUNG-S8-ULTRA</x:v>
      </x:c>
      <x:c r="E28" s="23" t="str">
        <x:v>Samsung Galaxy Tab S8 Ultra</x:v>
      </x:c>
      <x:c r="F28" s="23" t="n">
        <x:v>1</x:v>
      </x:c>
      <x:c r="G28" s="23" t="str">
        <x:v>Unspecified</x:v>
      </x:c>
      <x:c r="H28" s="23" t="str">
        <x:v>$49.95</x:v>
      </x:c>
      <x:c r="I28" s="23" t="str">
        <x:v>https://dghyt15qon7us.cloudfront.net/images/productTheme/Inventory/small/1659429505.jpg</x:v>
      </x:c>
      <x:c r="J28" s="23" t="str">
        <x:v>Proposed</x:v>
      </x:c>
      <x:c r="K28" s="23" t="str">
        <x:v>NO</x:v>
      </x:c>
    </x:row>
    <x:row r="29">
      <x:c r="A29" s="23" t="str">
        <x:v>TM8-GRP-SAMSUNG-S9-HDC</x:v>
      </x:c>
      <x:c r="B29" s="23" t="str">
        <x:v>Hard Case for Samsung Galaxy Tab S9</x:v>
      </x:c>
      <x:c r="C29" s="23" t="str">
        <x:v>Hard Case</x:v>
      </x:c>
      <x:c r="D29" s="23" t="str">
        <x:v>SAMSUNG-S9</x:v>
      </x:c>
      <x:c r="E29" s="23" t="str">
        <x:v>Samsung Galaxy Tab S9</x:v>
      </x:c>
      <x:c r="F29" s="23" t="n">
        <x:v>1</x:v>
      </x:c>
      <x:c r="G29" s="23" t="str">
        <x:v>Unspecified</x:v>
      </x:c>
      <x:c r="H29" s="23" t="str">
        <x:v>$49.95</x:v>
      </x:c>
      <x:c r="I29" s="23" t="str">
        <x:v>https://dghyt15qon7us.cloudfront.net/images/productTheme/Inventory/small/1700608890.jpg</x:v>
      </x:c>
      <x:c r="J29" s="23" t="str">
        <x:v>Proposed</x:v>
      </x:c>
      <x:c r="K29" s="23" t="str">
        <x:v>NO</x:v>
      </x:c>
    </x:row>
    <x:row r="30">
      <x:c r="A30" s="23" t="str">
        <x:v>TM8-GRP-SAMSUNG-S9-PLUS-HDC</x:v>
      </x:c>
      <x:c r="B30" s="23" t="str">
        <x:v>Hard Case for Samsung Galaxy Tab S9 Plus</x:v>
      </x:c>
      <x:c r="C30" s="23" t="str">
        <x:v>Hard Case</x:v>
      </x:c>
      <x:c r="D30" s="23" t="str">
        <x:v>SAMSUNG-S9-PLUS</x:v>
      </x:c>
      <x:c r="E30" s="23" t="str">
        <x:v>Samsung Galaxy Tab S9 Plus</x:v>
      </x:c>
      <x:c r="F30" s="23" t="n">
        <x:v>1</x:v>
      </x:c>
      <x:c r="G30" s="23" t="str">
        <x:v>Unspecified</x:v>
      </x:c>
      <x:c r="H30" s="23" t="str">
        <x:v>$49.95</x:v>
      </x:c>
      <x:c r="I30" s="23" t="str">
        <x:v>https://dghyt15qon7us.cloudfront.net/images/productTheme/Inventory/small/1700608924.jpg</x:v>
      </x:c>
      <x:c r="J30" s="23" t="str">
        <x:v>Proposed</x:v>
      </x:c>
      <x:c r="K30" s="23" t="str">
        <x:v>NO</x:v>
      </x:c>
    </x:row>
    <x:row r="31">
      <x:c r="A31" s="23" t="str">
        <x:v>TM8-GRP-SAMSUNG-S9-ULTRA-HDC</x:v>
      </x:c>
      <x:c r="B31" s="23" t="str">
        <x:v>Hard Case for Samsung Galaxy Tab S9 Ultra</x:v>
      </x:c>
      <x:c r="C31" s="23" t="str">
        <x:v>Hard Case</x:v>
      </x:c>
      <x:c r="D31" s="23" t="str">
        <x:v>SAMSUNG-S9-ULTRA</x:v>
      </x:c>
      <x:c r="E31" s="23" t="str">
        <x:v>Samsung Galaxy Tab S9 Ultra</x:v>
      </x:c>
      <x:c r="F31" s="23" t="n">
        <x:v>1</x:v>
      </x:c>
      <x:c r="G31" s="23" t="str">
        <x:v>Unspecified</x:v>
      </x:c>
      <x:c r="H31" s="23" t="str">
        <x:v>$49.95</x:v>
      </x:c>
      <x:c r="I31" s="23" t="str">
        <x:v>https://dghyt15qon7us.cloudfront.net/images/productTheme/Inventory/small/1700608949.jpg</x:v>
      </x:c>
      <x:c r="J31" s="23" t="str">
        <x:v>Proposed</x:v>
      </x:c>
      <x:c r="K31" s="23" t="str">
        <x:v>NO</x:v>
      </x:c>
    </x:row>
    <x:row r="32">
      <x:c r="A32" s="23" t="str">
        <x:v>TM8-GRP-IPAD-102-GEN789-SUR</x:v>
      </x:c>
      <x:c r="B32" s="23" t="str">
        <x:v>Survivor Case for iPad 10.2-inch (Gen 7/8/9)</x:v>
      </x:c>
      <x:c r="C32" s="23" t="str">
        <x:v>Survivor Case</x:v>
      </x:c>
      <x:c r="D32" s="23" t="str">
        <x:v>IPAD-102-GEN789</x:v>
      </x:c>
      <x:c r="E32" s="23" t="str">
        <x:v>iPad 10.2-inch (Gen 7/8/9)</x:v>
      </x:c>
      <x:c r="F32" s="23" t="n">
        <x:v>1</x:v>
      </x:c>
      <x:c r="G32" s="23" t="str">
        <x:v>Assorted</x:v>
      </x:c>
      <x:c r="H32" s="23" t="str">
        <x:v>$49.00</x:v>
      </x:c>
      <x:c r="I32" s="23" t="str">
        <x:v>https://dghyt15qon7us.cloudfront.net/images/productTheme/Inventory/small/1703658008.jpg</x:v>
      </x:c>
      <x:c r="J32" s="23" t="str">
        <x:v>Proposed</x:v>
      </x:c>
      <x:c r="K32" s="23" t="str">
        <x:v>NO</x:v>
      </x:c>
    </x:row>
    <x:row r="33">
      <x:c r="A33" s="23" t="str">
        <x:v>TM8-GRP-IPAD-97-LEGACY-SUR</x:v>
      </x:c>
      <x:c r="B33" s="23" t="str">
        <x:v>Survivor Case for iPad 9.7-inch (Gen 5/6 and Air 1/2)</x:v>
      </x:c>
      <x:c r="C33" s="23" t="str">
        <x:v>Survivor Case</x:v>
      </x:c>
      <x:c r="D33" s="23" t="str">
        <x:v>IPAD-97-LEGACY</x:v>
      </x:c>
      <x:c r="E33" s="23" t="str">
        <x:v>iPad 9.7-inch (Gen 5/6 and Air 1/2)</x:v>
      </x:c>
      <x:c r="F33" s="23" t="n">
        <x:v>1</x:v>
      </x:c>
      <x:c r="G33" s="23" t="str">
        <x:v>Assorted</x:v>
      </x:c>
      <x:c r="H33" s="23" t="str">
        <x:v>$49.00</x:v>
      </x:c>
      <x:c r="I33" s="23" t="str">
        <x:v>https://dghyt15qon7us.cloudfront.net/images/productTheme/Inventory/small/1703655729.jpg</x:v>
      </x:c>
      <x:c r="J33" s="23" t="str">
        <x:v>Approved</x:v>
      </x:c>
      <x:c r="K33" s="23" t="str">
        <x:v>NO</x:v>
      </x:c>
    </x:row>
    <x:row r="34">
      <x:c r="A34" s="23" t="str">
        <x:v>TM8-GRP-IPAD-109-PRO11-LEGACY-SUR</x:v>
      </x:c>
      <x:c r="B34" s="23" t="str">
        <x:v>Survivor Case for iPad Air 4/5 and iPad Pro 11 (2018-2022)</x:v>
      </x:c>
      <x:c r="C34" s="23" t="str">
        <x:v>Survivor Case</x:v>
      </x:c>
      <x:c r="D34" s="23" t="str">
        <x:v>IPAD-109-PRO11-LEGACY</x:v>
      </x:c>
      <x:c r="E34" s="23" t="str">
        <x:v>iPad Air 4/5 and iPad Pro 11 (2018-2022)</x:v>
      </x:c>
      <x:c r="F34" s="23" t="n">
        <x:v>1</x:v>
      </x:c>
      <x:c r="G34" s="23" t="str">
        <x:v>Assorted</x:v>
      </x:c>
      <x:c r="H34" s="23" t="str">
        <x:v>$49.00</x:v>
      </x:c>
      <x:c r="I34" s="23" t="str">
        <x:v>https://dghyt15qon7us.cloudfront.net/images/productTheme/Inventory/small/0.12662200%201732339684.jpg</x:v>
      </x:c>
      <x:c r="J34" s="23" t="str">
        <x:v>Approved</x:v>
      </x:c>
      <x:c r="K34" s="23" t="str">
        <x:v>NO</x:v>
      </x:c>
    </x:row>
    <x:row r="35">
      <x:c r="A35" s="23" t="str">
        <x:v>TM8-GRP-IPAD-MINI45-SUR</x:v>
      </x:c>
      <x:c r="B35" s="23" t="str">
        <x:v>Survivor Case for iPad mini 4/5</x:v>
      </x:c>
      <x:c r="C35" s="23" t="str">
        <x:v>Survivor Case</x:v>
      </x:c>
      <x:c r="D35" s="23" t="str">
        <x:v>IPAD-MINI45</x:v>
      </x:c>
      <x:c r="E35" s="23" t="str">
        <x:v>iPad mini 4/5</x:v>
      </x:c>
      <x:c r="F35" s="23" t="n">
        <x:v>1</x:v>
      </x:c>
      <x:c r="G35" s="23" t="str">
        <x:v>Assorted</x:v>
      </x:c>
      <x:c r="H35" s="23" t="str">
        <x:v>$49.00</x:v>
      </x:c>
      <x:c r="I35" s="23" t="str">
        <x:v>https://dghyt15qon7us.cloudfront.net/images/productTheme/Inventory/small/1703659106.jpg</x:v>
      </x:c>
      <x:c r="J35" s="23" t="str">
        <x:v>Proposed</x:v>
      </x:c>
      <x:c r="K35" s="23" t="str">
        <x:v>NO</x:v>
      </x:c>
    </x:row>
    <x:row r="36">
      <x:c r="A36" s="23" t="str">
        <x:v>TM8-GRP-IPAD-MINI6-SUR</x:v>
      </x:c>
      <x:c r="B36" s="23" t="str">
        <x:v>Survivor Case for iPad mini 6</x:v>
      </x:c>
      <x:c r="C36" s="23" t="str">
        <x:v>Survivor Case</x:v>
      </x:c>
      <x:c r="D36" s="23" t="str">
        <x:v>IPAD-MINI6</x:v>
      </x:c>
      <x:c r="E36" s="23" t="str">
        <x:v>iPad mini 6</x:v>
      </x:c>
      <x:c r="F36" s="23" t="n">
        <x:v>1</x:v>
      </x:c>
      <x:c r="G36" s="23" t="str">
        <x:v>Assorted</x:v>
      </x:c>
      <x:c r="H36" s="23" t="str">
        <x:v>$49.00</x:v>
      </x:c>
      <x:c r="I36" s="23" t="str">
        <x:v>https://dghyt15qon7us.cloudfront.net/images/productTheme/Inventory/small/1703658763.jpg</x:v>
      </x:c>
      <x:c r="J36" s="23" t="str">
        <x:v>Proposed</x:v>
      </x:c>
      <x:c r="K36" s="23" t="str">
        <x:v>NO</x:v>
      </x:c>
    </x:row>
    <x:row r="37">
      <x:c r="A37" s="23" t="str">
        <x:v>TM8-GRP-SAMSUNG-A7-TBC</x:v>
      </x:c>
      <x:c r="B37" s="23" t="str">
        <x:v>Tablet Case for Samsung Galaxy Tab A7</x:v>
      </x:c>
      <x:c r="C37" s="23" t="str">
        <x:v>Tablet Case</x:v>
      </x:c>
      <x:c r="D37" s="23" t="str">
        <x:v>SAMSUNG-A7</x:v>
      </x:c>
      <x:c r="E37" s="23" t="str">
        <x:v>Samsung Galaxy Tab A7</x:v>
      </x:c>
      <x:c r="F37" s="23" t="n">
        <x:v>1</x:v>
      </x:c>
      <x:c r="G37" s="23" t="str">
        <x:v>Assorted</x:v>
      </x:c>
      <x:c r="H37" s="23" t="str">
        <x:v>$39.00</x:v>
      </x:c>
      <x:c r="I37" s="23" t="str">
        <x:v>https://dghyt15qon7us.cloudfront.net/images/productTheme/Inventory/small/1703658867.jpg</x:v>
      </x:c>
      <x:c r="J37" s="23" t="str">
        <x:v>Proposed</x:v>
      </x:c>
      <x:c r="K37" s="23" t="str">
        <x:v>NO</x:v>
      </x:c>
    </x:row>
    <x:row r="38">
      <x:c r="A38" s="23" t="str">
        <x:v>TM8-GRP-IPAD-102-GEN789-TLC</x:v>
      </x:c>
      <x:c r="B38" s="23" t="str">
        <x:v>Twist Leather Case for iPad 10.2-inch (Gen 7/8/9)</x:v>
      </x:c>
      <x:c r="C38" s="23" t="str">
        <x:v>Twist Leather Case</x:v>
      </x:c>
      <x:c r="D38" s="23" t="str">
        <x:v>IPAD-102-GEN789</x:v>
      </x:c>
      <x:c r="E38" s="23" t="str">
        <x:v>iPad 10.2-inch (Gen 7/8/9)</x:v>
      </x:c>
      <x:c r="F38" s="23" t="n">
        <x:v>10</x:v>
      </x:c>
      <x:c r="G38" s="23" t="str">
        <x:v>Black, Blue, Brown, Gold, Green, Navy Blue, Pink, Purple, Red, Rose Gold</x:v>
      </x:c>
      <x:c r="H38" s="23" t="str">
        <x:v>$39.95</x:v>
      </x:c>
      <x:c r="I38" s="23" t="str">
        <x:v>https://dghyt15qon7us.cloudfront.net/images/productTheme/Inventory/small/1651290060.jpg</x:v>
      </x:c>
      <x:c r="J38" s="23" t="str">
        <x:v>Proposed</x:v>
      </x:c>
      <x:c r="K38" s="23" t="str">
        <x:v>NO</x:v>
      </x:c>
    </x:row>
    <x:row r="39">
      <x:c r="A39" s="23" t="str">
        <x:v>TM8-GRP-IPAD-10-GEN10-TLC</x:v>
      </x:c>
      <x:c r="B39" s="23" t="str">
        <x:v>Twist Leather Case for iPad 10th Gen 10.9-inch</x:v>
      </x:c>
      <x:c r="C39" s="23" t="str">
        <x:v>Twist Leather Case</x:v>
      </x:c>
      <x:c r="D39" s="23" t="str">
        <x:v>IPAD-10-GEN10</x:v>
      </x:c>
      <x:c r="E39" s="23" t="str">
        <x:v>iPad 10th Gen 10.9-inch</x:v>
      </x:c>
      <x:c r="F39" s="23" t="n">
        <x:v>9</x:v>
      </x:c>
      <x:c r="G39" s="23" t="str">
        <x:v>Black, Blue, Brown, Gold, Green, Pink, Purple, Red, Rose Gold</x:v>
      </x:c>
      <x:c r="H39" s="23" t="str">
        <x:v>$39.95</x:v>
      </x:c>
      <x:c r="I39" s="23" t="str">
        <x:v>https://dghyt15qon7us.cloudfront.net/images/productTheme/Inventory/small/1669510359.jpg</x:v>
      </x:c>
      <x:c r="J39" s="23" t="str">
        <x:v>Proposed</x:v>
      </x:c>
      <x:c r="K39" s="23" t="str">
        <x:v>NO</x:v>
      </x:c>
    </x:row>
    <x:row r="40">
      <x:c r="A40" s="23" t="str">
        <x:v>TM8-GRP-IPAD-97-LEGACY-TLC</x:v>
      </x:c>
      <x:c r="B40" s="23" t="str">
        <x:v>Twist Leather Case for iPad 9.7-inch (Gen 5/6 and Air 1/2)</x:v>
      </x:c>
      <x:c r="C40" s="23" t="str">
        <x:v>Twist Leather Case</x:v>
      </x:c>
      <x:c r="D40" s="23" t="str">
        <x:v>IPAD-97-LEGACY</x:v>
      </x:c>
      <x:c r="E40" s="23" t="str">
        <x:v>iPad 9.7-inch (Gen 5/6 and Air 1/2)</x:v>
      </x:c>
      <x:c r="F40" s="23" t="n">
        <x:v>9</x:v>
      </x:c>
      <x:c r="G40" s="23" t="str">
        <x:v>Black, Blue, Brown, Gold, Green, Pink, Purple, Red, Rose Gold</x:v>
      </x:c>
      <x:c r="H40" s="23" t="str">
        <x:v>$39.95</x:v>
      </x:c>
      <x:c r="I40" s="23" t="str">
        <x:v>https://dghyt15qon7us.cloudfront.net/images/productTheme/Inventory/small/1651289074.jpg</x:v>
      </x:c>
      <x:c r="J40" s="23" t="str">
        <x:v>Approved</x:v>
      </x:c>
      <x:c r="K40" s="23" t="str">
        <x:v>NO</x:v>
      </x:c>
    </x:row>
    <x:row r="41">
      <x:c r="A41" s="23" t="str">
        <x:v>TM8-GRP-IPAD-AIR13-2024-TLC</x:v>
      </x:c>
      <x:c r="B41" s="23" t="str">
        <x:v>Twist Leather Case for iPad Air 13-inch (2024)</x:v>
      </x:c>
      <x:c r="C41" s="23" t="str">
        <x:v>Twist Leather Case</x:v>
      </x:c>
      <x:c r="D41" s="23" t="str">
        <x:v>IPAD-AIR13-2024</x:v>
      </x:c>
      <x:c r="E41" s="23" t="str">
        <x:v>iPad Air 13-inch (2024)</x:v>
      </x:c>
      <x:c r="F41" s="23" t="n">
        <x:v>2</x:v>
      </x:c>
      <x:c r="G41" s="23" t="str">
        <x:v>Blue, Green</x:v>
      </x:c>
      <x:c r="H41" s="23" t="str">
        <x:v>$39.95</x:v>
      </x:c>
      <x:c r="I41" s="23" t="str">
        <x:v>https://dghyt15qon7us.cloudfront.net/images/productTheme/Inventory/small/0.17832400%201780364856.jpg</x:v>
      </x:c>
      <x:c r="J41" s="23" t="str">
        <x:v>Proposed</x:v>
      </x:c>
      <x:c r="K41" s="23" t="str">
        <x:v>NO</x:v>
      </x:c>
    </x:row>
    <x:row r="42">
      <x:c r="A42" s="23" t="str">
        <x:v>TM8-GRP-IPAD-AIR45-PRO11-TLC</x:v>
      </x:c>
      <x:c r="B42" s="23" t="str">
        <x:v>Twist Leather Case for iPad Air 4/5 and iPad Pro 11 (2018-2022)</x:v>
      </x:c>
      <x:c r="C42" s="23" t="str">
        <x:v>Twist Leather Case</x:v>
      </x:c>
      <x:c r="D42" s="23" t="str">
        <x:v>IPAD-AIR45-PRO11</x:v>
      </x:c>
      <x:c r="E42" s="23" t="str">
        <x:v>iPad Air 4/5 and iPad Pro 11 (2018-2022)</x:v>
      </x:c>
      <x:c r="F42" s="23" t="n">
        <x:v>9</x:v>
      </x:c>
      <x:c r="G42" s="23" t="str">
        <x:v>Black, Blue, Brown, Gold, Green, Pink, Purple, Red, Rose Gold</x:v>
      </x:c>
      <x:c r="H42" s="23" t="str">
        <x:v>$39.95</x:v>
      </x:c>
      <x:c r="I42" s="23" t="str">
        <x:v>https://dghyt15qon7us.cloudfront.net/images/productTheme/Inventory/small/1651289741.jpg</x:v>
      </x:c>
      <x:c r="J42" s="23" t="str">
        <x:v>Approved</x:v>
      </x:c>
      <x:c r="K42" s="23" t="str">
        <x:v>NO</x:v>
      </x:c>
    </x:row>
    <x:row r="43">
      <x:c r="A43" s="23" t="str">
        <x:v>TM8-GRP-IPAD-MINI45-TLC</x:v>
      </x:c>
      <x:c r="B43" s="23" t="str">
        <x:v>Twist Leather Case for iPad mini 4/5</x:v>
      </x:c>
      <x:c r="C43" s="23" t="str">
        <x:v>Twist Leather Case</x:v>
      </x:c>
      <x:c r="D43" s="23" t="str">
        <x:v>IPAD-MINI45</x:v>
      </x:c>
      <x:c r="E43" s="23" t="str">
        <x:v>iPad mini 4/5</x:v>
      </x:c>
      <x:c r="F43" s="23" t="n">
        <x:v>9</x:v>
      </x:c>
      <x:c r="G43" s="23" t="str">
        <x:v>Black, Blue, Brown, Gold, Green, Pink, Purple, Red, Rose Gold</x:v>
      </x:c>
      <x:c r="H43" s="23" t="str">
        <x:v>$39.95</x:v>
      </x:c>
      <x:c r="I43" s="23" t="str">
        <x:v>https://dghyt15qon7us.cloudfront.net/images/productTheme/Inventory/small/1651285708.jpg</x:v>
      </x:c>
      <x:c r="J43" s="23" t="str">
        <x:v>Proposed</x:v>
      </x:c>
      <x:c r="K43" s="23" t="str">
        <x:v>NO</x:v>
      </x:c>
    </x:row>
    <x:row r="44">
      <x:c r="A44" s="23" t="str">
        <x:v>TM8-GRP-IPAD-MINI6-TLC</x:v>
      </x:c>
      <x:c r="B44" s="23" t="str">
        <x:v>Twist Leather Case for iPad mini 6</x:v>
      </x:c>
      <x:c r="C44" s="23" t="str">
        <x:v>Twist Leather Case</x:v>
      </x:c>
      <x:c r="D44" s="23" t="str">
        <x:v>IPAD-MINI6</x:v>
      </x:c>
      <x:c r="E44" s="23" t="str">
        <x:v>iPad mini 6</x:v>
      </x:c>
      <x:c r="F44" s="23" t="n">
        <x:v>9</x:v>
      </x:c>
      <x:c r="G44" s="23" t="str">
        <x:v>Black, Blue, Brown, Gold, Green, Pink, Purple, Red, Rose Gold</x:v>
      </x:c>
      <x:c r="H44" s="23" t="str">
        <x:v>$39.95</x:v>
      </x:c>
      <x:c r="I44" s="23" t="str">
        <x:v>https://dghyt15qon7us.cloudfront.net/images/productTheme/Inventory/small/1651288942.jpg</x:v>
      </x:c>
      <x:c r="J44" s="23" t="str">
        <x:v>Proposed</x:v>
      </x:c>
      <x:c r="K44" s="23" t="str">
        <x:v>NO</x:v>
      </x:c>
    </x:row>
    <x:row r="45">
      <x:c r="A45" s="23" t="str">
        <x:v>TM8-GRP-IPAD-PRO11-2024-TLC</x:v>
      </x:c>
      <x:c r="B45" s="23" t="str">
        <x:v>Twist Leather Case for iPad Pro 11-inch (2024)</x:v>
      </x:c>
      <x:c r="C45" s="23" t="str">
        <x:v>Twist Leather Case</x:v>
      </x:c>
      <x:c r="D45" s="23" t="str">
        <x:v>IPAD-PRO11-2024</x:v>
      </x:c>
      <x:c r="E45" s="23" t="str">
        <x:v>iPad Pro 11-inch (2024)</x:v>
      </x:c>
      <x:c r="F45" s="23" t="n">
        <x:v>7</x:v>
      </x:c>
      <x:c r="G45" s="23" t="str">
        <x:v>Black, Blue, Gold, Green, Pink, Purple, Red</x:v>
      </x:c>
      <x:c r="H45" s="23" t="str">
        <x:v>$39.95</x:v>
      </x:c>
      <x:c r="I45" s="23" t="str">
        <x:v>https://dghyt15qon7us.cloudfront.net/images/productTheme/Inventory/small/0.80215600%201719896237.jpg</x:v>
      </x:c>
      <x:c r="J45" s="23" t="str">
        <x:v>Proposed</x:v>
      </x:c>
      <x:c r="K45" s="23" t="str">
        <x:v>NO</x:v>
      </x:c>
    </x:row>
    <x:row r="46">
      <x:c r="A46" s="23" t="str">
        <x:v>TM8-GRP-IPAD-129-LEGACY-TLC</x:v>
      </x:c>
      <x:c r="B46" s="23" t="str">
        <x:v>Twist Leather Case for iPad Pro 12.9-inch (2018-2022)</x:v>
      </x:c>
      <x:c r="C46" s="23" t="str">
        <x:v>Twist Leather Case</x:v>
      </x:c>
      <x:c r="D46" s="23" t="str">
        <x:v>IPAD-129-LEGACY</x:v>
      </x:c>
      <x:c r="E46" s="23" t="str">
        <x:v>iPad Pro 12.9-inch (2018-2022)</x:v>
      </x:c>
      <x:c r="F46" s="23" t="n">
        <x:v>8</x:v>
      </x:c>
      <x:c r="G46" s="23" t="str">
        <x:v>Black, Blue, Gold, Green, Pink, Purple, Red, Rose Gold</x:v>
      </x:c>
      <x:c r="H46" s="23" t="str">
        <x:v>$39.95</x:v>
      </x:c>
      <x:c r="I46" s="23" t="str">
        <x:v>https://dghyt15qon7us.cloudfront.net/images/productTheme/Inventory/small/1653878700.jpg</x:v>
      </x:c>
      <x:c r="J46" s="23" t="str">
        <x:v>Approved</x:v>
      </x:c>
      <x:c r="K46" s="23" t="str">
        <x:v>NO</x:v>
      </x:c>
    </x:row>
    <x:row r="47">
      <x:c r="A47" s="23" t="str">
        <x:v>TM8-GRP-IPAD-PRO13-2024-TLC</x:v>
      </x:c>
      <x:c r="B47" s="23" t="str">
        <x:v>Twist Leather Case for iPad Pro 13-inch (2024)</x:v>
      </x:c>
      <x:c r="C47" s="23" t="str">
        <x:v>Twist Leather Case</x:v>
      </x:c>
      <x:c r="D47" s="23" t="str">
        <x:v>IPAD-PRO13-2024</x:v>
      </x:c>
      <x:c r="E47" s="23" t="str">
        <x:v>iPad Pro 13-inch (2024)</x:v>
      </x:c>
      <x:c r="F47" s="23" t="n">
        <x:v>7</x:v>
      </x:c>
      <x:c r="G47" s="23" t="str">
        <x:v>Black, Blue, Gold, Green, Pink, Purple, Red</x:v>
      </x:c>
      <x:c r="H47" s="23" t="str">
        <x:v>$39.95</x:v>
      </x:c>
      <x:c r="I47" s="23" t="str">
        <x:v>https://dghyt15qon7us.cloudfront.net/images/productTheme/Inventory/small/0.26437100%201721965010.jpg</x:v>
      </x:c>
      <x:c r="J47" s="23" t="str">
        <x:v>Proposed</x:v>
      </x:c>
      <x:c r="K47" s="23" t="str">
        <x:v>NO</x:v>
      </x:c>
    </x:row>
    <x:row r="48">
      <x:c r="A48" s="23" t="str">
        <x:v>TM8-GRP-UNIVERSAL-10-TLC</x:v>
      </x:c>
      <x:c r="B48" s="23" t="str">
        <x:v>Twist Leather Case for Universal 10-inch tablet fit</x:v>
      </x:c>
      <x:c r="C48" s="23" t="str">
        <x:v>Twist Leather Case</x:v>
      </x:c>
      <x:c r="D48" s="23" t="str">
        <x:v>UNIVERSAL-10</x:v>
      </x:c>
      <x:c r="E48" s="23" t="str">
        <x:v>Universal 10-inch tablet fit</x:v>
      </x:c>
      <x:c r="F48" s="23" t="n">
        <x:v>8</x:v>
      </x:c>
      <x:c r="G48" s="23" t="str">
        <x:v>Black, Blue, Brown, Green, Navy Blue, Pink, Purple, Red</x:v>
      </x:c>
      <x:c r="H48" s="23" t="str">
        <x:v>$39.95</x:v>
      </x:c>
      <x:c r="I48" s="23" t="str">
        <x:v>https://dghyt15qon7us.cloudfront.net/images/productTheme/Inventory/small/1681610233.jpg</x:v>
      </x:c>
      <x:c r="J48" s="23" t="str">
        <x:v>Proposed</x:v>
      </x:c>
      <x:c r="K48" s="23" t="str">
        <x:v>NO</x:v>
      </x:c>
    </x:row>
    <x:row r="49">
      <x:c r="A49" s="23" t="str">
        <x:v>TM8-GRP-UNIVERSAL-7-TLC</x:v>
      </x:c>
      <x:c r="B49" s="23" t="str">
        <x:v>Twist Leather Case for Universal 7-inch tablet fit</x:v>
      </x:c>
      <x:c r="C49" s="23" t="str">
        <x:v>Twist Leather Case</x:v>
      </x:c>
      <x:c r="D49" s="23" t="str">
        <x:v>UNIVERSAL-7</x:v>
      </x:c>
      <x:c r="E49" s="23" t="str">
        <x:v>Universal 7-inch tablet fit</x:v>
      </x:c>
      <x:c r="F49" s="23" t="n">
        <x:v>6</x:v>
      </x:c>
      <x:c r="G49" s="23" t="str">
        <x:v>Black, Blue, Green, Pink, Purple, Red</x:v>
      </x:c>
      <x:c r="H49" s="23" t="str">
        <x:v>$39.95</x:v>
      </x:c>
      <x:c r="I49" s="23" t="str">
        <x:v>https://dghyt15qon7us.cloudfront.net/images/productTheme/Inventory/small/1681610314.jpg</x:v>
      </x:c>
      <x:c r="J49" s="23" t="str">
        <x:v>Proposed</x:v>
      </x:c>
      <x:c r="K49" s="23" t="str">
        <x:v>NO</x:v>
      </x:c>
    </x:row>
    <x:row r="50">
      <x:c r="A50" s="23" t="str">
        <x:v>TM8-GRP-UNIVERSAL-8-TLC</x:v>
      </x:c>
      <x:c r="B50" s="23" t="str">
        <x:v>Twist Leather Case for Universal 8-inch tablet fit</x:v>
      </x:c>
      <x:c r="C50" s="23" t="str">
        <x:v>Twist Leather Case</x:v>
      </x:c>
      <x:c r="D50" s="23" t="str">
        <x:v>UNIVERSAL-8</x:v>
      </x:c>
      <x:c r="E50" s="23" t="str">
        <x:v>Universal 8-inch tablet fit</x:v>
      </x:c>
      <x:c r="F50" s="23" t="n">
        <x:v>7</x:v>
      </x:c>
      <x:c r="G50" s="23" t="str">
        <x:v>Black, Blue, Brown, Green, Pink, Purple, Red</x:v>
      </x:c>
      <x:c r="H50" s="23" t="str">
        <x:v>$39.95</x:v>
      </x:c>
      <x:c r="I50" s="23" t="str">
        <x:v>https://dghyt15qon7us.cloudfront.net/images/productTheme/Inventory/small/1681610101.jpg</x:v>
      </x:c>
      <x:c r="J50" s="23" t="str">
        <x:v>Proposed</x:v>
      </x:c>
      <x:c r="K50" s="23" t="str">
        <x:v>NO</x:v>
      </x:c>
    </x:row>
    <x:row r="51">
      <x:c r="A51" s="23" t="str">
        <x:v>TM8-GRP-IPAD-102-GEN789-UNC</x:v>
      </x:c>
      <x:c r="B51" s="23" t="str">
        <x:v>Unclassified Case for iPad 10.2-inch (Gen 7/8/9)</x:v>
      </x:c>
      <x:c r="C51" s="23" t="str">
        <x:v>Unclassified Case</x:v>
      </x:c>
      <x:c r="D51" s="23" t="str">
        <x:v>IPAD-102-GEN789</x:v>
      </x:c>
      <x:c r="E51" s="23" t="str">
        <x:v>iPad 10.2-inch (Gen 7/8/9)</x:v>
      </x:c>
      <x:c r="F51" s="23" t="n">
        <x:v>1</x:v>
      </x:c>
      <x:c r="G51" s="23" t="str">
        <x:v>Unspecified</x:v>
      </x:c>
      <x:c r="H51" s="23" t="str">
        <x:v>$39.00</x:v>
      </x:c>
      <x:c r="I51" s="23" t="str">
        <x:v>https://dghyt15qon7us.cloudfront.net/images/productTheme/Inventory/small/1665032140.jpg</x:v>
      </x:c>
      <x:c r="J51" s="23" t="str">
        <x:v>Proposed</x:v>
      </x:c>
      <x:c r="K51" s="23" t="str">
        <x:v>NO</x:v>
      </x:c>
    </x:row>
    <x:row r="52">
      <x:c r="A52" s="23" t="str">
        <x:v>TM8-GRP-IPAD-97-LEGACY-UNC</x:v>
      </x:c>
      <x:c r="B52" s="23" t="str">
        <x:v>Unclassified Case for iPad 9.7-inch (Gen 5/6 and Air 1/2)</x:v>
      </x:c>
      <x:c r="C52" s="23" t="str">
        <x:v>Unclassified Case</x:v>
      </x:c>
      <x:c r="D52" s="23" t="str">
        <x:v>IPAD-97-LEGACY</x:v>
      </x:c>
      <x:c r="E52" s="23" t="str">
        <x:v>iPad 9.7-inch (Gen 5/6 and Air 1/2)</x:v>
      </x:c>
      <x:c r="F52" s="23" t="n">
        <x:v>1</x:v>
      </x:c>
      <x:c r="G52" s="23" t="str">
        <x:v>Unspecified</x:v>
      </x:c>
      <x:c r="H52" s="23" t="str">
        <x:v>$45.00</x:v>
      </x:c>
      <x:c r="I52" s="23" t="str">
        <x:v>https://dghyt15qon7us.cloudfront.net/images/productTheme/Inventory/small/1651364133.jpg</x:v>
      </x:c>
      <x:c r="J52" s="23" t="str">
        <x:v>Approved</x:v>
      </x:c>
      <x:c r="K52" s="23" t="str">
        <x:v>NO</x:v>
      </x:c>
    </x:row>
    <x:row r="53">
      <x:c r="A53" s="23" t="str">
        <x:v>TM8-GRP-SAMSUNG-S10-UNC</x:v>
      </x:c>
      <x:c r="B53" s="23" t="str">
        <x:v>Unclassified Case for Samsung Galaxy Tab S10</x:v>
      </x:c>
      <x:c r="C53" s="23" t="str">
        <x:v>Unclassified Case</x:v>
      </x:c>
      <x:c r="D53" s="23" t="str">
        <x:v>SAMSUNG-S10</x:v>
      </x:c>
      <x:c r="E53" s="23" t="str">
        <x:v>Samsung Galaxy Tab S10</x:v>
      </x:c>
      <x:c r="F53" s="23" t="n">
        <x:v>1</x:v>
      </x:c>
      <x:c r="G53" s="23" t="str">
        <x:v>Unspecified</x:v>
      </x:c>
      <x:c r="H53" s="23" t="str">
        <x:v>$39.00</x:v>
      </x:c>
      <x:c r="I53" s="23" t="str">
        <x:v>https://dghyt15qon7us.cloudfront.net/images/productTheme/Inventory/small/0.86321400%201738470432.jpg</x:v>
      </x:c>
      <x:c r="J53" s="23" t="str">
        <x:v>Proposed</x:v>
      </x:c>
      <x:c r="K53" s="23" t="str">
        <x:v>NO</x:v>
      </x:c>
    </x:row>
    <x:row r="54">
      <x:c r="A54" s="23" t="str">
        <x:v>TM8-GRP-SAMSUNG-S10-PLUS-UNC</x:v>
      </x:c>
      <x:c r="B54" s="23" t="str">
        <x:v>Unclassified Case for Samsung Galaxy Tab S10 Plus</x:v>
      </x:c>
      <x:c r="C54" s="23" t="str">
        <x:v>Unclassified Case</x:v>
      </x:c>
      <x:c r="D54" s="23" t="str">
        <x:v>SAMSUNG-S10-PLUS</x:v>
      </x:c>
      <x:c r="E54" s="23" t="str">
        <x:v>Samsung Galaxy Tab S10 Plus</x:v>
      </x:c>
      <x:c r="F54" s="23" t="n">
        <x:v>1</x:v>
      </x:c>
      <x:c r="G54" s="23" t="str">
        <x:v>Unspecified</x:v>
      </x:c>
      <x:c r="H54" s="23" t="str">
        <x:v>$39.00</x:v>
      </x:c>
      <x:c r="I54" s="23" t="str">
        <x:v>https://dghyt15qon7us.cloudfront.net/images/productTheme/Inventory/small/0.44264500%201738470414.jpg</x:v>
      </x:c>
      <x:c r="J54" s="23" t="str">
        <x:v>Proposed</x:v>
      </x:c>
      <x:c r="K54" s="23" t="str">
        <x:v>NO</x:v>
      </x:c>
    </x:row>
    <x:row r="55">
      <x:c r="A55" s="23" t="str">
        <x:v>TM8-GRP-SAMSUNG-S10-ULTRA-UNC</x:v>
      </x:c>
      <x:c r="B55" s="23" t="str">
        <x:v>Unclassified Case for Samsung Galaxy Tab S10 Ultra</x:v>
      </x:c>
      <x:c r="C55" s="23" t="str">
        <x:v>Unclassified Case</x:v>
      </x:c>
      <x:c r="D55" s="23" t="str">
        <x:v>SAMSUNG-S10-ULTRA</x:v>
      </x:c>
      <x:c r="E55" s="23" t="str">
        <x:v>Samsung Galaxy Tab S10 Ultra</x:v>
      </x:c>
      <x:c r="F55" s="23" t="n">
        <x:v>1</x:v>
      </x:c>
      <x:c r="G55" s="23" t="str">
        <x:v>Unspecified</x:v>
      </x:c>
      <x:c r="H55" s="23" t="str">
        <x:v>$39.00</x:v>
      </x:c>
      <x:c r="I55" s="23" t="str">
        <x:v>https://dghyt15qon7us.cloudfront.net/images/productTheme/Inventory/small/0.96013900%201738470371.jpg</x:v>
      </x:c>
      <x:c r="J55" s="23" t="str">
        <x:v>Proposed</x:v>
      </x:c>
      <x:c r="K55" s="23" t="str">
        <x:v>NO</x:v>
      </x:c>
    </x:row>
    <x:row r="56">
      <x:c r="A56" s="23" t="str">
        <x:v>TM8-GRP-IPAD-102-GEN789-ZFD</x:v>
      </x:c>
      <x:c r="B56" s="23" t="str">
        <x:v>Z-Fold Case for iPad 10.2-inch (Gen 7/8/9)</x:v>
      </x:c>
      <x:c r="C56" s="23" t="str">
        <x:v>Z-Fold Case</x:v>
      </x:c>
      <x:c r="D56" s="23" t="str">
        <x:v>IPAD-102-GEN789</x:v>
      </x:c>
      <x:c r="E56" s="23" t="str">
        <x:v>iPad 10.2-inch (Gen 7/8/9)</x:v>
      </x:c>
      <x:c r="F56" s="23" t="n">
        <x:v>11</x:v>
      </x:c>
      <x:c r="G56" s="23" t="str">
        <x:v>Black, Brown, Green, Grey, Light Blue, Light Green, Pink, Purple, Red, Unspecified, Yellow</x:v>
      </x:c>
      <x:c r="H56" s="23" t="str">
        <x:v>$39.95</x:v>
      </x:c>
      <x:c r="I56" s="23" t="str">
        <x:v>https://dghyt15qon7us.cloudfront.net/images/productTheme/Inventory/small/1643172433.jpg</x:v>
      </x:c>
      <x:c r="J56" s="23" t="str">
        <x:v>Proposed</x:v>
      </x:c>
      <x:c r="K56" s="23" t="str">
        <x:v>NO</x:v>
      </x:c>
    </x:row>
    <x:row r="57">
      <x:c r="A57" s="23" t="str">
        <x:v>TM8-GRP-IPAD-10-GEN10-ZFD</x:v>
      </x:c>
      <x:c r="B57" s="23" t="str">
        <x:v>Z-Fold Case for iPad 10th Gen 10.9-inch</x:v>
      </x:c>
      <x:c r="C57" s="23" t="str">
        <x:v>Z-Fold Case</x:v>
      </x:c>
      <x:c r="D57" s="23" t="str">
        <x:v>IPAD-10-GEN10</x:v>
      </x:c>
      <x:c r="E57" s="23" t="str">
        <x:v>iPad 10th Gen 10.9-inch</x:v>
      </x:c>
      <x:c r="F57" s="23" t="n">
        <x:v>7</x:v>
      </x:c>
      <x:c r="G57" s="23" t="str">
        <x:v>Black, Dark Green, Grey, Light Green, Pink, Purple, Sky Blue</x:v>
      </x:c>
      <x:c r="H57" s="23" t="str">
        <x:v>$39.95</x:v>
      </x:c>
      <x:c r="I57" s="23" t="str">
        <x:v>https://dghyt15qon7us.cloudfront.net/images/productTheme/Inventory/small/1674185618.jpg</x:v>
      </x:c>
      <x:c r="J57" s="23" t="str">
        <x:v>Proposed</x:v>
      </x:c>
      <x:c r="K57" s="23" t="str">
        <x:v>NO</x:v>
      </x:c>
    </x:row>
    <x:row r="58">
      <x:c r="A58" s="23" t="str">
        <x:v>TM8-GRP-IPAD-97-LEGACY-ZFD</x:v>
      </x:c>
      <x:c r="B58" s="23" t="str">
        <x:v>Z-Fold Case for iPad 9.7-inch (Gen 5/6 and Air 1/2)</x:v>
      </x:c>
      <x:c r="C58" s="23" t="str">
        <x:v>Z-Fold Case</x:v>
      </x:c>
      <x:c r="D58" s="23" t="str">
        <x:v>IPAD-97-LEGACY</x:v>
      </x:c>
      <x:c r="E58" s="23" t="str">
        <x:v>iPad 9.7-inch (Gen 5/6 and Air 1/2)</x:v>
      </x:c>
      <x:c r="F58" s="23" t="n">
        <x:v>8</x:v>
      </x:c>
      <x:c r="G58" s="23" t="str">
        <x:v>Black, Blue, Gold, Green, Grey, Pink, Purple, Yellow</x:v>
      </x:c>
      <x:c r="H58" s="23" t="str">
        <x:v>$39.95</x:v>
      </x:c>
      <x:c r="I58" s="23" t="str">
        <x:v>https://dghyt15qon7us.cloudfront.net/images/productTheme/Inventory/small/1643172095.jpg</x:v>
      </x:c>
      <x:c r="J58" s="23" t="str">
        <x:v>Approved</x:v>
      </x:c>
      <x:c r="K58" s="23" t="str">
        <x:v>NO</x:v>
      </x:c>
    </x:row>
    <x:row r="59">
      <x:c r="A59" s="23" t="str">
        <x:v>TM8-GRP-IPAD-AIR11-2024-ZFD</x:v>
      </x:c>
      <x:c r="B59" s="23" t="str">
        <x:v>Z-Fold Case for iPad Air 11-inch (2024)</x:v>
      </x:c>
      <x:c r="C59" s="23" t="str">
        <x:v>Z-Fold Case</x:v>
      </x:c>
      <x:c r="D59" s="23" t="str">
        <x:v>IPAD-AIR11-2024</x:v>
      </x:c>
      <x:c r="E59" s="23" t="str">
        <x:v>iPad Air 11-inch (2024)</x:v>
      </x:c>
      <x:c r="F59" s="23" t="n">
        <x:v>5</x:v>
      </x:c>
      <x:c r="G59" s="23" t="str">
        <x:v>Black, Green, Pink, Purple, Sky Blue</x:v>
      </x:c>
      <x:c r="H59" s="23" t="str">
        <x:v>$39.95</x:v>
      </x:c>
      <x:c r="I59" s="23" t="str">
        <x:v>https://dghyt15qon7us.cloudfront.net/images/productTheme/Inventory/small/0.48737200%201727835339.jpg</x:v>
      </x:c>
      <x:c r="J59" s="23" t="str">
        <x:v>Proposed</x:v>
      </x:c>
      <x:c r="K59" s="23" t="str">
        <x:v>NO</x:v>
      </x:c>
    </x:row>
    <x:row r="60">
      <x:c r="A60" s="23" t="str">
        <x:v>TM8-GRP-IPAD-AIR13-2024-ZFD</x:v>
      </x:c>
      <x:c r="B60" s="23" t="str">
        <x:v>Z-Fold Case for iPad Air 13-inch (2024)</x:v>
      </x:c>
      <x:c r="C60" s="23" t="str">
        <x:v>Z-Fold Case</x:v>
      </x:c>
      <x:c r="D60" s="23" t="str">
        <x:v>IPAD-AIR13-2024</x:v>
      </x:c>
      <x:c r="E60" s="23" t="str">
        <x:v>iPad Air 13-inch (2024)</x:v>
      </x:c>
      <x:c r="F60" s="23" t="n">
        <x:v>6</x:v>
      </x:c>
      <x:c r="G60" s="23" t="str">
        <x:v>Black, Dark Green, Light Green, Pink, Purple, Sky Blue</x:v>
      </x:c>
      <x:c r="H60" s="23" t="str">
        <x:v>$39.95</x:v>
      </x:c>
      <x:c r="I60" s="23" t="str">
        <x:v>https://dghyt15qon7us.cloudfront.net/images/productTheme/Inventory/small/0.38283700%201727841039.jpg</x:v>
      </x:c>
      <x:c r="J60" s="23" t="str">
        <x:v>Proposed</x:v>
      </x:c>
      <x:c r="K60" s="23" t="str">
        <x:v>NO</x:v>
      </x:c>
    </x:row>
    <x:row r="61">
      <x:c r="A61" s="23" t="str">
        <x:v>TM8-GRP-IPAD-AIR45-PRO11-ZFD</x:v>
      </x:c>
      <x:c r="B61" s="23" t="str">
        <x:v>Z-Fold Case for iPad Air 4/5 and iPad Pro 11 (2018-2022)</x:v>
      </x:c>
      <x:c r="C61" s="23" t="str">
        <x:v>Z-Fold Case</x:v>
      </x:c>
      <x:c r="D61" s="23" t="str">
        <x:v>IPAD-AIR45-PRO11</x:v>
      </x:c>
      <x:c r="E61" s="23" t="str">
        <x:v>iPad Air 4/5 and iPad Pro 11 (2018-2022)</x:v>
      </x:c>
      <x:c r="F61" s="23" t="n">
        <x:v>6</x:v>
      </x:c>
      <x:c r="G61" s="23" t="str">
        <x:v>Black, Blue, Green, Grey, Pink, Purple</x:v>
      </x:c>
      <x:c r="H61" s="23" t="str">
        <x:v>$39.95</x:v>
      </x:c>
      <x:c r="I61" s="23" t="str">
        <x:v>https://dghyt15qon7us.cloudfront.net/images/productTheme/Inventory/small/1643329808.jpg</x:v>
      </x:c>
      <x:c r="J61" s="23" t="str">
        <x:v>Approved</x:v>
      </x:c>
      <x:c r="K61" s="23" t="str">
        <x:v>NO</x:v>
      </x:c>
    </x:row>
    <x:row r="62">
      <x:c r="A62" s="23" t="str">
        <x:v>TM8-GRP-IPAD-MINI45-ZFD</x:v>
      </x:c>
      <x:c r="B62" s="23" t="str">
        <x:v>Z-Fold Case for iPad mini 4/5</x:v>
      </x:c>
      <x:c r="C62" s="23" t="str">
        <x:v>Z-Fold Case</x:v>
      </x:c>
      <x:c r="D62" s="23" t="str">
        <x:v>IPAD-MINI45</x:v>
      </x:c>
      <x:c r="E62" s="23" t="str">
        <x:v>iPad mini 4/5</x:v>
      </x:c>
      <x:c r="F62" s="23" t="n">
        <x:v>7</x:v>
      </x:c>
      <x:c r="G62" s="23" t="str">
        <x:v>Black, Blue, Green, Grey, Mint, Pink, Purple</x:v>
      </x:c>
      <x:c r="H62" s="23" t="str">
        <x:v>$39.95</x:v>
      </x:c>
      <x:c r="I62" s="23" t="str">
        <x:v>https://dghyt15qon7us.cloudfront.net/images/productTheme/Inventory/small/1643346765.jpg</x:v>
      </x:c>
      <x:c r="J62" s="23" t="str">
        <x:v>Proposed</x:v>
      </x:c>
      <x:c r="K62" s="23" t="str">
        <x:v>NO</x:v>
      </x:c>
    </x:row>
    <x:row r="63">
      <x:c r="A63" s="23" t="str">
        <x:v>TM8-GRP-IPAD-MINI6-ZFD</x:v>
      </x:c>
      <x:c r="B63" s="23" t="str">
        <x:v>Z-Fold Case for iPad mini 6</x:v>
      </x:c>
      <x:c r="C63" s="23" t="str">
        <x:v>Z-Fold Case</x:v>
      </x:c>
      <x:c r="D63" s="23" t="str">
        <x:v>IPAD-MINI6</x:v>
      </x:c>
      <x:c r="E63" s="23" t="str">
        <x:v>iPad mini 6</x:v>
      </x:c>
      <x:c r="F63" s="23" t="n">
        <x:v>7</x:v>
      </x:c>
      <x:c r="G63" s="23" t="str">
        <x:v>Black, Blue, Green, Grey, Pink, Purple, White</x:v>
      </x:c>
      <x:c r="H63" s="23" t="str">
        <x:v>$39.95</x:v>
      </x:c>
      <x:c r="I63" s="23" t="str">
        <x:v>https://dghyt15qon7us.cloudfront.net/images/productTheme/Inventory/small/1643347438.jpg</x:v>
      </x:c>
      <x:c r="J63" s="23" t="str">
        <x:v>Proposed</x:v>
      </x:c>
      <x:c r="K63" s="23" t="str">
        <x:v>NO</x:v>
      </x:c>
    </x:row>
    <x:row r="64">
      <x:c r="A64" s="23" t="str">
        <x:v>TM8-GRP-IPAD-PRO11-2024-ZFD</x:v>
      </x:c>
      <x:c r="B64" s="23" t="str">
        <x:v>Z-Fold Case for iPad Pro 11-inch (2024)</x:v>
      </x:c>
      <x:c r="C64" s="23" t="str">
        <x:v>Z-Fold Case</x:v>
      </x:c>
      <x:c r="D64" s="23" t="str">
        <x:v>IPAD-PRO11-2024</x:v>
      </x:c>
      <x:c r="E64" s="23" t="str">
        <x:v>iPad Pro 11-inch (2024)</x:v>
      </x:c>
      <x:c r="F64" s="23" t="n">
        <x:v>5</x:v>
      </x:c>
      <x:c r="G64" s="23" t="str">
        <x:v>Black, Green, Pink, Purple, Sky Blue</x:v>
      </x:c>
      <x:c r="H64" s="23" t="str">
        <x:v>$39.95</x:v>
      </x:c>
      <x:c r="I64" s="23" t="str">
        <x:v>https://dghyt15qon7us.cloudfront.net/images/productTheme/Inventory/small/0.40771400%201727828444.jpg</x:v>
      </x:c>
      <x:c r="J64" s="23" t="str">
        <x:v>Proposed</x:v>
      </x:c>
      <x:c r="K64" s="23" t="str">
        <x:v>NO</x:v>
      </x:c>
    </x:row>
    <x:row r="65">
      <x:c r="A65" s="23" t="str">
        <x:v>TM8-GRP-IPAD-129-LEGACY-ZFD</x:v>
      </x:c>
      <x:c r="B65" s="23" t="str">
        <x:v>Z-Fold Case for iPad Pro 12.9-inch (2018-2022)</x:v>
      </x:c>
      <x:c r="C65" s="23" t="str">
        <x:v>Z-Fold Case</x:v>
      </x:c>
      <x:c r="D65" s="23" t="str">
        <x:v>IPAD-129-LEGACY</x:v>
      </x:c>
      <x:c r="E65" s="23" t="str">
        <x:v>iPad Pro 12.9-inch (2018-2022)</x:v>
      </x:c>
      <x:c r="F65" s="23" t="n">
        <x:v>7</x:v>
      </x:c>
      <x:c r="G65" s="23" t="str">
        <x:v>Black, Blue, Green, Grey, Pink, Purple, Yellow</x:v>
      </x:c>
      <x:c r="H65" s="23" t="str">
        <x:v>$39.95</x:v>
      </x:c>
      <x:c r="I65" s="23" t="str">
        <x:v>https://dghyt15qon7us.cloudfront.net/images/productTheme/Inventory/small/1643332136.jpg</x:v>
      </x:c>
      <x:c r="J65" s="23" t="str">
        <x:v>Approved</x:v>
      </x:c>
      <x:c r="K65" s="23" t="str">
        <x:v>NO</x:v>
      </x:c>
    </x:row>
    <x:row r="66">
      <x:c r="A66" s="23" t="str">
        <x:v>TM8-GRP-IPAD-PRO13-2024-ZFD</x:v>
      </x:c>
      <x:c r="B66" s="23" t="str">
        <x:v>Z-Fold Case for iPad Pro 13-inch (2024)</x:v>
      </x:c>
      <x:c r="C66" s="23" t="str">
        <x:v>Z-Fold Case</x:v>
      </x:c>
      <x:c r="D66" s="23" t="str">
        <x:v>IPAD-PRO13-2024</x:v>
      </x:c>
      <x:c r="E66" s="23" t="str">
        <x:v>iPad Pro 13-inch (2024)</x:v>
      </x:c>
      <x:c r="F66" s="23" t="n">
        <x:v>5</x:v>
      </x:c>
      <x:c r="G66" s="23" t="str">
        <x:v>Black, Green, Pink, Purple, Sky Blue</x:v>
      </x:c>
      <x:c r="H66" s="23" t="str">
        <x:v>$39.95</x:v>
      </x:c>
      <x:c r="I66" s="23" t="str">
        <x:v>https://dghyt15qon7us.cloudfront.net/images/productTheme/Inventory/small/0.83740800%201727829325.jpg</x:v>
      </x:c>
      <x:c r="J66" s="23" t="str">
        <x:v>Proposed</x:v>
      </x:c>
      <x:c r="K66" s="2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97b6aeda7474a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4" hidden="0" customWidth="1"/>
    <x:col min="5" max="5" width="40" hidden="0" customWidth="1"/>
    <x:col min="6" max="6" width="18" hidden="0" customWidth="1"/>
    <x:col min="7" max="7" width="48" hidden="0" customWidth="1"/>
  </x:cols>
  <x:sheetData>
    <x:row r="1">
      <x:c r="A1" s="17" t="str">
        <x:v>Fit Profile Code</x:v>
      </x:c>
      <x:c r="B1" s="17" t="str">
        <x:v>Display Name</x:v>
      </x:c>
      <x:c r="C1" s="17" t="str">
        <x:v>Source Category</x:v>
      </x:c>
      <x:c r="D1" s="17" t="str">
        <x:v>Proposed Compatible Device Models</x:v>
      </x:c>
      <x:c r="E1" s="17" t="str">
        <x:v>Direction Rule</x:v>
      </x:c>
      <x:c r="F1" s="17" t="str">
        <x:v>Review Status</x:v>
      </x:c>
      <x:c r="G1" s="17" t="str">
        <x:v>Owner Confirmation Needed</x:v>
      </x:c>
    </x:row>
    <x:row r="2">
      <x:c r="A2" s="23" t="str">
        <x:v>IPAD-102-GEN789</x:v>
      </x:c>
      <x:c r="B2" s="23" t="str">
        <x:v>iPad 10.2-inch (Gen 7/8/9)</x:v>
      </x:c>
      <x:c r="C2" s="23" t="str">
        <x:v>iPad 10.2 Inch</x:v>
      </x:c>
      <x:c r="D2" s="23" t="str">
        <x:v>iPad 7th Gen 10.2; iPad 8th Gen 10.2; iPad 9th Gen 10.2</x:v>
      </x:c>
      <x:c r="E2" s="23" t="str">
        <x:v>This case profile -&gt; listed devices only. Never infer the reverse mapping.</x:v>
      </x:c>
      <x:c r="F2" s="23" t="str">
        <x:v>Proposed</x:v>
      </x:c>
      <x:c r="G2" s="23" t="str">
        <x:v>Confirm that every case in this category fits all Gen 7, 8 and 9 devices.</x:v>
      </x:c>
    </x:row>
    <x:row r="3">
      <x:c r="A3" s="23" t="str">
        <x:v>IPAD-10-GEN10</x:v>
      </x:c>
      <x:c r="B3" s="23" t="str">
        <x:v>iPad 10th Gen 10.9-inch</x:v>
      </x:c>
      <x:c r="C3" s="23" t="str">
        <x:v>iPad 10th Gen 10.9 Inch</x:v>
      </x:c>
      <x:c r="D3" s="23" t="str">
        <x:v>iPad 10th Gen 10.9</x:v>
      </x:c>
      <x:c r="E3" s="23" t="str">
        <x:v>This case profile -&gt; listed devices only. Never infer the reverse mapping.</x:v>
      </x:c>
      <x:c r="F3" s="23" t="str">
        <x:v>Proposed</x:v>
      </x:c>
      <x:c r="G3" s="23" t="str">
        <x:v>Confirm whether any newer iPad model can use these cases.</x:v>
      </x:c>
    </x:row>
    <x:row r="4">
      <x:c r="A4" s="23" t="str">
        <x:v>IPAD-97-LEGACY</x:v>
      </x:c>
      <x:c r="B4" s="23" t="str">
        <x:v>iPad 9.7-inch (Gen 5/6 and Air 1/2)</x:v>
      </x:c>
      <x:c r="C4" s="23" t="str">
        <x:v>iPad 9.7 Inch</x:v>
      </x:c>
      <x:c r="D4" s="23" t="str">
        <x:v>iPad 5th Gen 9.7; iPad 6th Gen 9.7; iPad Air 1 9.7; iPad Air 2 9.7</x:v>
      </x:c>
      <x:c r="E4" s="23" t="str">
        <x:v>This case profile -&gt; listed devices only. Never infer the reverse mapping.</x:v>
      </x:c>
      <x:c r="F4" s="23" t="str">
        <x:v>Approved</x:v>
      </x:c>
      <x:c r="G4" s="23" t="str">
        <x:v>Owner confirmed iPad Gen 5, Gen 6, Air 1 and Air 2.</x:v>
      </x:c>
    </x:row>
    <x:row r="5">
      <x:c r="A5" s="23" t="str">
        <x:v>IPAD-AIR11-2024</x:v>
      </x:c>
      <x:c r="B5" s="23" t="str">
        <x:v>iPad Air 11-inch (2024)</x:v>
      </x:c>
      <x:c r="C5" s="23" t="str">
        <x:v>iPad Air 11-inch 2024(Air 6</x:v>
      </x:c>
      <x:c r="D5" s="23" t="str">
        <x:v>iPad Air 11-inch M2 (2024)</x:v>
      </x:c>
      <x:c r="E5" s="23" t="str">
        <x:v>This case profile -&gt; listed devices only. Never infer the reverse mapping.</x:v>
      </x:c>
      <x:c r="F5" s="23" t="str">
        <x:v>Proposed</x:v>
      </x:c>
      <x:c r="G5" s="23" t="str">
        <x:v>Confirm which older Air/Pro models, if any, can use this newer case.</x:v>
      </x:c>
    </x:row>
    <x:row r="6">
      <x:c r="A6" s="23" t="str">
        <x:v>IPAD-AIR13-2024</x:v>
      </x:c>
      <x:c r="B6" s="23" t="str">
        <x:v>iPad Air 13-inch (2024)</x:v>
      </x:c>
      <x:c r="C6" s="23" t="str">
        <x:v>iPad Air 13-inch 2024 (Air 6)</x:v>
      </x:c>
      <x:c r="D6" s="23" t="str">
        <x:v>iPad Air 13-inch M2 (2024)</x:v>
      </x:c>
      <x:c r="E6" s="23" t="str">
        <x:v>This case profile -&gt; listed devices only. Never infer the reverse mapping.</x:v>
      </x:c>
      <x:c r="F6" s="23" t="str">
        <x:v>Proposed</x:v>
      </x:c>
      <x:c r="G6" s="23" t="str">
        <x:v>Confirm whether the 2025/2026 Air 13-inch uses the same case.</x:v>
      </x:c>
    </x:row>
    <x:row r="7">
      <x:c r="A7" s="23" t="str">
        <x:v>IPAD-AIR45-PRO11</x:v>
      </x:c>
      <x:c r="B7" s="23" t="str">
        <x:v>iPad Air 4/5 and iPad Pro 11 (2018-2022)</x:v>
      </x:c>
      <x:c r="C7" s="23" t="str">
        <x:v>iPad Air 4/5, Pro 11</x:v>
      </x:c>
      <x:c r="D7" s="23" t="str">
        <x:v>iPad Air 4; iPad Air 5; iPad Pro 11-inch (2018); iPad Pro 11-inch (2020); iPad Pro 11-inch (2021); iPad Pro 11-inch (2022)</x:v>
      </x:c>
      <x:c r="E7" s="23" t="str">
        <x:v>This case profile -&gt; listed devices only. Never infer the reverse mapping.</x:v>
      </x:c>
      <x:c r="F7" s="23" t="str">
        <x:v>Approved</x:v>
      </x:c>
      <x:c r="G7" s="23" t="str">
        <x:v>Owner confirmed Air 4/5 and iPad Pro 11-inch models from 2018, 2020, 2021 and 2022.</x:v>
      </x:c>
    </x:row>
    <x:row r="8">
      <x:c r="A8" s="23" t="str">
        <x:v>IPAD-109-PRO11-LEGACY</x:v>
      </x:c>
      <x:c r="B8" s="23" t="str">
        <x:v>iPad Air 4/5 and iPad Pro 11 (2018-2022)</x:v>
      </x:c>
      <x:c r="C8" s="23" t="str">
        <x:v>iPad 10.9 inch/Pro 11</x:v>
      </x:c>
      <x:c r="D8" s="23" t="str">
        <x:v>iPad Air 4; iPad Air 5; iPad Pro 11-inch (2018); iPad Pro 11-inch (2020); iPad Pro 11-inch (2021); iPad Pro 11-inch (2022)</x:v>
      </x:c>
      <x:c r="E8" s="23" t="str">
        <x:v>This case profile -&gt; listed devices only. Never infer the reverse mapping.</x:v>
      </x:c>
      <x:c r="F8" s="23" t="str">
        <x:v>Approved</x:v>
      </x:c>
      <x:c r="G8" s="23" t="str">
        <x:v>Owner confirmed Air 4/5 and iPad Pro 11-inch models from 2018, 2020, 2021 and 2022.</x:v>
      </x:c>
    </x:row>
    <x:row r="9">
      <x:c r="A9" s="23" t="str">
        <x:v>IPAD-MINI45</x:v>
      </x:c>
      <x:c r="B9" s="23" t="str">
        <x:v>iPad mini 4/5</x:v>
      </x:c>
      <x:c r="C9" s="23" t="str">
        <x:v>iPad mini 4/5</x:v>
      </x:c>
      <x:c r="D9" s="23" t="str">
        <x:v>iPad mini 4; iPad mini 5</x:v>
      </x:c>
      <x:c r="E9" s="23" t="str">
        <x:v>This case profile -&gt; listed devices only. Never infer the reverse mapping.</x:v>
      </x:c>
      <x:c r="F9" s="23" t="str">
        <x:v>Proposed</x:v>
      </x:c>
      <x:c r="G9" s="23" t="str">
        <x:v>Confirm both mini 4 and mini 5 use every case in this profile.</x:v>
      </x:c>
    </x:row>
    <x:row r="10">
      <x:c r="A10" s="23" t="str">
        <x:v>IPAD-MINI6</x:v>
      </x:c>
      <x:c r="B10" s="23" t="str">
        <x:v>iPad mini 6</x:v>
      </x:c>
      <x:c r="C10" s="23" t="str">
        <x:v>iPad mini 6</x:v>
      </x:c>
      <x:c r="D10" s="23" t="str">
        <x:v>iPad mini 6</x:v>
      </x:c>
      <x:c r="E10" s="23" t="str">
        <x:v>This case profile -&gt; listed devices only. Never infer the reverse mapping.</x:v>
      </x:c>
      <x:c r="F10" s="23" t="str">
        <x:v>Proposed</x:v>
      </x:c>
      <x:c r="G10" s="23" t="str">
        <x:v>Confirm whether mini 7/A17 Pro is also supported by these cases.</x:v>
      </x:c>
    </x:row>
    <x:row r="11">
      <x:c r="A11" s="23" t="str">
        <x:v>IPAD-PRO11-2024</x:v>
      </x:c>
      <x:c r="B11" s="23" t="str">
        <x:v>iPad Pro 11-inch (2024)</x:v>
      </x:c>
      <x:c r="C11" s="23" t="str">
        <x:v>iPad Pro 11-inch 2024</x:v>
      </x:c>
      <x:c r="D11" s="23" t="str">
        <x:v>iPad Pro 11-inch M4 (2024)</x:v>
      </x:c>
      <x:c r="E11" s="23" t="str">
        <x:v>This case profile -&gt; listed devices only. Never infer the reverse mapping.</x:v>
      </x:c>
      <x:c r="F11" s="23" t="str">
        <x:v>Proposed</x:v>
      </x:c>
      <x:c r="G11" s="23" t="str">
        <x:v>Confirm which older Pro 11 models, if any, can use this newer case.</x:v>
      </x:c>
    </x:row>
    <x:row r="12">
      <x:c r="A12" s="23" t="str">
        <x:v>IPAD-129-LEGACY</x:v>
      </x:c>
      <x:c r="B12" s="23" t="str">
        <x:v>iPad Pro 12.9-inch (2018-2022)</x:v>
      </x:c>
      <x:c r="C12" s="23" t="str">
        <x:v>iPad 12.9 inch</x:v>
      </x:c>
      <x:c r="D12" s="23" t="str">
        <x:v>iPad Pro 12.9-inch (2018); iPad Pro 12.9-inch (2020); iPad Pro 12.9-inch (2021); iPad Pro 12.9-inch (2022)</x:v>
      </x:c>
      <x:c r="E12" s="23" t="str">
        <x:v>This case profile -&gt; listed devices only. Never infer the reverse mapping.</x:v>
      </x:c>
      <x:c r="F12" s="23" t="str">
        <x:v>Approved</x:v>
      </x:c>
      <x:c r="G12" s="23" t="str">
        <x:v>Owner confirmed the 2018, 2020, 2021 and 2022 iPad Pro 12.9-inch models.</x:v>
      </x:c>
    </x:row>
    <x:row r="13">
      <x:c r="A13" s="23" t="str">
        <x:v>IPAD-PRO13-2024</x:v>
      </x:c>
      <x:c r="B13" s="23" t="str">
        <x:v>iPad Pro 13-inch (2024)</x:v>
      </x:c>
      <x:c r="C13" s="23" t="str">
        <x:v>iPad Pro 13-inch 2024</x:v>
      </x:c>
      <x:c r="D13" s="23" t="str">
        <x:v>iPad Pro 13-inch M4 (2024)</x:v>
      </x:c>
      <x:c r="E13" s="23" t="str">
        <x:v>This case profile -&gt; listed devices only. Never infer the reverse mapping.</x:v>
      </x:c>
      <x:c r="F13" s="23" t="str">
        <x:v>Proposed</x:v>
      </x:c>
      <x:c r="G13" s="23" t="str">
        <x:v>Confirm that older 12.9-inch cases are not assumed compatible in the reverse direction.</x:v>
      </x:c>
    </x:row>
    <x:row r="14">
      <x:c r="A14" s="23" t="str">
        <x:v>SAMSUNG-A11-PLUS</x:v>
      </x:c>
      <x:c r="B14" s="23" t="str">
        <x:v>Samsung Galaxy Tab A11 Plus</x:v>
      </x:c>
      <x:c r="C14" s="23" t="str">
        <x:v>Samsung Tablet</x:v>
      </x:c>
      <x:c r="D14" s="23" t="str">
        <x:v>Samsung Galaxy Tab A11 Plus</x:v>
      </x:c>
      <x:c r="E14" s="23" t="str">
        <x:v>This case profile -&gt; listed devices only. Never infer the reverse mapping.</x:v>
      </x:c>
      <x:c r="F14" s="23" t="str">
        <x:v>Proposed</x:v>
      </x:c>
      <x:c r="G14" s="23" t="str">
        <x:v>Confirm exact Samsung model number and year; similar names can have different body dimensions.</x:v>
      </x:c>
    </x:row>
    <x:row r="15">
      <x:c r="A15" s="23" t="str">
        <x:v>SAMSUNG-A7</x:v>
      </x:c>
      <x:c r="B15" s="23" t="str">
        <x:v>Samsung Galaxy Tab A7</x:v>
      </x:c>
      <x:c r="C15" s="23" t="str">
        <x:v>Samsung Tablet</x:v>
      </x:c>
      <x:c r="D15" s="23" t="str">
        <x:v>Samsung Galaxy Tab A7</x:v>
      </x:c>
      <x:c r="E15" s="23" t="str">
        <x:v>This case profile -&gt; listed devices only. Never infer the reverse mapping.</x:v>
      </x:c>
      <x:c r="F15" s="23" t="str">
        <x:v>Proposed</x:v>
      </x:c>
      <x:c r="G15" s="23" t="str">
        <x:v>Confirm exact Samsung model number and year; similar names can have different body dimensions.</x:v>
      </x:c>
    </x:row>
    <x:row r="16">
      <x:c r="A16" s="23" t="str">
        <x:v>SAMSUNG-A8</x:v>
      </x:c>
      <x:c r="B16" s="23" t="str">
        <x:v>Samsung Galaxy Tab A8</x:v>
      </x:c>
      <x:c r="C16" s="23" t="str">
        <x:v>Samsung Tablet</x:v>
      </x:c>
      <x:c r="D16" s="23" t="str">
        <x:v>Samsung Galaxy Tab A8</x:v>
      </x:c>
      <x:c r="E16" s="23" t="str">
        <x:v>This case profile -&gt; listed devices only. Never infer the reverse mapping.</x:v>
      </x:c>
      <x:c r="F16" s="23" t="str">
        <x:v>Proposed</x:v>
      </x:c>
      <x:c r="G16" s="23" t="str">
        <x:v>Confirm exact Samsung model number and year; similar names can have different body dimensions.</x:v>
      </x:c>
    </x:row>
    <x:row r="17">
      <x:c r="A17" s="23" t="str">
        <x:v>SAMSUNG-A9-PLUS</x:v>
      </x:c>
      <x:c r="B17" s="23" t="str">
        <x:v>Samsung Galaxy Tab A9 Plus</x:v>
      </x:c>
      <x:c r="C17" s="23" t="str">
        <x:v>Samsung Tablet</x:v>
      </x:c>
      <x:c r="D17" s="23" t="str">
        <x:v>Samsung Galaxy Tab A9 Plus</x:v>
      </x:c>
      <x:c r="E17" s="23" t="str">
        <x:v>This case profile -&gt; listed devices only. Never infer the reverse mapping.</x:v>
      </x:c>
      <x:c r="F17" s="23" t="str">
        <x:v>Proposed</x:v>
      </x:c>
      <x:c r="G17" s="23" t="str">
        <x:v>Confirm exact Samsung model number and year; similar names can have different body dimensions.</x:v>
      </x:c>
    </x:row>
    <x:row r="18">
      <x:c r="A18" s="23" t="str">
        <x:v>SAMSUNG-S10</x:v>
      </x:c>
      <x:c r="B18" s="23" t="str">
        <x:v>Samsung Galaxy Tab S10</x:v>
      </x:c>
      <x:c r="C18" s="23" t="str">
        <x:v>Samsung Tablet</x:v>
      </x:c>
      <x:c r="D18" s="23" t="str">
        <x:v>Samsung Galaxy Tab S10</x:v>
      </x:c>
      <x:c r="E18" s="23" t="str">
        <x:v>This case profile -&gt; listed devices only. Never infer the reverse mapping.</x:v>
      </x:c>
      <x:c r="F18" s="23" t="str">
        <x:v>Proposed</x:v>
      </x:c>
      <x:c r="G18" s="23" t="str">
        <x:v>Confirm exact Samsung model number and year; similar names can have different body dimensions.</x:v>
      </x:c>
    </x:row>
    <x:row r="19">
      <x:c r="A19" s="23" t="str">
        <x:v>SAMSUNG-S10-PLUS</x:v>
      </x:c>
      <x:c r="B19" s="23" t="str">
        <x:v>Samsung Galaxy Tab S10 Plus</x:v>
      </x:c>
      <x:c r="C19" s="23" t="str">
        <x:v>Samsung Tablet</x:v>
      </x:c>
      <x:c r="D19" s="23" t="str">
        <x:v>Samsung Galaxy Tab S10 Plus</x:v>
      </x:c>
      <x:c r="E19" s="23" t="str">
        <x:v>This case profile -&gt; listed devices only. Never infer the reverse mapping.</x:v>
      </x:c>
      <x:c r="F19" s="23" t="str">
        <x:v>Proposed</x:v>
      </x:c>
      <x:c r="G19" s="23" t="str">
        <x:v>Confirm exact Samsung model number and year; similar names can have different body dimensions.</x:v>
      </x:c>
    </x:row>
    <x:row r="20">
      <x:c r="A20" s="23" t="str">
        <x:v>SAMSUNG-S10-ULTRA</x:v>
      </x:c>
      <x:c r="B20" s="23" t="str">
        <x:v>Samsung Galaxy Tab S10 Ultra</x:v>
      </x:c>
      <x:c r="C20" s="23" t="str">
        <x:v>Samsung Tablet</x:v>
      </x:c>
      <x:c r="D20" s="23" t="str">
        <x:v>Samsung Galaxy Tab S10 Ultra</x:v>
      </x:c>
      <x:c r="E20" s="23" t="str">
        <x:v>This case profile -&gt; listed devices only. Never infer the reverse mapping.</x:v>
      </x:c>
      <x:c r="F20" s="23" t="str">
        <x:v>Proposed</x:v>
      </x:c>
      <x:c r="G20" s="23" t="str">
        <x:v>Confirm exact Samsung model number and year; similar names can have different body dimensions.</x:v>
      </x:c>
    </x:row>
    <x:row r="21">
      <x:c r="A21" s="23" t="str">
        <x:v>SAMSUNG-S7-PLUS-FE</x:v>
      </x:c>
      <x:c r="B21" s="23" t="str">
        <x:v>Samsung Galaxy Tab S7 Plus / FE</x:v>
      </x:c>
      <x:c r="C21" s="23" t="str">
        <x:v>Samsung Tablet</x:v>
      </x:c>
      <x:c r="D21" s="23" t="str">
        <x:v>Samsung Galaxy Tab S7 Plus / FE</x:v>
      </x:c>
      <x:c r="E21" s="23" t="str">
        <x:v>This case profile -&gt; listed devices only. Never infer the reverse mapping.</x:v>
      </x:c>
      <x:c r="F21" s="23" t="str">
        <x:v>Proposed</x:v>
      </x:c>
      <x:c r="G21" s="23" t="str">
        <x:v>Confirm exact Samsung model number and year; similar names can have different body dimensions.</x:v>
      </x:c>
    </x:row>
    <x:row r="22">
      <x:c r="A22" s="23" t="str">
        <x:v>SAMSUNG-S7-S8</x:v>
      </x:c>
      <x:c r="B22" s="23" t="str">
        <x:v>Samsung Galaxy Tab S7/S8</x:v>
      </x:c>
      <x:c r="C22" s="23" t="str">
        <x:v>Samsung Tablet</x:v>
      </x:c>
      <x:c r="D22" s="23" t="str">
        <x:v>Samsung Galaxy Tab S7/S8</x:v>
      </x:c>
      <x:c r="E22" s="23" t="str">
        <x:v>This case profile -&gt; listed devices only. Never infer the reverse mapping.</x:v>
      </x:c>
      <x:c r="F22" s="23" t="str">
        <x:v>Proposed</x:v>
      </x:c>
      <x:c r="G22" s="23" t="str">
        <x:v>Confirm exact Samsung model number and year; similar names can have different body dimensions.</x:v>
      </x:c>
    </x:row>
    <x:row r="23">
      <x:c r="A23" s="23" t="str">
        <x:v>SAMSUNG-S8-PLUS</x:v>
      </x:c>
      <x:c r="B23" s="23" t="str">
        <x:v>Samsung Galaxy Tab S8 Plus</x:v>
      </x:c>
      <x:c r="C23" s="23" t="str">
        <x:v>Samsung Tablet</x:v>
      </x:c>
      <x:c r="D23" s="23" t="str">
        <x:v>Samsung Galaxy Tab S8 Plus</x:v>
      </x:c>
      <x:c r="E23" s="23" t="str">
        <x:v>This case profile -&gt; listed devices only. Never infer the reverse mapping.</x:v>
      </x:c>
      <x:c r="F23" s="23" t="str">
        <x:v>Proposed</x:v>
      </x:c>
      <x:c r="G23" s="23" t="str">
        <x:v>Confirm exact Samsung model number and year; similar names can have different body dimensions.</x:v>
      </x:c>
    </x:row>
    <x:row r="24">
      <x:c r="A24" s="23" t="str">
        <x:v>SAMSUNG-S8-ULTRA</x:v>
      </x:c>
      <x:c r="B24" s="23" t="str">
        <x:v>Samsung Galaxy Tab S8 Ultra</x:v>
      </x:c>
      <x:c r="C24" s="23" t="str">
        <x:v>Samsung Tablet</x:v>
      </x:c>
      <x:c r="D24" s="23" t="str">
        <x:v>Samsung Galaxy Tab S8 Ultra</x:v>
      </x:c>
      <x:c r="E24" s="23" t="str">
        <x:v>This case profile -&gt; listed devices only. Never infer the reverse mapping.</x:v>
      </x:c>
      <x:c r="F24" s="23" t="str">
        <x:v>Proposed</x:v>
      </x:c>
      <x:c r="G24" s="23" t="str">
        <x:v>Confirm exact Samsung model number and year; similar names can have different body dimensions.</x:v>
      </x:c>
    </x:row>
    <x:row r="25">
      <x:c r="A25" s="23" t="str">
        <x:v>SAMSUNG-S9</x:v>
      </x:c>
      <x:c r="B25" s="23" t="str">
        <x:v>Samsung Galaxy Tab S9</x:v>
      </x:c>
      <x:c r="C25" s="23" t="str">
        <x:v>Samsung Tablet</x:v>
      </x:c>
      <x:c r="D25" s="23" t="str">
        <x:v>Samsung Galaxy Tab S9</x:v>
      </x:c>
      <x:c r="E25" s="23" t="str">
        <x:v>This case profile -&gt; listed devices only. Never infer the reverse mapping.</x:v>
      </x:c>
      <x:c r="F25" s="23" t="str">
        <x:v>Proposed</x:v>
      </x:c>
      <x:c r="G25" s="23" t="str">
        <x:v>Confirm exact Samsung model number and year; similar names can have different body dimensions.</x:v>
      </x:c>
    </x:row>
    <x:row r="26">
      <x:c r="A26" s="23" t="str">
        <x:v>SAMSUNG-S9-PLUS</x:v>
      </x:c>
      <x:c r="B26" s="23" t="str">
        <x:v>Samsung Galaxy Tab S9 Plus</x:v>
      </x:c>
      <x:c r="C26" s="23" t="str">
        <x:v>Samsung Tablet</x:v>
      </x:c>
      <x:c r="D26" s="23" t="str">
        <x:v>Samsung Galaxy Tab S9 Plus</x:v>
      </x:c>
      <x:c r="E26" s="23" t="str">
        <x:v>This case profile -&gt; listed devices only. Never infer the reverse mapping.</x:v>
      </x:c>
      <x:c r="F26" s="23" t="str">
        <x:v>Proposed</x:v>
      </x:c>
      <x:c r="G26" s="23" t="str">
        <x:v>Confirm exact Samsung model number and year; similar names can have different body dimensions.</x:v>
      </x:c>
    </x:row>
    <x:row r="27">
      <x:c r="A27" s="23" t="str">
        <x:v>SAMSUNG-S9-ULTRA</x:v>
      </x:c>
      <x:c r="B27" s="23" t="str">
        <x:v>Samsung Galaxy Tab S9 Ultra</x:v>
      </x:c>
      <x:c r="C27" s="23" t="str">
        <x:v>Samsung Tablet</x:v>
      </x:c>
      <x:c r="D27" s="23" t="str">
        <x:v>Samsung Galaxy Tab S9 Ultra</x:v>
      </x:c>
      <x:c r="E27" s="23" t="str">
        <x:v>This case profile -&gt; listed devices only. Never infer the reverse mapping.</x:v>
      </x:c>
      <x:c r="F27" s="23" t="str">
        <x:v>Proposed</x:v>
      </x:c>
      <x:c r="G27" s="23" t="str">
        <x:v>Confirm exact Samsung model number and year; similar names can have different body dimensions.</x:v>
      </x:c>
    </x:row>
    <x:row r="28">
      <x:c r="A28" s="23" t="str">
        <x:v>UNIVERSAL-10</x:v>
      </x:c>
      <x:c r="B28" s="23" t="str">
        <x:v>Universal 10-inch tablet fit</x:v>
      </x:c>
      <x:c r="C28" s="23" t="str">
        <x:v>Universal case</x:v>
      </x:c>
      <x:c r="D28" s="23" t="str"/>
      <x:c r="E28" s="23" t="str">
        <x:v>This case profile -&gt; listed devices only. Never infer the reverse mapping.</x:v>
      </x:c>
      <x:c r="F28" s="23" t="str">
        <x:v>Proposed</x:v>
      </x:c>
      <x:c r="G28" s="23" t="str">
        <x:v>Confirm minimum and maximum device dimensions; size alone is not an exact compatibility promise.</x:v>
      </x:c>
    </x:row>
    <x:row r="29">
      <x:c r="A29" s="23" t="str">
        <x:v>UNIVERSAL-7</x:v>
      </x:c>
      <x:c r="B29" s="23" t="str">
        <x:v>Universal 7-inch tablet fit</x:v>
      </x:c>
      <x:c r="C29" s="23" t="str">
        <x:v>Universal case</x:v>
      </x:c>
      <x:c r="D29" s="23" t="str"/>
      <x:c r="E29" s="23" t="str">
        <x:v>This case profile -&gt; listed devices only. Never infer the reverse mapping.</x:v>
      </x:c>
      <x:c r="F29" s="23" t="str">
        <x:v>Proposed</x:v>
      </x:c>
      <x:c r="G29" s="23" t="str">
        <x:v>Confirm minimum and maximum device dimensions; size alone is not an exact compatibility promise.</x:v>
      </x:c>
    </x:row>
    <x:row r="30">
      <x:c r="A30" s="23" t="str">
        <x:v>UNIVERSAL-8</x:v>
      </x:c>
      <x:c r="B30" s="23" t="str">
        <x:v>Universal 8-inch tablet fit</x:v>
      </x:c>
      <x:c r="C30" s="23" t="str">
        <x:v>Universal case</x:v>
      </x:c>
      <x:c r="D30" s="23" t="str"/>
      <x:c r="E30" s="23" t="str">
        <x:v>This case profile -&gt; listed devices only. Never infer the reverse mapping.</x:v>
      </x:c>
      <x:c r="F30" s="23" t="str">
        <x:v>Proposed</x:v>
      </x:c>
      <x:c r="G30" s="23" t="str">
        <x:v>Confirm minimum and maximum device dimensions; size alone is not an exact compatibility promise.</x:v>
      </x:c>
    </x:row>
  </x:sheetData>
  <x:conditionalFormatting sqref="F2:F30">
    <x:cfRule type="containsText" dxfId="2" priority="1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4aaf60c5b7154b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4" hidden="0" customWidth="1"/>
  </x:cols>
  <x:sheetData>
    <x:row r="1">
      <x:c r="A1" s="17" t="str">
        <x:v>Priority</x:v>
      </x:c>
      <x:c r="B1" s="17" t="str">
        <x:v>Product Family</x:v>
      </x:c>
      <x:c r="C1" s="17" t="str">
        <x:v>Color</x:v>
      </x:c>
      <x:c r="D1" s="17" t="str">
        <x:v>Proposed Cost</x:v>
      </x:c>
      <x:c r="E1" s="17" t="str">
        <x:v>Status</x:v>
      </x:c>
      <x:c r="F1" s="17" t="str">
        <x:v>Interpretation Used</x:v>
      </x:c>
    </x:row>
    <x:row r="2">
      <x:c r="A2" s="23" t="n">
        <x:v>1</x:v>
      </x:c>
      <x:c r="B2" s="23" t="str">
        <x:v>Hard Case / Bubble Hard Case</x:v>
      </x:c>
      <x:c r="C2" s="23" t="str">
        <x:v>Any</x:v>
      </x:c>
      <x:c r="D2" s="24" t="n">
        <x:v>15</x:v>
      </x:c>
      <x:c r="E2" s="23" t="str">
        <x:v>Confirmed</x:v>
      </x:c>
      <x:c r="F2" s="23" t="str">
        <x:v>All names containing Hard Case, including Bubble Hard Case.</x:v>
      </x:c>
    </x:row>
    <x:row r="3">
      <x:c r="A3" s="23" t="n">
        <x:v>2</x:v>
      </x:c>
      <x:c r="B3" s="23" t="str">
        <x:v>Twist Leather Case</x:v>
      </x:c>
      <x:c r="C3" s="23" t="str">
        <x:v>Any</x:v>
      </x:c>
      <x:c r="D3" s="24" t="n">
        <x:v>5</x:v>
      </x:c>
      <x:c r="E3" s="23" t="str">
        <x:v>Confirmed</x:v>
      </x:c>
      <x:c r="F3" s="23" t="str">
        <x:v>Applies to every Twist Leather Case colour.</x:v>
      </x:c>
    </x:row>
    <x:row r="4">
      <x:c r="A4" s="23" t="n">
        <x:v>3</x:v>
      </x:c>
      <x:c r="B4" s="23" t="str">
        <x:v>Z-Fold Case</x:v>
      </x:c>
      <x:c r="C4" s="23" t="str">
        <x:v>Any</x:v>
      </x:c>
      <x:c r="D4" s="24" t="n">
        <x:v>4</x:v>
      </x:c>
      <x:c r="E4" s="23" t="str">
        <x:v>Confirmed</x:v>
      </x:c>
      <x:c r="F4" s="23" t="str">
        <x:v>Applies to every Z-Fold Case colour.</x:v>
      </x:c>
    </x:row>
    <x:row r="5">
      <x:c r="A5" s="23" t="n">
        <x:v>4</x:v>
      </x:c>
      <x:c r="B5" s="23" t="str">
        <x:v>Owner-confirmed override</x:v>
      </x:c>
      <x:c r="C5" s="23" t="str">
        <x:v>Any</x:v>
      </x:c>
      <x:c r="D5" s="24"/>
      <x:c r="E5" s="23" t="str">
        <x:v>Confirmed</x:v>
      </x:c>
      <x:c r="F5" s="23" t="str">
        <x:v>Use the cost saved in the Cost Overrides sheet.</x:v>
      </x:c>
    </x:row>
    <x:row r="6">
      <x:c r="A6" s="23" t="n">
        <x:v>5</x:v>
      </x:c>
      <x:c r="B6" s="23" t="str">
        <x:v>All other products</x:v>
      </x:c>
      <x:c r="C6" s="23" t="str">
        <x:v>Any</x:v>
      </x:c>
      <x:c r="D6" s="24"/>
      <x:c r="E6" s="23" t="str">
        <x:v>Review fallback</x:v>
      </x:c>
      <x:c r="F6" s="23" t="str">
        <x:v>Keep source cost; rows with zero source cost remain blocked.</x:v>
      </x:c>
    </x:row>
  </x:sheetData>
  <x:pageMargins left="0.7" right="0.7" top="0.75" bottom="0.75" header="0.3" footer="0.3"/>
  <x:tableParts count="1">
    <x:tablePart xmlns:r="http://schemas.openxmlformats.org/officeDocument/2006/relationships" r:id="Raf78d8d0d2a744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6" hidden="0" customWidth="1"/>
  </x:cols>
  <x:sheetData>
    <x:row r="1">
      <x:c r="A1" s="15" t="str">
        <x:v>New SKU</x:v>
      </x:c>
      <x:c r="B1" s="15" t="str">
        <x:v>Confirmed Cost</x:v>
      </x:c>
      <x:c r="C1" s="15" t="str">
        <x:v>Source</x:v>
      </x:c>
    </x:row>
    <x:row r="2">
      <x:c r="A2" t="str">
        <x:v>TM8-TAB-6663</x:v>
      </x:c>
      <x:c r="B2" s="16" t="n">
        <x:v>15</x:v>
      </x:c>
      <x:c r="C2" t="str">
        <x:v>TECHM8_Tablet_Cases_Missing_Costs_Updated.xlsx</x:v>
      </x:c>
    </x:row>
    <x:row r="3">
      <x:c r="A3" t="str">
        <x:v>TM8-TAB-7196</x:v>
      </x:c>
      <x:c r="B3" s="16" t="n">
        <x:v>4</x:v>
      </x:c>
      <x:c r="C3" t="str">
        <x:v>TECHM8_Tablet_Cases_Missing_Costs_Updated.xlsx</x:v>
      </x:c>
    </x:row>
    <x:row r="4">
      <x:c r="A4" t="str">
        <x:v>TM8-TAB-8873</x:v>
      </x:c>
      <x:c r="B4" s="16" t="n">
        <x:v>4</x:v>
      </x:c>
      <x:c r="C4" t="str">
        <x:v>TECHM8_Tablet_Cases_Missing_Costs_Updated.xlsx</x:v>
      </x:c>
    </x:row>
    <x:row r="5">
      <x:c r="A5" t="str">
        <x:v>TM8-TAB-8874</x:v>
      </x:c>
      <x:c r="B5" s="16" t="n">
        <x:v>4</x:v>
      </x:c>
      <x:c r="C5" t="str">
        <x:v>TECHM8_Tablet_Cases_Missing_Costs_Updated.xlsx</x:v>
      </x:c>
    </x:row>
    <x:row r="6">
      <x:c r="A6" t="str">
        <x:v>TM8-TAB-8875</x:v>
      </x:c>
      <x:c r="B6" s="16" t="n">
        <x:v>4</x:v>
      </x:c>
      <x:c r="C6" t="str">
        <x:v>TECHM8_Tablet_Cases_Missing_Costs_Updated.xlsx</x:v>
      </x:c>
    </x:row>
    <x:row r="7">
      <x:c r="A7" t="str">
        <x:v>TM8-TAB-8876</x:v>
      </x:c>
      <x:c r="B7" s="16" t="n">
        <x:v>4</x:v>
      </x:c>
      <x:c r="C7" t="str">
        <x:v>TECHM8_Tablet_Cases_Missing_Costs_Updated.xlsx</x:v>
      </x:c>
    </x:row>
    <x:row r="8">
      <x:c r="A8" t="str">
        <x:v>TM8-TAB-8877</x:v>
      </x:c>
      <x:c r="B8" s="16" t="n">
        <x:v>15</x:v>
      </x:c>
      <x:c r="C8" t="str">
        <x:v>TECHM8_Tablet_Cases_Missing_Costs_Updated.xlsx</x:v>
      </x:c>
    </x:row>
    <x:row r="9">
      <x:c r="A9" t="str">
        <x:v>TM8-TAB-8878</x:v>
      </x:c>
      <x:c r="B9" s="16" t="n">
        <x:v>15</x:v>
      </x:c>
      <x:c r="C9" t="str">
        <x:v>TECHM8_Tablet_Cases_Missing_Costs_Updated.xlsx</x:v>
      </x:c>
    </x:row>
    <x:row r="10">
      <x:c r="A10" t="str">
        <x:v>TM8-TAB-8879</x:v>
      </x:c>
      <x:c r="B10" s="16" t="n">
        <x:v>15</x:v>
      </x:c>
      <x:c r="C10" t="str">
        <x:v>TECHM8_Tablet_Cases_Missing_Costs_Updated.xlsx</x:v>
      </x:c>
    </x:row>
    <x:row r="11">
      <x:c r="A11" t="str">
        <x:v>TM8-TAB-8880</x:v>
      </x:c>
      <x:c r="B11" s="16" t="n">
        <x:v>5</x:v>
      </x:c>
      <x:c r="C11" t="str">
        <x:v>TECHM8_Tablet_Cases_Missing_Costs_Updated.xlsx</x:v>
      </x:c>
    </x:row>
    <x:row r="12">
      <x:c r="A12" t="str">
        <x:v>TM8-TAB-8881</x:v>
      </x:c>
      <x:c r="B12" s="16" t="n">
        <x:v>15</x:v>
      </x:c>
      <x:c r="C12" t="str">
        <x:v>TECHM8_Tablet_Cases_Missing_Costs_Updated.xlsx</x:v>
      </x:c>
    </x:row>
    <x:row r="13">
      <x:c r="A13" t="str">
        <x:v>TM8-TAB-9601</x:v>
      </x:c>
      <x:c r="B13" s="16" t="n">
        <x:v>4</x:v>
      </x:c>
      <x:c r="C13" t="str">
        <x:v>TECHM8_Tablet_Cases_Missing_Costs_Updated.xlsx</x:v>
      </x:c>
    </x:row>
    <x:row r="14">
      <x:c r="A14" t="str">
        <x:v>TM8-TAB-9603</x:v>
      </x:c>
      <x:c r="B14" s="16" t="n">
        <x:v>15</x:v>
      </x:c>
      <x:c r="C14" t="str">
        <x:v>TECHM8_Tablet_Cases_Missing_Costs_Updated.xlsx</x:v>
      </x:c>
    </x:row>
    <x:row r="15">
      <x:c r="A15" t="str">
        <x:v>TM8-TAB-9607</x:v>
      </x:c>
      <x:c r="B15" s="16" t="n">
        <x:v>4</x:v>
      </x:c>
      <x:c r="C15" t="str">
        <x:v>TECHM8_Tablet_Cases_Missing_Costs_Updated.xlsx</x:v>
      </x:c>
    </x:row>
    <x:row r="16">
      <x:c r="A16" t="str">
        <x:v>TM8-TAB-9608</x:v>
      </x:c>
      <x:c r="B16" s="16" t="n">
        <x:v>4</x:v>
      </x:c>
      <x:c r="C16" t="str">
        <x:v>TECHM8_Tablet_Cases_Missing_Costs_Updated.xlsx</x:v>
      </x:c>
    </x:row>
    <x:row r="17">
      <x:c r="A17" t="str">
        <x:v>TM8-TAB-9615</x:v>
      </x:c>
      <x:c r="B17" s="16" t="n">
        <x:v>4</x:v>
      </x:c>
      <x:c r="C17" t="str">
        <x:v>TECHM8_Tablet_Cases_Missing_Costs_Updated.xlsx</x:v>
      </x:c>
    </x:row>
  </x:sheetData>
  <x:pageMargins left="0.7" right="0.7" top="0.75" bottom="0.75" header="0.3" footer="0.3"/>
  <x:tableParts count="1">
    <x:tablePart xmlns:r="http://schemas.openxmlformats.org/officeDocument/2006/relationships" r:id="Rd2d1a482d3d54d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2" hidden="0" customWidth="1"/>
    <x:col min="5" max="5" width="52" hidden="0" customWidth="1"/>
  </x:cols>
  <x:sheetData>
    <x:row r="1">
      <x:c r="A1" s="27" t="str">
        <x:v>Source Item ID</x:v>
      </x:c>
      <x:c r="B1" s="27" t="str">
        <x:v>Original Name</x:v>
      </x:c>
      <x:c r="C1" s="27" t="str">
        <x:v>Issue Type</x:v>
      </x:c>
      <x:c r="D1" s="27" t="str">
        <x:v>Current Value</x:v>
      </x:c>
      <x:c r="E1" s="27" t="str">
        <x:v>Required Action</x:v>
      </x:c>
    </x:row>
    <x:row r="2">
      <x:c r="A2" s="23" t="str">
        <x:v>9615</x:v>
      </x:c>
      <x:c r="B2" s="23" t="str">
        <x:v>iPad air 4/5 Flip case mint</x:v>
      </x:c>
      <x:c r="C2" s="23" t="str">
        <x:v>Negative stock</x:v>
      </x:c>
      <x:c r="D2" s="23" t="n">
        <x:v>-1</x:v>
      </x:c>
      <x:c r="E2" s="23" t="str">
        <x:v>Proposed stock is zero; confirm physical count.</x:v>
      </x:c>
    </x:row>
    <x:row r="3">
      <x:c r="A3" s="23" t="str">
        <x:v>9246</x:v>
      </x:c>
      <x:c r="B3" s="23" t="str">
        <x:v>iPad Pro 13 Inch 2024 Twist Leather Case Purple</x:v>
      </x:c>
      <x:c r="C3" s="23" t="str">
        <x:v>Negative stock</x:v>
      </x:c>
      <x:c r="D3" s="23" t="n">
        <x:v>-1</x:v>
      </x:c>
      <x:c r="E3" s="23" t="str">
        <x:v>Proposed stock is zero; confirm physical count.</x:v>
      </x:c>
    </x:row>
    <x:row r="4">
      <x:c r="A4" s="23" t="str">
        <x:v>9242</x:v>
      </x:c>
      <x:c r="B4" s="23" t="str">
        <x:v>iPad Pro 13 Inch 2024 Twist Leather Case Black</x:v>
      </x:c>
      <x:c r="C4" s="23" t="str">
        <x:v>Negative stock</x:v>
      </x:c>
      <x:c r="D4" s="23" t="n">
        <x:v>-1</x:v>
      </x:c>
      <x:c r="E4" s="23" t="str">
        <x:v>Proposed stock is zero; confirm physical count.</x:v>
      </x:c>
    </x:row>
    <x:row r="5">
      <x:c r="A5" s="23" t="str">
        <x:v>8878</x:v>
      </x:c>
      <x:c r="B5" s="23" t="str">
        <x:v>iPad Survivor 10.2 Inch (Any colour)</x:v>
      </x:c>
      <x:c r="C5" s="23" t="str">
        <x:v>Negative stock</x:v>
      </x:c>
      <x:c r="D5" s="23" t="n">
        <x:v>-1</x:v>
      </x:c>
      <x:c r="E5" s="23" t="str">
        <x:v>Proposed stock is zero; confirm physical count.</x:v>
      </x:c>
    </x:row>
    <x:row r="6">
      <x:c r="A6" s="23" t="str">
        <x:v>8875</x:v>
      </x:c>
      <x:c r="B6" s="23" t="str">
        <x:v>iPad Flip Case 10.2 Gen Inch Black</x:v>
      </x:c>
      <x:c r="C6" s="23" t="str">
        <x:v>Negative stock</x:v>
      </x:c>
      <x:c r="D6" s="23" t="n">
        <x:v>-1</x:v>
      </x:c>
      <x:c r="E6" s="23" t="str">
        <x:v>Proposed stock is zero; confirm physical count.</x:v>
      </x:c>
    </x:row>
    <x:row r="7">
      <x:c r="A7" s="23" t="str">
        <x:v>7836</x:v>
      </x:c>
      <x:c r="B7" s="23" t="str">
        <x:v>iPad Hard Case 10th Bubble Pink</x:v>
      </x:c>
      <x:c r="C7" s="23" t="str">
        <x:v>Negative stock</x:v>
      </x:c>
      <x:c r="D7" s="23" t="n">
        <x:v>-1</x:v>
      </x:c>
      <x:c r="E7" s="23" t="str">
        <x:v>Proposed stock is zero; confirm physical count.</x:v>
      </x:c>
    </x:row>
    <x:row r="8">
      <x:c r="A8" s="23" t="str">
        <x:v>7723</x:v>
      </x:c>
      <x:c r="B8" s="23" t="str">
        <x:v>iPad Z-Fold Case 10th Gen Sky Blue</x:v>
      </x:c>
      <x:c r="C8" s="23" t="str">
        <x:v>Negative stock</x:v>
      </x:c>
      <x:c r="D8" s="23" t="n">
        <x:v>-1</x:v>
      </x:c>
      <x:c r="E8" s="23" t="str">
        <x:v>Proposed stock is zero; confirm physical count.</x:v>
      </x:c>
    </x:row>
    <x:row r="9">
      <x:c r="A9" s="23" t="str">
        <x:v>7514</x:v>
      </x:c>
      <x:c r="B9" s="23" t="str">
        <x:v>Twist Leather Case 10th Gen Blue</x:v>
      </x:c>
      <x:c r="C9" s="23" t="str">
        <x:v>Negative stock</x:v>
      </x:c>
      <x:c r="D9" s="23" t="n">
        <x:v>-1</x:v>
      </x:c>
      <x:c r="E9" s="23" t="str">
        <x:v>Proposed stock is zero; confirm physical count.</x:v>
      </x:c>
    </x:row>
    <x:row r="10">
      <x:c r="A10" s="23" t="str">
        <x:v>7196</x:v>
      </x:c>
      <x:c r="B10" s="23" t="str">
        <x:v>Kids ibuy 10.2 Inch</x:v>
      </x:c>
      <x:c r="C10" s="23" t="str">
        <x:v>Negative stock</x:v>
      </x:c>
      <x:c r="D10" s="23" t="n">
        <x:v>-3</x:v>
      </x:c>
      <x:c r="E10" s="23" t="str">
        <x:v>Proposed stock is zero; confirm physical count.</x:v>
      </x:c>
    </x:row>
    <x:row r="11">
      <x:c r="A11" s="23" t="str">
        <x:v>6985</x:v>
      </x:c>
      <x:c r="B11" s="23" t="str">
        <x:v>iPad Hard Case 10.2 Inch Rainbow</x:v>
      </x:c>
      <x:c r="C11" s="23" t="str">
        <x:v>Negative stock</x:v>
      </x:c>
      <x:c r="D11" s="23" t="n">
        <x:v>-1</x:v>
      </x:c>
      <x:c r="E11" s="23" t="str">
        <x:v>Proposed stock is zero; confirm physical count.</x:v>
      </x:c>
    </x:row>
    <x:row r="12">
      <x:c r="A12" s="23" t="str">
        <x:v>6848</x:v>
      </x:c>
      <x:c r="B12" s="23" t="str">
        <x:v>Hard Case Samsung S7+/FE</x:v>
      </x:c>
      <x:c r="C12" s="23" t="str">
        <x:v>Negative stock</x:v>
      </x:c>
      <x:c r="D12" s="23" t="n">
        <x:v>-1</x:v>
      </x:c>
      <x:c r="E12" s="23" t="str">
        <x:v>Proposed stock is zero; confirm physical count.</x:v>
      </x:c>
    </x:row>
    <x:row r="13">
      <x:c r="A13" s="23" t="str">
        <x:v>6691</x:v>
      </x:c>
      <x:c r="B13" s="23" t="str">
        <x:v>iPad Hard Case Samsung A8</x:v>
      </x:c>
      <x:c r="C13" s="23" t="str">
        <x:v>Negative stock</x:v>
      </x:c>
      <x:c r="D13" s="23" t="n">
        <x:v>-1</x:v>
      </x:c>
      <x:c r="E13" s="23" t="str">
        <x:v>Proposed stock is zero; confirm physical count.</x:v>
      </x:c>
    </x:row>
    <x:row r="14">
      <x:c r="A14" s="23" t="str">
        <x:v>6640</x:v>
      </x:c>
      <x:c r="B14" s="23" t="str">
        <x:v>Twist Leather Case 9.7 Inch Pink</x:v>
      </x:c>
      <x:c r="C14" s="23" t="str">
        <x:v>Negative stock</x:v>
      </x:c>
      <x:c r="D14" s="23" t="n">
        <x:v>-2</x:v>
      </x:c>
      <x:c r="E14" s="23" t="str">
        <x:v>Proposed stock is zero; confirm physical count.</x:v>
      </x:c>
    </x:row>
    <x:row r="15">
      <x:c r="A15" s="23" t="str">
        <x:v>6639</x:v>
      </x:c>
      <x:c r="B15" s="23" t="str">
        <x:v>Twist Leather Case 9.7 Inch Black</x:v>
      </x:c>
      <x:c r="C15" s="23" t="str">
        <x:v>Negative stock</x:v>
      </x:c>
      <x:c r="D15" s="23" t="n">
        <x:v>-1</x:v>
      </x:c>
      <x:c r="E15" s="23" t="str">
        <x:v>Proposed stock is zero; confirm physical count.</x:v>
      </x:c>
    </x:row>
    <x:row r="16">
      <x:c r="A16" s="23" t="str">
        <x:v>6438</x:v>
      </x:c>
      <x:c r="B16" s="23" t="str">
        <x:v>iPad Z-Fold Case 12.9 Inch Green</x:v>
      </x:c>
      <x:c r="C16" s="23" t="str">
        <x:v>Negative stock</x:v>
      </x:c>
      <x:c r="D16" s="23" t="n">
        <x:v>-1</x:v>
      </x:c>
      <x:c r="E16" s="23" t="str">
        <x:v>Proposed stock is zero; confirm physical count.</x:v>
      </x:c>
    </x:row>
    <x:row r="17">
      <x:c r="A17" s="23" t="str">
        <x:v>6432</x:v>
      </x:c>
      <x:c r="B17" s="23" t="str">
        <x:v>iPad Z-Fold Case Air 4/5 , Por 11 Pink</x:v>
      </x:c>
      <x:c r="C17" s="23" t="str">
        <x:v>Negative stock</x:v>
      </x:c>
      <x:c r="D17" s="23" t="n">
        <x:v>-1</x:v>
      </x:c>
      <x:c r="E17" s="23" t="str">
        <x:v>Proposed stock is zero; confirm physical count.</x:v>
      </x:c>
    </x:row>
    <x:row r="18">
      <x:c r="A18" s="23" t="str">
        <x:v>6422</x:v>
      </x:c>
      <x:c r="B18" s="23" t="str">
        <x:v>iPad Z-Fold Case 10.2 Inch Navy</x:v>
      </x:c>
      <x:c r="C18" s="23" t="str">
        <x:v>Missing variant image</x:v>
      </x:c>
      <x:c r="D18" s="23" t="str"/>
      <x:c r="E18" s="23" t="str">
        <x:v>Group image fallback is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5cd4c1c2fa4041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44" hidden="0" customWidth="1"/>
    <x:col min="8" max="8" width="44" hidden="0" customWidth="1"/>
  </x:cols>
  <x:sheetData>
    <x:row r="1">
      <x:c r="A1" s="30" t="str">
        <x:v>Source Item ID</x:v>
      </x:c>
      <x:c r="B1" s="30" t="str">
        <x:v>New SKU</x:v>
      </x:c>
      <x:c r="C1" s="30" t="str">
        <x:v>Original Name</x:v>
      </x:c>
      <x:c r="D1" s="30" t="str">
        <x:v>Proposed Name</x:v>
      </x:c>
      <x:c r="E1" s="30" t="str">
        <x:v>Source Category</x:v>
      </x:c>
      <x:c r="F1" s="30" t="str">
        <x:v>Reason Removed</x:v>
      </x:c>
      <x:c r="G1" s="30" t="str">
        <x:v>Variant Image URL</x:v>
      </x:c>
      <x:c r="H1" s="30" t="str">
        <x:v>Group Main Image URL</x:v>
      </x:c>
    </x:row>
    <x:row r="2">
      <x:c r="A2" s="23" t="str">
        <x:v>9606</x:v>
      </x:c>
      <x:c r="B2" s="23" t="str">
        <x:v>TM8-TAB-9606</x:v>
      </x:c>
      <x:c r="C2" s="23" t="str">
        <x:v>iPad pro 11 Z-flip case Grey</x:v>
      </x:c>
      <x:c r="D2" s="23" t="str">
        <x:v>Z-Fold Case for iPad Air 4/5 and iPad Pro 11 (2018-2022) - Grey</x:v>
      </x:c>
      <x:c r="E2" s="23" t="str">
        <x:v>iPad 10.9 inch/Pro 11</x:v>
      </x:c>
      <x:c r="F2" s="23" t="str">
        <x:v>Duplicate Grey variant after Z-Flip was corrected to Z-Fold. Keep TM8-TAB-6428.</x:v>
      </x:c>
      <x:c r="G2" s="23" t="str">
        <x:v>https://dghyt15qon7us.cloudfront.net/images/productTheme/Inventory/small/0.09646000%201732339878.jpg</x:v>
      </x:c>
      <x:c r="H2" s="23" t="str"/>
    </x:row>
    <x:row r="3">
      <x:c r="A3" s="23" t="str">
        <x:v>9605</x:v>
      </x:c>
      <x:c r="B3" s="23" t="str">
        <x:v>TM8-TAB-9605</x:v>
      </x:c>
      <x:c r="C3" s="23" t="str">
        <x:v>iPad pro 11 Z-flip case Pink</x:v>
      </x:c>
      <x:c r="D3" s="23" t="str">
        <x:v>Z-Fold Case for iPad Air 4/5 and iPad Pro 11 (2018-2022) - Pink</x:v>
      </x:c>
      <x:c r="E3" s="23" t="str">
        <x:v>iPad 10.9 inch/Pro 11</x:v>
      </x:c>
      <x:c r="F3" s="23" t="str">
        <x:v>Duplicate Pink variant after Z-Flip was corrected to Z-Fold. Keep TM8-TAB-6432.</x:v>
      </x:c>
      <x:c r="G3" s="23" t="str">
        <x:v>https://dghyt15qon7us.cloudfront.net/images/productTheme/Inventory/small/0.38250500%201732339838.jpg</x:v>
      </x:c>
      <x:c r="H3" s="23" t="str"/>
    </x:row>
    <x:row r="4">
      <x:c r="A4" s="23" t="str">
        <x:v>9604</x:v>
      </x:c>
      <x:c r="B4" s="23" t="str">
        <x:v>TM8-TAB-9604</x:v>
      </x:c>
      <x:c r="C4" s="23" t="str">
        <x:v>iPad pro 11 Z-flip case Black</x:v>
      </x:c>
      <x:c r="D4" s="23" t="str">
        <x:v>Z-Fold Case for iPad Air 4/5 and iPad Pro 11 (2018-2022) - Black</x:v>
      </x:c>
      <x:c r="E4" s="23" t="str">
        <x:v>iPad 10.9 inch/Pro 11</x:v>
      </x:c>
      <x:c r="F4" s="23" t="str">
        <x:v>Duplicate Black variant after Z-Flip was corrected to Z-Fold. Keep TM8-TAB-6433.</x:v>
      </x:c>
      <x:c r="G4" s="23" t="str">
        <x:v>https://dghyt15qon7us.cloudfront.net/images/productTheme/Inventory/small/0.20983300%201732339813.jpg</x:v>
      </x:c>
      <x:c r="H4" s="23" t="str"/>
    </x:row>
    <x:row r="5">
      <x:c r="A5" s="23" t="str">
        <x:v>8121</x:v>
      </x:c>
      <x:c r="B5" s="23" t="str">
        <x:v>TM8-TAB-8121</x:v>
      </x:c>
      <x:c r="C5" s="23" t="str">
        <x:v>iPad Z-Fold Case 9.7 Inch Yellow</x:v>
      </x:c>
      <x:c r="D5" s="23" t="str">
        <x:v>Z-Fold Case for iPad 9.7-inch (Gen 5/6 and Air 1/2) - Yellow</x:v>
      </x:c>
      <x:c r="E5" s="23" t="str">
        <x:v>iPad 9.7 Inch</x:v>
      </x:c>
      <x:c r="F5" s="23" t="str">
        <x:v>Duplicate Yellow variant in the iPad 9.7-inch Z-Fold group. Keep TM8-TAB-6417.</x:v>
      </x:c>
      <x:c r="G5" s="23" t="str">
        <x:v>https://dghyt15qon7us.cloudfront.net/images/productTheme/Inventory/small/1682728689.jpg</x:v>
      </x:c>
      <x:c r="H5" s="23" t="str"/>
    </x:row>
    <x:row r="6">
      <x:c r="A6" s="23" t="str">
        <x:v>10064</x:v>
      </x:c>
      <x:c r="B6" s="23" t="str">
        <x:v>TM8-TAB-10064</x:v>
      </x:c>
      <x:c r="C6" s="23" t="str">
        <x:v>S9 FE FLIP OVER GREEN</x:v>
      </x:c>
      <x:c r="D6" s="23" t="str">
        <x:v>Flip Case for Samsung Galaxy Tab S9 FE - Green</x:v>
      </x:c>
      <x:c r="E6" s="23" t="str">
        <x:v>Samsung Tablet</x:v>
      </x:c>
      <x:c r="F6" s="23" t="str">
        <x:v>Removed because no usable product or group image exists.</x:v>
      </x:c>
      <x:c r="G6" s="23" t="str"/>
      <x:c r="H6" s="23" t="str"/>
    </x:row>
  </x:sheetData>
  <x:pageMargins left="0.7" right="0.7" top="0.75" bottom="0.75" header="0.3" footer="0.3"/>
  <x:tableParts count="1">
    <x:tablePart xmlns:r="http://schemas.openxmlformats.org/officeDocument/2006/relationships" r:id="R86497094d2cc4536"/>
  </x:tableParts>
</x:worksheet>
</file>