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gram\TECHM8 PRICE LIST\outputs\computer-product-catalog-review-20260809\"/>
    </mc:Choice>
  </mc:AlternateContent>
  <xr:revisionPtr revIDLastSave="0" documentId="13_ncr:1_{B1204DC8-3BCD-437A-8351-B5C3634D93FA}" xr6:coauthVersionLast="47" xr6:coauthVersionMax="47" xr10:uidLastSave="{00000000-0000-0000-0000-000000000000}"/>
  <bookViews>
    <workbookView xWindow="4590" yWindow="2460" windowWidth="22365" windowHeight="12315" activeTab="1" xr2:uid="{00000000-000D-0000-FFFF-FFFF00000000}"/>
  </bookViews>
  <sheets>
    <sheet name="Summary" sheetId="1" r:id="rId1"/>
    <sheet name="Cost Review" sheetId="2" r:id="rId2"/>
    <sheet name="Product Review" sheetId="3" r:id="rId3"/>
    <sheet name="Missing Images" sheetId="4" r:id="rId4"/>
    <sheet name="Classification Rul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184" i="3" l="1"/>
  <c r="T184" i="3"/>
  <c r="R184" i="3"/>
  <c r="S184" i="3" s="1"/>
  <c r="O184" i="3"/>
  <c r="Y184" i="3" s="1"/>
  <c r="L184" i="3"/>
  <c r="K184" i="3"/>
  <c r="V183" i="3"/>
  <c r="T183" i="3"/>
  <c r="S183" i="3"/>
  <c r="R183" i="3"/>
  <c r="O183" i="3"/>
  <c r="P183" i="3" s="1"/>
  <c r="L183" i="3"/>
  <c r="K183" i="3"/>
  <c r="V182" i="3"/>
  <c r="T182" i="3"/>
  <c r="R182" i="3"/>
  <c r="S182" i="3" s="1"/>
  <c r="O182" i="3"/>
  <c r="Y182" i="3" s="1"/>
  <c r="L182" i="3"/>
  <c r="K182" i="3"/>
  <c r="V181" i="3"/>
  <c r="T181" i="3"/>
  <c r="R181" i="3"/>
  <c r="Y181" i="3" s="1"/>
  <c r="O181" i="3"/>
  <c r="P181" i="3" s="1"/>
  <c r="L181" i="3"/>
  <c r="K181" i="3"/>
  <c r="Y180" i="3"/>
  <c r="V180" i="3"/>
  <c r="T180" i="3"/>
  <c r="R180" i="3"/>
  <c r="S180" i="3" s="1"/>
  <c r="P180" i="3"/>
  <c r="O180" i="3"/>
  <c r="L180" i="3"/>
  <c r="K180" i="3"/>
  <c r="V179" i="3"/>
  <c r="T179" i="3"/>
  <c r="S179" i="3"/>
  <c r="R179" i="3"/>
  <c r="O179" i="3"/>
  <c r="Y179" i="3" s="1"/>
  <c r="L179" i="3"/>
  <c r="K179" i="3"/>
  <c r="Y178" i="3"/>
  <c r="V178" i="3"/>
  <c r="T178" i="3"/>
  <c r="R178" i="3"/>
  <c r="S178" i="3" s="1"/>
  <c r="O178" i="3"/>
  <c r="P178" i="3" s="1"/>
  <c r="L178" i="3"/>
  <c r="K178" i="3"/>
  <c r="V177" i="3"/>
  <c r="T177" i="3"/>
  <c r="R177" i="3"/>
  <c r="S177" i="3" s="1"/>
  <c r="O177" i="3"/>
  <c r="P177" i="3" s="1"/>
  <c r="L177" i="3"/>
  <c r="K177" i="3"/>
  <c r="V176" i="3"/>
  <c r="T176" i="3"/>
  <c r="R176" i="3"/>
  <c r="S176" i="3" s="1"/>
  <c r="O176" i="3"/>
  <c r="Y176" i="3" s="1"/>
  <c r="L176" i="3"/>
  <c r="K176" i="3"/>
  <c r="V175" i="3"/>
  <c r="T175" i="3"/>
  <c r="R175" i="3"/>
  <c r="S175" i="3" s="1"/>
  <c r="P175" i="3"/>
  <c r="O175" i="3"/>
  <c r="Y175" i="3" s="1"/>
  <c r="L175" i="3"/>
  <c r="K175" i="3"/>
  <c r="Y174" i="3"/>
  <c r="V174" i="3"/>
  <c r="T174" i="3"/>
  <c r="S174" i="3"/>
  <c r="R174" i="3"/>
  <c r="P174" i="3"/>
  <c r="O174" i="3"/>
  <c r="L174" i="3"/>
  <c r="K174" i="3"/>
  <c r="V173" i="3"/>
  <c r="T173" i="3"/>
  <c r="R173" i="3"/>
  <c r="S173" i="3" s="1"/>
  <c r="O173" i="3"/>
  <c r="P173" i="3" s="1"/>
  <c r="L173" i="3"/>
  <c r="K173" i="3"/>
  <c r="V172" i="3"/>
  <c r="T172" i="3"/>
  <c r="R172" i="3"/>
  <c r="Y172" i="3" s="1"/>
  <c r="O172" i="3"/>
  <c r="P172" i="3" s="1"/>
  <c r="L172" i="3"/>
  <c r="K172" i="3"/>
  <c r="Y171" i="3"/>
  <c r="V171" i="3"/>
  <c r="T171" i="3"/>
  <c r="S171" i="3"/>
  <c r="R171" i="3"/>
  <c r="P171" i="3"/>
  <c r="O171" i="3"/>
  <c r="L171" i="3"/>
  <c r="K171" i="3"/>
  <c r="V170" i="3"/>
  <c r="T170" i="3"/>
  <c r="R170" i="3"/>
  <c r="S170" i="3" s="1"/>
  <c r="O170" i="3"/>
  <c r="P170" i="3" s="1"/>
  <c r="L170" i="3"/>
  <c r="K170" i="3"/>
  <c r="Y169" i="3"/>
  <c r="V169" i="3"/>
  <c r="T169" i="3"/>
  <c r="R169" i="3"/>
  <c r="S169" i="3" s="1"/>
  <c r="P169" i="3"/>
  <c r="O169" i="3"/>
  <c r="L169" i="3"/>
  <c r="K169" i="3"/>
  <c r="V168" i="3"/>
  <c r="T168" i="3"/>
  <c r="S168" i="3"/>
  <c r="R168" i="3"/>
  <c r="O168" i="3"/>
  <c r="Y168" i="3" s="1"/>
  <c r="L168" i="3"/>
  <c r="K168" i="3"/>
  <c r="V167" i="3"/>
  <c r="T167" i="3"/>
  <c r="R167" i="3"/>
  <c r="S167" i="3" s="1"/>
  <c r="O167" i="3"/>
  <c r="Y167" i="3" s="1"/>
  <c r="L167" i="3"/>
  <c r="K167" i="3"/>
  <c r="Y166" i="3"/>
  <c r="V166" i="3"/>
  <c r="T166" i="3"/>
  <c r="R166" i="3"/>
  <c r="S166" i="3" s="1"/>
  <c r="P166" i="3"/>
  <c r="O166" i="3"/>
  <c r="L166" i="3"/>
  <c r="K166" i="3"/>
  <c r="V165" i="3"/>
  <c r="T165" i="3"/>
  <c r="R165" i="3"/>
  <c r="Y165" i="3" s="1"/>
  <c r="P165" i="3"/>
  <c r="O165" i="3"/>
  <c r="L165" i="3"/>
  <c r="K165" i="3"/>
  <c r="V164" i="3"/>
  <c r="T164" i="3"/>
  <c r="R164" i="3"/>
  <c r="S164" i="3" s="1"/>
  <c r="O164" i="3"/>
  <c r="Y164" i="3" s="1"/>
  <c r="L164" i="3"/>
  <c r="K164" i="3"/>
  <c r="Y163" i="3"/>
  <c r="V163" i="3"/>
  <c r="T163" i="3"/>
  <c r="S163" i="3"/>
  <c r="R163" i="3"/>
  <c r="O163" i="3"/>
  <c r="P163" i="3" s="1"/>
  <c r="L163" i="3"/>
  <c r="K163" i="3"/>
  <c r="V162" i="3"/>
  <c r="T162" i="3"/>
  <c r="S162" i="3"/>
  <c r="R162" i="3"/>
  <c r="O162" i="3"/>
  <c r="P162" i="3" s="1"/>
  <c r="L162" i="3"/>
  <c r="K162" i="3"/>
  <c r="V161" i="3"/>
  <c r="T161" i="3"/>
  <c r="R161" i="3"/>
  <c r="S161" i="3" s="1"/>
  <c r="O161" i="3"/>
  <c r="Y161" i="3" s="1"/>
  <c r="L161" i="3"/>
  <c r="K161" i="3"/>
  <c r="V160" i="3"/>
  <c r="T160" i="3"/>
  <c r="R160" i="3"/>
  <c r="S160" i="3" s="1"/>
  <c r="O160" i="3"/>
  <c r="Y160" i="3" s="1"/>
  <c r="L160" i="3"/>
  <c r="K160" i="3"/>
  <c r="V159" i="3"/>
  <c r="T159" i="3"/>
  <c r="R159" i="3"/>
  <c r="S159" i="3" s="1"/>
  <c r="O159" i="3"/>
  <c r="Y159" i="3" s="1"/>
  <c r="L159" i="3"/>
  <c r="K159" i="3"/>
  <c r="V158" i="3"/>
  <c r="T158" i="3"/>
  <c r="R158" i="3"/>
  <c r="S158" i="3" s="1"/>
  <c r="O158" i="3"/>
  <c r="P158" i="3" s="1"/>
  <c r="L158" i="3"/>
  <c r="K158" i="3"/>
  <c r="Y157" i="3"/>
  <c r="V157" i="3"/>
  <c r="T157" i="3"/>
  <c r="S157" i="3"/>
  <c r="R157" i="3"/>
  <c r="O157" i="3"/>
  <c r="P157" i="3" s="1"/>
  <c r="L157" i="3"/>
  <c r="K157" i="3"/>
  <c r="V156" i="3"/>
  <c r="T156" i="3"/>
  <c r="S156" i="3"/>
  <c r="R156" i="3"/>
  <c r="O156" i="3"/>
  <c r="P156" i="3" s="1"/>
  <c r="L156" i="3"/>
  <c r="K156" i="3"/>
  <c r="V155" i="3"/>
  <c r="T155" i="3"/>
  <c r="R155" i="3"/>
  <c r="S155" i="3" s="1"/>
  <c r="O155" i="3"/>
  <c r="P155" i="3" s="1"/>
  <c r="L155" i="3"/>
  <c r="K155" i="3"/>
  <c r="V154" i="3"/>
  <c r="T154" i="3"/>
  <c r="R154" i="3"/>
  <c r="S154" i="3" s="1"/>
  <c r="O154" i="3"/>
  <c r="Y154" i="3" s="1"/>
  <c r="L154" i="3"/>
  <c r="K154" i="3"/>
  <c r="V153" i="3"/>
  <c r="T153" i="3"/>
  <c r="S153" i="3"/>
  <c r="R153" i="3"/>
  <c r="O153" i="3"/>
  <c r="Y153" i="3" s="1"/>
  <c r="L153" i="3"/>
  <c r="K153" i="3"/>
  <c r="V152" i="3"/>
  <c r="T152" i="3"/>
  <c r="R152" i="3"/>
  <c r="S152" i="3" s="1"/>
  <c r="O152" i="3"/>
  <c r="Y152" i="3" s="1"/>
  <c r="L152" i="3"/>
  <c r="K152" i="3"/>
  <c r="V151" i="3"/>
  <c r="T151" i="3"/>
  <c r="S151" i="3"/>
  <c r="R151" i="3"/>
  <c r="O151" i="3"/>
  <c r="Y151" i="3" s="1"/>
  <c r="L151" i="3"/>
  <c r="K151" i="3"/>
  <c r="V150" i="3"/>
  <c r="T150" i="3"/>
  <c r="R150" i="3"/>
  <c r="S150" i="3" s="1"/>
  <c r="O150" i="3"/>
  <c r="Y150" i="3" s="1"/>
  <c r="L150" i="3"/>
  <c r="K150" i="3"/>
  <c r="V149" i="3"/>
  <c r="T149" i="3"/>
  <c r="R149" i="3"/>
  <c r="S149" i="3" s="1"/>
  <c r="O149" i="3"/>
  <c r="Y149" i="3" s="1"/>
  <c r="L149" i="3"/>
  <c r="K149" i="3"/>
  <c r="Y148" i="3"/>
  <c r="V148" i="3"/>
  <c r="T148" i="3"/>
  <c r="S148" i="3"/>
  <c r="R148" i="3"/>
  <c r="P148" i="3"/>
  <c r="O148" i="3"/>
  <c r="L148" i="3"/>
  <c r="K148" i="3"/>
  <c r="V147" i="3"/>
  <c r="T147" i="3"/>
  <c r="S147" i="3"/>
  <c r="R147" i="3"/>
  <c r="O147" i="3"/>
  <c r="Y147" i="3" s="1"/>
  <c r="L147" i="3"/>
  <c r="K147" i="3"/>
  <c r="V146" i="3"/>
  <c r="T146" i="3"/>
  <c r="R146" i="3"/>
  <c r="Y146" i="3" s="1"/>
  <c r="O146" i="3"/>
  <c r="P146" i="3" s="1"/>
  <c r="L146" i="3"/>
  <c r="K146" i="3"/>
  <c r="Y145" i="3"/>
  <c r="V145" i="3"/>
  <c r="T145" i="3"/>
  <c r="R145" i="3"/>
  <c r="S145" i="3" s="1"/>
  <c r="O145" i="3"/>
  <c r="P145" i="3" s="1"/>
  <c r="L145" i="3"/>
  <c r="K145" i="3"/>
  <c r="V144" i="3"/>
  <c r="T144" i="3"/>
  <c r="R144" i="3"/>
  <c r="S144" i="3" s="1"/>
  <c r="O144" i="3"/>
  <c r="Y144" i="3" s="1"/>
  <c r="L144" i="3"/>
  <c r="K144" i="3"/>
  <c r="V143" i="3"/>
  <c r="T143" i="3"/>
  <c r="R143" i="3"/>
  <c r="S143" i="3" s="1"/>
  <c r="P143" i="3"/>
  <c r="O143" i="3"/>
  <c r="Y143" i="3" s="1"/>
  <c r="L143" i="3"/>
  <c r="K143" i="3"/>
  <c r="V142" i="3"/>
  <c r="T142" i="3"/>
  <c r="S142" i="3"/>
  <c r="R142" i="3"/>
  <c r="O142" i="3"/>
  <c r="Y142" i="3" s="1"/>
  <c r="L142" i="3"/>
  <c r="K142" i="3"/>
  <c r="V141" i="3"/>
  <c r="T141" i="3"/>
  <c r="R141" i="3"/>
  <c r="S141" i="3" s="1"/>
  <c r="O141" i="3"/>
  <c r="P141" i="3" s="1"/>
  <c r="L141" i="3"/>
  <c r="K141" i="3"/>
  <c r="V140" i="3"/>
  <c r="T140" i="3"/>
  <c r="R140" i="3"/>
  <c r="S140" i="3" s="1"/>
  <c r="O140" i="3"/>
  <c r="P140" i="3" s="1"/>
  <c r="L140" i="3"/>
  <c r="K140" i="3"/>
  <c r="Y139" i="3"/>
  <c r="V139" i="3"/>
  <c r="T139" i="3"/>
  <c r="S139" i="3"/>
  <c r="R139" i="3"/>
  <c r="P139" i="3"/>
  <c r="O139" i="3"/>
  <c r="L139" i="3"/>
  <c r="K139" i="3"/>
  <c r="V138" i="3"/>
  <c r="T138" i="3"/>
  <c r="R138" i="3"/>
  <c r="S138" i="3" s="1"/>
  <c r="O138" i="3"/>
  <c r="P138" i="3" s="1"/>
  <c r="L138" i="3"/>
  <c r="K138" i="3"/>
  <c r="V137" i="3"/>
  <c r="T137" i="3"/>
  <c r="R137" i="3"/>
  <c r="S137" i="3" s="1"/>
  <c r="P137" i="3"/>
  <c r="O137" i="3"/>
  <c r="Y137" i="3" s="1"/>
  <c r="L137" i="3"/>
  <c r="K137" i="3"/>
  <c r="V136" i="3"/>
  <c r="T136" i="3"/>
  <c r="S136" i="3"/>
  <c r="R136" i="3"/>
  <c r="O136" i="3"/>
  <c r="Y136" i="3" s="1"/>
  <c r="L136" i="3"/>
  <c r="K136" i="3"/>
  <c r="V135" i="3"/>
  <c r="T135" i="3"/>
  <c r="R135" i="3"/>
  <c r="S135" i="3" s="1"/>
  <c r="O135" i="3"/>
  <c r="Y135" i="3" s="1"/>
  <c r="L135" i="3"/>
  <c r="K135" i="3"/>
  <c r="Y134" i="3"/>
  <c r="V134" i="3"/>
  <c r="T134" i="3"/>
  <c r="R134" i="3"/>
  <c r="S134" i="3" s="1"/>
  <c r="P134" i="3"/>
  <c r="O134" i="3"/>
  <c r="L134" i="3"/>
  <c r="K134" i="3"/>
  <c r="Y133" i="3"/>
  <c r="V133" i="3"/>
  <c r="T133" i="3"/>
  <c r="R133" i="3"/>
  <c r="S133" i="3" s="1"/>
  <c r="P133" i="3"/>
  <c r="O133" i="3"/>
  <c r="L133" i="3"/>
  <c r="K133" i="3"/>
  <c r="V132" i="3"/>
  <c r="T132" i="3"/>
  <c r="R132" i="3"/>
  <c r="S132" i="3" s="1"/>
  <c r="O132" i="3"/>
  <c r="Y132" i="3" s="1"/>
  <c r="L132" i="3"/>
  <c r="K132" i="3"/>
  <c r="V131" i="3"/>
  <c r="T131" i="3"/>
  <c r="S131" i="3"/>
  <c r="R131" i="3"/>
  <c r="O131" i="3"/>
  <c r="P131" i="3" s="1"/>
  <c r="L131" i="3"/>
  <c r="K131" i="3"/>
  <c r="V130" i="3"/>
  <c r="T130" i="3"/>
  <c r="S130" i="3"/>
  <c r="R130" i="3"/>
  <c r="O130" i="3"/>
  <c r="P130" i="3" s="1"/>
  <c r="L130" i="3"/>
  <c r="K130" i="3"/>
  <c r="V129" i="3"/>
  <c r="T129" i="3"/>
  <c r="R129" i="3"/>
  <c r="S129" i="3" s="1"/>
  <c r="O129" i="3"/>
  <c r="Y129" i="3" s="1"/>
  <c r="L129" i="3"/>
  <c r="K129" i="3"/>
  <c r="Y128" i="3"/>
  <c r="V128" i="3"/>
  <c r="T128" i="3"/>
  <c r="R128" i="3"/>
  <c r="S128" i="3" s="1"/>
  <c r="P128" i="3"/>
  <c r="O128" i="3"/>
  <c r="L128" i="3"/>
  <c r="K128" i="3"/>
  <c r="V127" i="3"/>
  <c r="T127" i="3"/>
  <c r="R127" i="3"/>
  <c r="S127" i="3" s="1"/>
  <c r="O127" i="3"/>
  <c r="Y127" i="3" s="1"/>
  <c r="L127" i="3"/>
  <c r="K127" i="3"/>
  <c r="V126" i="3"/>
  <c r="T126" i="3"/>
  <c r="R126" i="3"/>
  <c r="S126" i="3" s="1"/>
  <c r="O126" i="3"/>
  <c r="Y126" i="3" s="1"/>
  <c r="L126" i="3"/>
  <c r="K126" i="3"/>
  <c r="Y125" i="3"/>
  <c r="V125" i="3"/>
  <c r="T125" i="3"/>
  <c r="S125" i="3"/>
  <c r="R125" i="3"/>
  <c r="P125" i="3"/>
  <c r="O125" i="3"/>
  <c r="L125" i="3"/>
  <c r="K125" i="3"/>
  <c r="V124" i="3"/>
  <c r="T124" i="3"/>
  <c r="S124" i="3"/>
  <c r="R124" i="3"/>
  <c r="O124" i="3"/>
  <c r="P124" i="3" s="1"/>
  <c r="L124" i="3"/>
  <c r="K124" i="3"/>
  <c r="Y123" i="3"/>
  <c r="V123" i="3"/>
  <c r="T123" i="3"/>
  <c r="R123" i="3"/>
  <c r="S123" i="3" s="1"/>
  <c r="O123" i="3"/>
  <c r="P123" i="3" s="1"/>
  <c r="L123" i="3"/>
  <c r="K123" i="3"/>
  <c r="V122" i="3"/>
  <c r="T122" i="3"/>
  <c r="R122" i="3"/>
  <c r="S122" i="3" s="1"/>
  <c r="O122" i="3"/>
  <c r="Y122" i="3" s="1"/>
  <c r="L122" i="3"/>
  <c r="K122" i="3"/>
  <c r="V121" i="3"/>
  <c r="T121" i="3"/>
  <c r="S121" i="3"/>
  <c r="R121" i="3"/>
  <c r="O121" i="3"/>
  <c r="Y121" i="3" s="1"/>
  <c r="L121" i="3"/>
  <c r="K121" i="3"/>
  <c r="V120" i="3"/>
  <c r="T120" i="3"/>
  <c r="R120" i="3"/>
  <c r="S120" i="3" s="1"/>
  <c r="O120" i="3"/>
  <c r="Y120" i="3" s="1"/>
  <c r="L120" i="3"/>
  <c r="K120" i="3"/>
  <c r="V119" i="3"/>
  <c r="T119" i="3"/>
  <c r="S119" i="3"/>
  <c r="R119" i="3"/>
  <c r="O119" i="3"/>
  <c r="Y119" i="3" s="1"/>
  <c r="L119" i="3"/>
  <c r="K119" i="3"/>
  <c r="V118" i="3"/>
  <c r="T118" i="3"/>
  <c r="R118" i="3"/>
  <c r="S118" i="3" s="1"/>
  <c r="O118" i="3"/>
  <c r="Y118" i="3" s="1"/>
  <c r="L118" i="3"/>
  <c r="K118" i="3"/>
  <c r="Y117" i="3"/>
  <c r="V117" i="3"/>
  <c r="T117" i="3"/>
  <c r="R117" i="3"/>
  <c r="S117" i="3" s="1"/>
  <c r="O117" i="3"/>
  <c r="P117" i="3" s="1"/>
  <c r="L117" i="3"/>
  <c r="K117" i="3"/>
  <c r="Y116" i="3"/>
  <c r="V116" i="3"/>
  <c r="T116" i="3"/>
  <c r="S116" i="3"/>
  <c r="R116" i="3"/>
  <c r="P116" i="3"/>
  <c r="O116" i="3"/>
  <c r="L116" i="3"/>
  <c r="K116" i="3"/>
  <c r="V115" i="3"/>
  <c r="T115" i="3"/>
  <c r="S115" i="3"/>
  <c r="R115" i="3"/>
  <c r="O115" i="3"/>
  <c r="Y115" i="3" s="1"/>
  <c r="L115" i="3"/>
  <c r="K115" i="3"/>
  <c r="V114" i="3"/>
  <c r="T114" i="3"/>
  <c r="R114" i="3"/>
  <c r="Y114" i="3" s="1"/>
  <c r="O114" i="3"/>
  <c r="P114" i="3" s="1"/>
  <c r="L114" i="3"/>
  <c r="K114" i="3"/>
  <c r="Y113" i="3"/>
  <c r="V113" i="3"/>
  <c r="T113" i="3"/>
  <c r="R113" i="3"/>
  <c r="S113" i="3" s="1"/>
  <c r="O113" i="3"/>
  <c r="P113" i="3" s="1"/>
  <c r="L113" i="3"/>
  <c r="K113" i="3"/>
  <c r="V112" i="3"/>
  <c r="T112" i="3"/>
  <c r="R112" i="3"/>
  <c r="S112" i="3" s="1"/>
  <c r="O112" i="3"/>
  <c r="Y112" i="3" s="1"/>
  <c r="L112" i="3"/>
  <c r="K112" i="3"/>
  <c r="V111" i="3"/>
  <c r="T111" i="3"/>
  <c r="R111" i="3"/>
  <c r="S111" i="3" s="1"/>
  <c r="P111" i="3"/>
  <c r="O111" i="3"/>
  <c r="Y111" i="3" s="1"/>
  <c r="L111" i="3"/>
  <c r="K111" i="3"/>
  <c r="Y110" i="3"/>
  <c r="V110" i="3"/>
  <c r="T110" i="3"/>
  <c r="S110" i="3"/>
  <c r="R110" i="3"/>
  <c r="P110" i="3"/>
  <c r="O110" i="3"/>
  <c r="L110" i="3"/>
  <c r="K110" i="3"/>
  <c r="V109" i="3"/>
  <c r="T109" i="3"/>
  <c r="R109" i="3"/>
  <c r="S109" i="3" s="1"/>
  <c r="O109" i="3"/>
  <c r="P109" i="3" s="1"/>
  <c r="L109" i="3"/>
  <c r="K109" i="3"/>
  <c r="V108" i="3"/>
  <c r="T108" i="3"/>
  <c r="R108" i="3"/>
  <c r="S108" i="3" s="1"/>
  <c r="O108" i="3"/>
  <c r="P108" i="3" s="1"/>
  <c r="L108" i="3"/>
  <c r="K108" i="3"/>
  <c r="V107" i="3"/>
  <c r="T107" i="3"/>
  <c r="S107" i="3"/>
  <c r="R107" i="3"/>
  <c r="O107" i="3"/>
  <c r="Y107" i="3" s="1"/>
  <c r="L107" i="3"/>
  <c r="K107" i="3"/>
  <c r="V106" i="3"/>
  <c r="T106" i="3"/>
  <c r="R106" i="3"/>
  <c r="S106" i="3" s="1"/>
  <c r="O106" i="3"/>
  <c r="P106" i="3" s="1"/>
  <c r="L106" i="3"/>
  <c r="K106" i="3"/>
  <c r="Y105" i="3"/>
  <c r="V105" i="3"/>
  <c r="T105" i="3"/>
  <c r="R105" i="3"/>
  <c r="S105" i="3" s="1"/>
  <c r="P105" i="3"/>
  <c r="O105" i="3"/>
  <c r="L105" i="3"/>
  <c r="K105" i="3"/>
  <c r="V104" i="3"/>
  <c r="T104" i="3"/>
  <c r="S104" i="3"/>
  <c r="R104" i="3"/>
  <c r="O104" i="3"/>
  <c r="Y104" i="3" s="1"/>
  <c r="L104" i="3"/>
  <c r="K104" i="3"/>
  <c r="V103" i="3"/>
  <c r="T103" i="3"/>
  <c r="R103" i="3"/>
  <c r="S103" i="3" s="1"/>
  <c r="O103" i="3"/>
  <c r="Y103" i="3" s="1"/>
  <c r="L103" i="3"/>
  <c r="K103" i="3"/>
  <c r="V102" i="3"/>
  <c r="T102" i="3"/>
  <c r="R102" i="3"/>
  <c r="Y102" i="3" s="1"/>
  <c r="P102" i="3"/>
  <c r="O102" i="3"/>
  <c r="L102" i="3"/>
  <c r="K102" i="3"/>
  <c r="V101" i="3"/>
  <c r="T101" i="3"/>
  <c r="R101" i="3"/>
  <c r="Y101" i="3" s="1"/>
  <c r="P101" i="3"/>
  <c r="O101" i="3"/>
  <c r="L101" i="3"/>
  <c r="K101" i="3"/>
  <c r="V100" i="3"/>
  <c r="T100" i="3"/>
  <c r="R100" i="3"/>
  <c r="S100" i="3" s="1"/>
  <c r="O100" i="3"/>
  <c r="Y100" i="3" s="1"/>
  <c r="L100" i="3"/>
  <c r="K100" i="3"/>
  <c r="Y99" i="3"/>
  <c r="V99" i="3"/>
  <c r="T99" i="3"/>
  <c r="S99" i="3"/>
  <c r="R99" i="3"/>
  <c r="O99" i="3"/>
  <c r="P99" i="3" s="1"/>
  <c r="L99" i="3"/>
  <c r="K99" i="3"/>
  <c r="Y98" i="3"/>
  <c r="V98" i="3"/>
  <c r="T98" i="3"/>
  <c r="S98" i="3"/>
  <c r="R98" i="3"/>
  <c r="O98" i="3"/>
  <c r="P98" i="3" s="1"/>
  <c r="L98" i="3"/>
  <c r="K98" i="3"/>
  <c r="V97" i="3"/>
  <c r="T97" i="3"/>
  <c r="R97" i="3"/>
  <c r="S97" i="3" s="1"/>
  <c r="O97" i="3"/>
  <c r="Y97" i="3" s="1"/>
  <c r="L97" i="3"/>
  <c r="K97" i="3"/>
  <c r="Y96" i="3"/>
  <c r="V96" i="3"/>
  <c r="T96" i="3"/>
  <c r="R96" i="3"/>
  <c r="S96" i="3" s="1"/>
  <c r="O96" i="3"/>
  <c r="P96" i="3" s="1"/>
  <c r="L96" i="3"/>
  <c r="K96" i="3"/>
  <c r="V95" i="3"/>
  <c r="T95" i="3"/>
  <c r="R95" i="3"/>
  <c r="S95" i="3" s="1"/>
  <c r="O95" i="3"/>
  <c r="P95" i="3" s="1"/>
  <c r="L95" i="3"/>
  <c r="K95" i="3"/>
  <c r="V94" i="3"/>
  <c r="T94" i="3"/>
  <c r="R94" i="3"/>
  <c r="S94" i="3" s="1"/>
  <c r="O94" i="3"/>
  <c r="P94" i="3" s="1"/>
  <c r="L94" i="3"/>
  <c r="K94" i="3"/>
  <c r="Y93" i="3"/>
  <c r="V93" i="3"/>
  <c r="T93" i="3"/>
  <c r="S93" i="3"/>
  <c r="R93" i="3"/>
  <c r="P93" i="3"/>
  <c r="O93" i="3"/>
  <c r="L93" i="3"/>
  <c r="K93" i="3"/>
  <c r="Y92" i="3"/>
  <c r="V92" i="3"/>
  <c r="T92" i="3"/>
  <c r="S92" i="3"/>
  <c r="R92" i="3"/>
  <c r="O92" i="3"/>
  <c r="P92" i="3" s="1"/>
  <c r="L92" i="3"/>
  <c r="K92" i="3"/>
  <c r="Y91" i="3"/>
  <c r="V91" i="3"/>
  <c r="T91" i="3"/>
  <c r="R91" i="3"/>
  <c r="S91" i="3" s="1"/>
  <c r="O91" i="3"/>
  <c r="P91" i="3" s="1"/>
  <c r="L91" i="3"/>
  <c r="K91" i="3"/>
  <c r="Y90" i="3"/>
  <c r="V90" i="3"/>
  <c r="T90" i="3"/>
  <c r="R90" i="3"/>
  <c r="S90" i="3" s="1"/>
  <c r="P90" i="3"/>
  <c r="O90" i="3"/>
  <c r="L90" i="3"/>
  <c r="K90" i="3"/>
  <c r="V89" i="3"/>
  <c r="T89" i="3"/>
  <c r="S89" i="3"/>
  <c r="R89" i="3"/>
  <c r="O89" i="3"/>
  <c r="Y89" i="3" s="1"/>
  <c r="L89" i="3"/>
  <c r="K89" i="3"/>
  <c r="V88" i="3"/>
  <c r="T88" i="3"/>
  <c r="R88" i="3"/>
  <c r="S88" i="3" s="1"/>
  <c r="O88" i="3"/>
  <c r="Y88" i="3" s="1"/>
  <c r="L88" i="3"/>
  <c r="K88" i="3"/>
  <c r="V87" i="3"/>
  <c r="T87" i="3"/>
  <c r="S87" i="3"/>
  <c r="R87" i="3"/>
  <c r="O87" i="3"/>
  <c r="Y87" i="3" s="1"/>
  <c r="L87" i="3"/>
  <c r="K87" i="3"/>
  <c r="V86" i="3"/>
  <c r="T86" i="3"/>
  <c r="R86" i="3"/>
  <c r="S86" i="3" s="1"/>
  <c r="O86" i="3"/>
  <c r="Y86" i="3" s="1"/>
  <c r="L86" i="3"/>
  <c r="K86" i="3"/>
  <c r="V85" i="3"/>
  <c r="T85" i="3"/>
  <c r="R85" i="3"/>
  <c r="Y85" i="3" s="1"/>
  <c r="P85" i="3"/>
  <c r="O85" i="3"/>
  <c r="L85" i="3"/>
  <c r="K85" i="3"/>
  <c r="Y84" i="3"/>
  <c r="V84" i="3"/>
  <c r="T84" i="3"/>
  <c r="S84" i="3"/>
  <c r="R84" i="3"/>
  <c r="P84" i="3"/>
  <c r="O84" i="3"/>
  <c r="L84" i="3"/>
  <c r="K84" i="3"/>
  <c r="V83" i="3"/>
  <c r="T83" i="3"/>
  <c r="S83" i="3"/>
  <c r="R83" i="3"/>
  <c r="O83" i="3"/>
  <c r="Y83" i="3" s="1"/>
  <c r="L83" i="3"/>
  <c r="K83" i="3"/>
  <c r="V82" i="3"/>
  <c r="T82" i="3"/>
  <c r="R82" i="3"/>
  <c r="Y82" i="3" s="1"/>
  <c r="O82" i="3"/>
  <c r="P82" i="3" s="1"/>
  <c r="L82" i="3"/>
  <c r="K82" i="3"/>
  <c r="Y81" i="3"/>
  <c r="V81" i="3"/>
  <c r="T81" i="3"/>
  <c r="R81" i="3"/>
  <c r="S81" i="3" s="1"/>
  <c r="O81" i="3"/>
  <c r="P81" i="3" s="1"/>
  <c r="L81" i="3"/>
  <c r="K81" i="3"/>
  <c r="V80" i="3"/>
  <c r="T80" i="3"/>
  <c r="R80" i="3"/>
  <c r="S80" i="3" s="1"/>
  <c r="O80" i="3"/>
  <c r="Y80" i="3" s="1"/>
  <c r="L80" i="3"/>
  <c r="K80" i="3"/>
  <c r="V79" i="3"/>
  <c r="T79" i="3"/>
  <c r="R79" i="3"/>
  <c r="S79" i="3" s="1"/>
  <c r="O79" i="3"/>
  <c r="Y79" i="3" s="1"/>
  <c r="L79" i="3"/>
  <c r="K79" i="3"/>
  <c r="Y78" i="3"/>
  <c r="V78" i="3"/>
  <c r="T78" i="3"/>
  <c r="S78" i="3"/>
  <c r="R78" i="3"/>
  <c r="P78" i="3"/>
  <c r="O78" i="3"/>
  <c r="L78" i="3"/>
  <c r="K78" i="3"/>
  <c r="Y77" i="3"/>
  <c r="V77" i="3"/>
  <c r="T77" i="3"/>
  <c r="R77" i="3"/>
  <c r="S77" i="3" s="1"/>
  <c r="O77" i="3"/>
  <c r="P77" i="3" s="1"/>
  <c r="L77" i="3"/>
  <c r="K77" i="3"/>
  <c r="Y76" i="3"/>
  <c r="V76" i="3"/>
  <c r="T76" i="3"/>
  <c r="S76" i="3"/>
  <c r="R76" i="3"/>
  <c r="P76" i="3"/>
  <c r="O76" i="3"/>
  <c r="L76" i="3"/>
  <c r="K76" i="3"/>
  <c r="Y75" i="3"/>
  <c r="V75" i="3"/>
  <c r="T75" i="3"/>
  <c r="S75" i="3"/>
  <c r="R75" i="3"/>
  <c r="P75" i="3"/>
  <c r="O75" i="3"/>
  <c r="L75" i="3"/>
  <c r="K75" i="3"/>
  <c r="Y74" i="3"/>
  <c r="V74" i="3"/>
  <c r="T74" i="3"/>
  <c r="S74" i="3"/>
  <c r="R74" i="3"/>
  <c r="P74" i="3"/>
  <c r="O74" i="3"/>
  <c r="L74" i="3"/>
  <c r="K74" i="3"/>
  <c r="Y73" i="3"/>
  <c r="V73" i="3"/>
  <c r="T73" i="3"/>
  <c r="S73" i="3"/>
  <c r="R73" i="3"/>
  <c r="P73" i="3"/>
  <c r="O73" i="3"/>
  <c r="L73" i="3"/>
  <c r="K73" i="3"/>
  <c r="Y72" i="3"/>
  <c r="V72" i="3"/>
  <c r="T72" i="3"/>
  <c r="S72" i="3"/>
  <c r="R72" i="3"/>
  <c r="P72" i="3"/>
  <c r="O72" i="3"/>
  <c r="L72" i="3"/>
  <c r="K72" i="3"/>
  <c r="V71" i="3"/>
  <c r="T71" i="3"/>
  <c r="R71" i="3"/>
  <c r="S71" i="3" s="1"/>
  <c r="O71" i="3"/>
  <c r="Y71" i="3" s="1"/>
  <c r="L71" i="3"/>
  <c r="K71" i="3"/>
  <c r="V70" i="3"/>
  <c r="T70" i="3"/>
  <c r="R70" i="3"/>
  <c r="S70" i="3" s="1"/>
  <c r="P70" i="3"/>
  <c r="O70" i="3"/>
  <c r="L70" i="3"/>
  <c r="K70" i="3"/>
  <c r="V69" i="3"/>
  <c r="T69" i="3"/>
  <c r="R69" i="3"/>
  <c r="Y69" i="3" s="1"/>
  <c r="P69" i="3"/>
  <c r="O69" i="3"/>
  <c r="L69" i="3"/>
  <c r="K69" i="3"/>
  <c r="V68" i="3"/>
  <c r="T68" i="3"/>
  <c r="R68" i="3"/>
  <c r="S68" i="3" s="1"/>
  <c r="O68" i="3"/>
  <c r="Y68" i="3" s="1"/>
  <c r="L68" i="3"/>
  <c r="K68" i="3"/>
  <c r="Y67" i="3"/>
  <c r="V67" i="3"/>
  <c r="T67" i="3"/>
  <c r="S67" i="3"/>
  <c r="R67" i="3"/>
  <c r="O67" i="3"/>
  <c r="P67" i="3" s="1"/>
  <c r="L67" i="3"/>
  <c r="K67" i="3"/>
  <c r="Y66" i="3"/>
  <c r="V66" i="3"/>
  <c r="T66" i="3"/>
  <c r="S66" i="3"/>
  <c r="R66" i="3"/>
  <c r="O66" i="3"/>
  <c r="P66" i="3" s="1"/>
  <c r="L66" i="3"/>
  <c r="K66" i="3"/>
  <c r="V65" i="3"/>
  <c r="T65" i="3"/>
  <c r="R65" i="3"/>
  <c r="S65" i="3" s="1"/>
  <c r="O65" i="3"/>
  <c r="Y65" i="3" s="1"/>
  <c r="L65" i="3"/>
  <c r="K65" i="3"/>
  <c r="Y64" i="3"/>
  <c r="V64" i="3"/>
  <c r="T64" i="3"/>
  <c r="R64" i="3"/>
  <c r="S64" i="3" s="1"/>
  <c r="P64" i="3"/>
  <c r="O64" i="3"/>
  <c r="L64" i="3"/>
  <c r="K64" i="3"/>
  <c r="V63" i="3"/>
  <c r="T63" i="3"/>
  <c r="R63" i="3"/>
  <c r="S63" i="3" s="1"/>
  <c r="O63" i="3"/>
  <c r="Y63" i="3" s="1"/>
  <c r="L63" i="3"/>
  <c r="K63" i="3"/>
  <c r="V62" i="3"/>
  <c r="T62" i="3"/>
  <c r="R62" i="3"/>
  <c r="S62" i="3" s="1"/>
  <c r="O62" i="3"/>
  <c r="P62" i="3" s="1"/>
  <c r="L62" i="3"/>
  <c r="K62" i="3"/>
  <c r="Y61" i="3"/>
  <c r="V61" i="3"/>
  <c r="T61" i="3"/>
  <c r="S61" i="3"/>
  <c r="R61" i="3"/>
  <c r="P61" i="3"/>
  <c r="O61" i="3"/>
  <c r="L61" i="3"/>
  <c r="K61" i="3"/>
  <c r="Y60" i="3"/>
  <c r="V60" i="3"/>
  <c r="T60" i="3"/>
  <c r="S60" i="3"/>
  <c r="R60" i="3"/>
  <c r="O60" i="3"/>
  <c r="P60" i="3" s="1"/>
  <c r="L60" i="3"/>
  <c r="K60" i="3"/>
  <c r="Y59" i="3"/>
  <c r="V59" i="3"/>
  <c r="T59" i="3"/>
  <c r="R59" i="3"/>
  <c r="S59" i="3" s="1"/>
  <c r="O59" i="3"/>
  <c r="P59" i="3" s="1"/>
  <c r="L59" i="3"/>
  <c r="K59" i="3"/>
  <c r="Y58" i="3"/>
  <c r="V58" i="3"/>
  <c r="T58" i="3"/>
  <c r="R58" i="3"/>
  <c r="S58" i="3" s="1"/>
  <c r="P58" i="3"/>
  <c r="O58" i="3"/>
  <c r="L58" i="3"/>
  <c r="K58" i="3"/>
  <c r="V57" i="3"/>
  <c r="T57" i="3"/>
  <c r="S57" i="3"/>
  <c r="R57" i="3"/>
  <c r="O57" i="3"/>
  <c r="Y57" i="3" s="1"/>
  <c r="L57" i="3"/>
  <c r="K57" i="3"/>
  <c r="V56" i="3"/>
  <c r="T56" i="3"/>
  <c r="R56" i="3"/>
  <c r="S56" i="3" s="1"/>
  <c r="O56" i="3"/>
  <c r="Y56" i="3" s="1"/>
  <c r="L56" i="3"/>
  <c r="K56" i="3"/>
  <c r="V55" i="3"/>
  <c r="T55" i="3"/>
  <c r="S55" i="3"/>
  <c r="R55" i="3"/>
  <c r="O55" i="3"/>
  <c r="Y55" i="3" s="1"/>
  <c r="L55" i="3"/>
  <c r="K55" i="3"/>
  <c r="V54" i="3"/>
  <c r="T54" i="3"/>
  <c r="R54" i="3"/>
  <c r="S54" i="3" s="1"/>
  <c r="O54" i="3"/>
  <c r="Y54" i="3" s="1"/>
  <c r="L54" i="3"/>
  <c r="K54" i="3"/>
  <c r="V53" i="3"/>
  <c r="T53" i="3"/>
  <c r="R53" i="3"/>
  <c r="Y53" i="3" s="1"/>
  <c r="P53" i="3"/>
  <c r="O53" i="3"/>
  <c r="L53" i="3"/>
  <c r="K53" i="3"/>
  <c r="Y52" i="3"/>
  <c r="V52" i="3"/>
  <c r="T52" i="3"/>
  <c r="S52" i="3"/>
  <c r="R52" i="3"/>
  <c r="P52" i="3"/>
  <c r="O52" i="3"/>
  <c r="L52" i="3"/>
  <c r="K52" i="3"/>
  <c r="V51" i="3"/>
  <c r="T51" i="3"/>
  <c r="S51" i="3"/>
  <c r="R51" i="3"/>
  <c r="O51" i="3"/>
  <c r="Y51" i="3" s="1"/>
  <c r="L51" i="3"/>
  <c r="K51" i="3"/>
  <c r="V50" i="3"/>
  <c r="T50" i="3"/>
  <c r="R50" i="3"/>
  <c r="Y50" i="3" s="1"/>
  <c r="O50" i="3"/>
  <c r="P50" i="3" s="1"/>
  <c r="L50" i="3"/>
  <c r="K50" i="3"/>
  <c r="Y49" i="3"/>
  <c r="V49" i="3"/>
  <c r="T49" i="3"/>
  <c r="R49" i="3"/>
  <c r="S49" i="3" s="1"/>
  <c r="O49" i="3"/>
  <c r="P49" i="3" s="1"/>
  <c r="L49" i="3"/>
  <c r="K49" i="3"/>
  <c r="V48" i="3"/>
  <c r="T48" i="3"/>
  <c r="R48" i="3"/>
  <c r="S48" i="3" s="1"/>
  <c r="O48" i="3"/>
  <c r="Y48" i="3" s="1"/>
  <c r="L48" i="3"/>
  <c r="K48" i="3"/>
  <c r="V47" i="3"/>
  <c r="T47" i="3"/>
  <c r="R47" i="3"/>
  <c r="Y47" i="3" s="1"/>
  <c r="P47" i="3"/>
  <c r="O47" i="3"/>
  <c r="L47" i="3"/>
  <c r="K47" i="3"/>
  <c r="Y46" i="3"/>
  <c r="V46" i="3"/>
  <c r="T46" i="3"/>
  <c r="S46" i="3"/>
  <c r="R46" i="3"/>
  <c r="P46" i="3"/>
  <c r="O46" i="3"/>
  <c r="L46" i="3"/>
  <c r="K46" i="3"/>
  <c r="V45" i="3"/>
  <c r="T45" i="3"/>
  <c r="R45" i="3"/>
  <c r="S45" i="3" s="1"/>
  <c r="O45" i="3"/>
  <c r="P45" i="3" s="1"/>
  <c r="L45" i="3"/>
  <c r="K45" i="3"/>
  <c r="V44" i="3"/>
  <c r="T44" i="3"/>
  <c r="R44" i="3"/>
  <c r="Y44" i="3" s="1"/>
  <c r="O44" i="3"/>
  <c r="P44" i="3" s="1"/>
  <c r="L44" i="3"/>
  <c r="K44" i="3"/>
  <c r="Y43" i="3"/>
  <c r="V43" i="3"/>
  <c r="T43" i="3"/>
  <c r="S43" i="3"/>
  <c r="R43" i="3"/>
  <c r="P43" i="3"/>
  <c r="O43" i="3"/>
  <c r="L43" i="3"/>
  <c r="K43" i="3"/>
  <c r="V42" i="3"/>
  <c r="T42" i="3"/>
  <c r="R42" i="3"/>
  <c r="S42" i="3" s="1"/>
  <c r="O42" i="3"/>
  <c r="P42" i="3" s="1"/>
  <c r="L42" i="3"/>
  <c r="K42" i="3"/>
  <c r="Y41" i="3"/>
  <c r="V41" i="3"/>
  <c r="T41" i="3"/>
  <c r="R41" i="3"/>
  <c r="S41" i="3" s="1"/>
  <c r="P41" i="3"/>
  <c r="O41" i="3"/>
  <c r="L41" i="3"/>
  <c r="K41" i="3"/>
  <c r="V40" i="3"/>
  <c r="T40" i="3"/>
  <c r="S40" i="3"/>
  <c r="R40" i="3"/>
  <c r="O40" i="3"/>
  <c r="Y40" i="3" s="1"/>
  <c r="L40" i="3"/>
  <c r="K40" i="3"/>
  <c r="V39" i="3"/>
  <c r="T39" i="3"/>
  <c r="R39" i="3"/>
  <c r="S39" i="3" s="1"/>
  <c r="O39" i="3"/>
  <c r="Y39" i="3" s="1"/>
  <c r="L39" i="3"/>
  <c r="K39" i="3"/>
  <c r="Y38" i="3"/>
  <c r="V38" i="3"/>
  <c r="T38" i="3"/>
  <c r="R38" i="3"/>
  <c r="S38" i="3" s="1"/>
  <c r="P38" i="3"/>
  <c r="O38" i="3"/>
  <c r="L38" i="3"/>
  <c r="K38" i="3"/>
  <c r="Y37" i="3"/>
  <c r="V37" i="3"/>
  <c r="T37" i="3"/>
  <c r="R37" i="3"/>
  <c r="S37" i="3" s="1"/>
  <c r="P37" i="3"/>
  <c r="O37" i="3"/>
  <c r="L37" i="3"/>
  <c r="K37" i="3"/>
  <c r="V36" i="3"/>
  <c r="T36" i="3"/>
  <c r="R36" i="3"/>
  <c r="S36" i="3" s="1"/>
  <c r="O36" i="3"/>
  <c r="Y36" i="3" s="1"/>
  <c r="L36" i="3"/>
  <c r="K36" i="3"/>
  <c r="Y35" i="3"/>
  <c r="V35" i="3"/>
  <c r="T35" i="3"/>
  <c r="S35" i="3"/>
  <c r="R35" i="3"/>
  <c r="O35" i="3"/>
  <c r="P35" i="3" s="1"/>
  <c r="L35" i="3"/>
  <c r="K35" i="3"/>
  <c r="Y34" i="3"/>
  <c r="V34" i="3"/>
  <c r="T34" i="3"/>
  <c r="S34" i="3"/>
  <c r="R34" i="3"/>
  <c r="O34" i="3"/>
  <c r="P34" i="3" s="1"/>
  <c r="L34" i="3"/>
  <c r="K34" i="3"/>
  <c r="V33" i="3"/>
  <c r="T33" i="3"/>
  <c r="R33" i="3"/>
  <c r="S33" i="3" s="1"/>
  <c r="O33" i="3"/>
  <c r="Y33" i="3" s="1"/>
  <c r="L33" i="3"/>
  <c r="K33" i="3"/>
  <c r="Y32" i="3"/>
  <c r="V32" i="3"/>
  <c r="T32" i="3"/>
  <c r="R32" i="3"/>
  <c r="S32" i="3" s="1"/>
  <c r="P32" i="3"/>
  <c r="O32" i="3"/>
  <c r="L32" i="3"/>
  <c r="K32" i="3"/>
  <c r="V31" i="3"/>
  <c r="T31" i="3"/>
  <c r="R31" i="3"/>
  <c r="S31" i="3" s="1"/>
  <c r="O31" i="3"/>
  <c r="P31" i="3" s="1"/>
  <c r="L31" i="3"/>
  <c r="K31" i="3"/>
  <c r="V30" i="3"/>
  <c r="T30" i="3"/>
  <c r="R30" i="3"/>
  <c r="S30" i="3" s="1"/>
  <c r="O30" i="3"/>
  <c r="P30" i="3" s="1"/>
  <c r="L30" i="3"/>
  <c r="K30" i="3"/>
  <c r="Y29" i="3"/>
  <c r="V29" i="3"/>
  <c r="T29" i="3"/>
  <c r="S29" i="3"/>
  <c r="R29" i="3"/>
  <c r="P29" i="3"/>
  <c r="O29" i="3"/>
  <c r="L29" i="3"/>
  <c r="K29" i="3"/>
  <c r="Y28" i="3"/>
  <c r="V28" i="3"/>
  <c r="T28" i="3"/>
  <c r="S28" i="3"/>
  <c r="R28" i="3"/>
  <c r="O28" i="3"/>
  <c r="P28" i="3" s="1"/>
  <c r="L28" i="3"/>
  <c r="K28" i="3"/>
  <c r="Y27" i="3"/>
  <c r="V27" i="3"/>
  <c r="T27" i="3"/>
  <c r="R27" i="3"/>
  <c r="S27" i="3" s="1"/>
  <c r="O27" i="3"/>
  <c r="P27" i="3" s="1"/>
  <c r="L27" i="3"/>
  <c r="K27" i="3"/>
  <c r="Y26" i="3"/>
  <c r="V26" i="3"/>
  <c r="T26" i="3"/>
  <c r="R26" i="3"/>
  <c r="S26" i="3" s="1"/>
  <c r="P26" i="3"/>
  <c r="O26" i="3"/>
  <c r="L26" i="3"/>
  <c r="K26" i="3"/>
  <c r="V25" i="3"/>
  <c r="T25" i="3"/>
  <c r="S25" i="3"/>
  <c r="R25" i="3"/>
  <c r="O25" i="3"/>
  <c r="Y25" i="3" s="1"/>
  <c r="L25" i="3"/>
  <c r="K25" i="3"/>
  <c r="V24" i="3"/>
  <c r="T24" i="3"/>
  <c r="R24" i="3"/>
  <c r="S24" i="3" s="1"/>
  <c r="O24" i="3"/>
  <c r="Y24" i="3" s="1"/>
  <c r="L24" i="3"/>
  <c r="K24" i="3"/>
  <c r="V23" i="3"/>
  <c r="T23" i="3"/>
  <c r="S23" i="3"/>
  <c r="R23" i="3"/>
  <c r="O23" i="3"/>
  <c r="Y23" i="3" s="1"/>
  <c r="L23" i="3"/>
  <c r="K23" i="3"/>
  <c r="V22" i="3"/>
  <c r="T22" i="3"/>
  <c r="R22" i="3"/>
  <c r="S22" i="3" s="1"/>
  <c r="O22" i="3"/>
  <c r="Y22" i="3" s="1"/>
  <c r="L22" i="3"/>
  <c r="K22" i="3"/>
  <c r="V21" i="3"/>
  <c r="T21" i="3"/>
  <c r="R21" i="3"/>
  <c r="Y21" i="3" s="1"/>
  <c r="P21" i="3"/>
  <c r="O21" i="3"/>
  <c r="L21" i="3"/>
  <c r="K21" i="3"/>
  <c r="Y20" i="3"/>
  <c r="V20" i="3"/>
  <c r="T20" i="3"/>
  <c r="S20" i="3"/>
  <c r="R20" i="3"/>
  <c r="P20" i="3"/>
  <c r="O20" i="3"/>
  <c r="L20" i="3"/>
  <c r="K20" i="3"/>
  <c r="V19" i="3"/>
  <c r="T19" i="3"/>
  <c r="S19" i="3"/>
  <c r="R19" i="3"/>
  <c r="O19" i="3"/>
  <c r="Y19" i="3" s="1"/>
  <c r="L19" i="3"/>
  <c r="K19" i="3"/>
  <c r="V18" i="3"/>
  <c r="T18" i="3"/>
  <c r="R18" i="3"/>
  <c r="Y18" i="3" s="1"/>
  <c r="O18" i="3"/>
  <c r="P18" i="3" s="1"/>
  <c r="L18" i="3"/>
  <c r="K18" i="3"/>
  <c r="Y17" i="3"/>
  <c r="V17" i="3"/>
  <c r="T17" i="3"/>
  <c r="R17" i="3"/>
  <c r="S17" i="3" s="1"/>
  <c r="O17" i="3"/>
  <c r="P17" i="3" s="1"/>
  <c r="L17" i="3"/>
  <c r="K17" i="3"/>
  <c r="V16" i="3"/>
  <c r="T16" i="3"/>
  <c r="R16" i="3"/>
  <c r="S16" i="3" s="1"/>
  <c r="O16" i="3"/>
  <c r="Y16" i="3" s="1"/>
  <c r="L16" i="3"/>
  <c r="K16" i="3"/>
  <c r="V15" i="3"/>
  <c r="T15" i="3"/>
  <c r="R15" i="3"/>
  <c r="Y15" i="3" s="1"/>
  <c r="P15" i="3"/>
  <c r="O15" i="3"/>
  <c r="L15" i="3"/>
  <c r="K15" i="3"/>
  <c r="Y14" i="3"/>
  <c r="V14" i="3"/>
  <c r="T14" i="3"/>
  <c r="S14" i="3"/>
  <c r="R14" i="3"/>
  <c r="P14" i="3"/>
  <c r="O14" i="3"/>
  <c r="L14" i="3"/>
  <c r="K14" i="3"/>
  <c r="V13" i="3"/>
  <c r="T13" i="3"/>
  <c r="R13" i="3"/>
  <c r="Y13" i="3" s="1"/>
  <c r="O13" i="3"/>
  <c r="P13" i="3" s="1"/>
  <c r="L13" i="3"/>
  <c r="K13" i="3"/>
  <c r="V12" i="3"/>
  <c r="T12" i="3"/>
  <c r="R12" i="3"/>
  <c r="Y12" i="3" s="1"/>
  <c r="O12" i="3"/>
  <c r="P12" i="3" s="1"/>
  <c r="L12" i="3"/>
  <c r="K12" i="3"/>
  <c r="Y11" i="3"/>
  <c r="V11" i="3"/>
  <c r="T11" i="3"/>
  <c r="S11" i="3"/>
  <c r="R11" i="3"/>
  <c r="P11" i="3"/>
  <c r="O11" i="3"/>
  <c r="L11" i="3"/>
  <c r="K11" i="3"/>
  <c r="V10" i="3"/>
  <c r="T10" i="3"/>
  <c r="R10" i="3"/>
  <c r="S10" i="3" s="1"/>
  <c r="O10" i="3"/>
  <c r="P10" i="3" s="1"/>
  <c r="L10" i="3"/>
  <c r="K10" i="3"/>
  <c r="Y9" i="3"/>
  <c r="V9" i="3"/>
  <c r="T9" i="3"/>
  <c r="R9" i="3"/>
  <c r="S9" i="3" s="1"/>
  <c r="P9" i="3"/>
  <c r="O9" i="3"/>
  <c r="L9" i="3"/>
  <c r="K9" i="3"/>
  <c r="V8" i="3"/>
  <c r="T8" i="3"/>
  <c r="S8" i="3"/>
  <c r="R8" i="3"/>
  <c r="O8" i="3"/>
  <c r="Y8" i="3" s="1"/>
  <c r="L8" i="3"/>
  <c r="K8" i="3"/>
  <c r="V7" i="3"/>
  <c r="T7" i="3"/>
  <c r="R7" i="3"/>
  <c r="S7" i="3" s="1"/>
  <c r="O7" i="3"/>
  <c r="Y7" i="3" s="1"/>
  <c r="L7" i="3"/>
  <c r="K7" i="3"/>
  <c r="V6" i="3"/>
  <c r="T6" i="3"/>
  <c r="R6" i="3"/>
  <c r="Y6" i="3" s="1"/>
  <c r="P6" i="3"/>
  <c r="O6" i="3"/>
  <c r="L6" i="3"/>
  <c r="K6" i="3"/>
  <c r="V5" i="3"/>
  <c r="T5" i="3"/>
  <c r="R5" i="3"/>
  <c r="S5" i="3" s="1"/>
  <c r="P5" i="3"/>
  <c r="O5" i="3"/>
  <c r="L5" i="3"/>
  <c r="K5" i="3"/>
  <c r="V4" i="3"/>
  <c r="T4" i="3"/>
  <c r="R4" i="3"/>
  <c r="S4" i="3" s="1"/>
  <c r="O4" i="3"/>
  <c r="Y4" i="3" s="1"/>
  <c r="L4" i="3"/>
  <c r="K4" i="3"/>
  <c r="Y3" i="3"/>
  <c r="V3" i="3"/>
  <c r="T3" i="3"/>
  <c r="S3" i="3"/>
  <c r="R3" i="3"/>
  <c r="O3" i="3"/>
  <c r="P3" i="3" s="1"/>
  <c r="L3" i="3"/>
  <c r="K3" i="3"/>
  <c r="Y2" i="3"/>
  <c r="V2" i="3"/>
  <c r="T2" i="3"/>
  <c r="S2" i="3"/>
  <c r="R2" i="3"/>
  <c r="O2" i="3"/>
  <c r="P2" i="3" s="1"/>
  <c r="L2" i="3"/>
  <c r="K2" i="3"/>
  <c r="M179" i="2"/>
  <c r="L179" i="2"/>
  <c r="K179" i="2"/>
  <c r="B179" i="2"/>
  <c r="M178" i="2"/>
  <c r="L178" i="2"/>
  <c r="K178" i="2"/>
  <c r="B178" i="2"/>
  <c r="M177" i="2"/>
  <c r="L177" i="2"/>
  <c r="K177" i="2"/>
  <c r="B177" i="2"/>
  <c r="M176" i="2"/>
  <c r="L176" i="2"/>
  <c r="K176" i="2"/>
  <c r="B176" i="2"/>
  <c r="M175" i="2"/>
  <c r="L175" i="2"/>
  <c r="K175" i="2"/>
  <c r="B175" i="2"/>
  <c r="M174" i="2"/>
  <c r="L174" i="2"/>
  <c r="K174" i="2"/>
  <c r="B174" i="2"/>
  <c r="M173" i="2"/>
  <c r="L173" i="2"/>
  <c r="K173" i="2"/>
  <c r="B173" i="2"/>
  <c r="M172" i="2"/>
  <c r="L172" i="2"/>
  <c r="K172" i="2"/>
  <c r="B172" i="2"/>
  <c r="M171" i="2"/>
  <c r="L171" i="2"/>
  <c r="K171" i="2"/>
  <c r="B171" i="2"/>
  <c r="M170" i="2"/>
  <c r="L170" i="2"/>
  <c r="K170" i="2"/>
  <c r="B170" i="2"/>
  <c r="M169" i="2"/>
  <c r="L169" i="2"/>
  <c r="K169" i="2"/>
  <c r="B169" i="2"/>
  <c r="M168" i="2"/>
  <c r="L168" i="2"/>
  <c r="K168" i="2"/>
  <c r="B168" i="2"/>
  <c r="M167" i="2"/>
  <c r="L167" i="2"/>
  <c r="K167" i="2"/>
  <c r="B167" i="2"/>
  <c r="M166" i="2"/>
  <c r="L166" i="2"/>
  <c r="K166" i="2"/>
  <c r="B166" i="2"/>
  <c r="M165" i="2"/>
  <c r="L165" i="2"/>
  <c r="K165" i="2"/>
  <c r="B165" i="2"/>
  <c r="M164" i="2"/>
  <c r="L164" i="2"/>
  <c r="K164" i="2"/>
  <c r="B164" i="2"/>
  <c r="M163" i="2"/>
  <c r="L163" i="2"/>
  <c r="K163" i="2"/>
  <c r="B163" i="2"/>
  <c r="M162" i="2"/>
  <c r="L162" i="2"/>
  <c r="K162" i="2"/>
  <c r="B162" i="2"/>
  <c r="M161" i="2"/>
  <c r="L161" i="2"/>
  <c r="K161" i="2"/>
  <c r="B161" i="2"/>
  <c r="M160" i="2"/>
  <c r="L160" i="2"/>
  <c r="K160" i="2"/>
  <c r="B160" i="2"/>
  <c r="M159" i="2"/>
  <c r="L159" i="2"/>
  <c r="K159" i="2"/>
  <c r="B159" i="2"/>
  <c r="M158" i="2"/>
  <c r="L158" i="2"/>
  <c r="K158" i="2"/>
  <c r="B158" i="2"/>
  <c r="M157" i="2"/>
  <c r="L157" i="2"/>
  <c r="K157" i="2"/>
  <c r="B157" i="2"/>
  <c r="M156" i="2"/>
  <c r="L156" i="2"/>
  <c r="K156" i="2"/>
  <c r="B156" i="2"/>
  <c r="M155" i="2"/>
  <c r="L155" i="2"/>
  <c r="K155" i="2"/>
  <c r="B155" i="2"/>
  <c r="M154" i="2"/>
  <c r="L154" i="2"/>
  <c r="K154" i="2"/>
  <c r="B154" i="2"/>
  <c r="M153" i="2"/>
  <c r="L153" i="2"/>
  <c r="K153" i="2"/>
  <c r="B153" i="2"/>
  <c r="M152" i="2"/>
  <c r="L152" i="2"/>
  <c r="K152" i="2"/>
  <c r="B152" i="2"/>
  <c r="M151" i="2"/>
  <c r="L151" i="2"/>
  <c r="K151" i="2"/>
  <c r="B151" i="2"/>
  <c r="M150" i="2"/>
  <c r="L150" i="2"/>
  <c r="K150" i="2"/>
  <c r="B150" i="2"/>
  <c r="M149" i="2"/>
  <c r="L149" i="2"/>
  <c r="K149" i="2"/>
  <c r="B149" i="2"/>
  <c r="M148" i="2"/>
  <c r="L148" i="2"/>
  <c r="K148" i="2"/>
  <c r="B148" i="2"/>
  <c r="M147" i="2"/>
  <c r="L147" i="2"/>
  <c r="K147" i="2"/>
  <c r="B147" i="2"/>
  <c r="M146" i="2"/>
  <c r="L146" i="2"/>
  <c r="K146" i="2"/>
  <c r="B146" i="2"/>
  <c r="M145" i="2"/>
  <c r="L145" i="2"/>
  <c r="K145" i="2"/>
  <c r="B145" i="2"/>
  <c r="M144" i="2"/>
  <c r="L144" i="2"/>
  <c r="K144" i="2"/>
  <c r="B144" i="2"/>
  <c r="M143" i="2"/>
  <c r="L143" i="2"/>
  <c r="K143" i="2"/>
  <c r="B143" i="2"/>
  <c r="M142" i="2"/>
  <c r="L142" i="2"/>
  <c r="K142" i="2"/>
  <c r="B142" i="2"/>
  <c r="M141" i="2"/>
  <c r="L141" i="2"/>
  <c r="K141" i="2"/>
  <c r="B141" i="2"/>
  <c r="M140" i="2"/>
  <c r="L140" i="2"/>
  <c r="K140" i="2"/>
  <c r="B140" i="2"/>
  <c r="M139" i="2"/>
  <c r="L139" i="2"/>
  <c r="K139" i="2"/>
  <c r="B139" i="2"/>
  <c r="M138" i="2"/>
  <c r="L138" i="2"/>
  <c r="K138" i="2"/>
  <c r="B138" i="2"/>
  <c r="M137" i="2"/>
  <c r="L137" i="2"/>
  <c r="K137" i="2"/>
  <c r="B137" i="2"/>
  <c r="M136" i="2"/>
  <c r="L136" i="2"/>
  <c r="K136" i="2"/>
  <c r="B136" i="2"/>
  <c r="M135" i="2"/>
  <c r="L135" i="2"/>
  <c r="K135" i="2"/>
  <c r="B135" i="2"/>
  <c r="M134" i="2"/>
  <c r="L134" i="2"/>
  <c r="K134" i="2"/>
  <c r="B134" i="2"/>
  <c r="M133" i="2"/>
  <c r="L133" i="2"/>
  <c r="K133" i="2"/>
  <c r="B133" i="2"/>
  <c r="M132" i="2"/>
  <c r="L132" i="2"/>
  <c r="K132" i="2"/>
  <c r="B132" i="2"/>
  <c r="M131" i="2"/>
  <c r="L131" i="2"/>
  <c r="K131" i="2"/>
  <c r="B131" i="2"/>
  <c r="M130" i="2"/>
  <c r="L130" i="2"/>
  <c r="K130" i="2"/>
  <c r="B130" i="2"/>
  <c r="M129" i="2"/>
  <c r="L129" i="2"/>
  <c r="K129" i="2"/>
  <c r="B129" i="2"/>
  <c r="M128" i="2"/>
  <c r="L128" i="2"/>
  <c r="K128" i="2"/>
  <c r="B128" i="2"/>
  <c r="M127" i="2"/>
  <c r="L127" i="2"/>
  <c r="K127" i="2"/>
  <c r="B127" i="2"/>
  <c r="M126" i="2"/>
  <c r="L126" i="2"/>
  <c r="K126" i="2"/>
  <c r="B126" i="2"/>
  <c r="M125" i="2"/>
  <c r="L125" i="2"/>
  <c r="K125" i="2"/>
  <c r="B125" i="2"/>
  <c r="M124" i="2"/>
  <c r="L124" i="2"/>
  <c r="K124" i="2"/>
  <c r="B124" i="2"/>
  <c r="M123" i="2"/>
  <c r="L123" i="2"/>
  <c r="K123" i="2"/>
  <c r="B123" i="2"/>
  <c r="M122" i="2"/>
  <c r="L122" i="2"/>
  <c r="K122" i="2"/>
  <c r="B122" i="2"/>
  <c r="M121" i="2"/>
  <c r="L121" i="2"/>
  <c r="K121" i="2"/>
  <c r="B121" i="2"/>
  <c r="M120" i="2"/>
  <c r="L120" i="2"/>
  <c r="K120" i="2"/>
  <c r="B120" i="2"/>
  <c r="M119" i="2"/>
  <c r="L119" i="2"/>
  <c r="K119" i="2"/>
  <c r="B119" i="2"/>
  <c r="M118" i="2"/>
  <c r="L118" i="2"/>
  <c r="K118" i="2"/>
  <c r="B118" i="2"/>
  <c r="M117" i="2"/>
  <c r="L117" i="2"/>
  <c r="K117" i="2"/>
  <c r="B117" i="2"/>
  <c r="M116" i="2"/>
  <c r="L116" i="2"/>
  <c r="K116" i="2"/>
  <c r="B116" i="2"/>
  <c r="M115" i="2"/>
  <c r="L115" i="2"/>
  <c r="K115" i="2"/>
  <c r="B115" i="2"/>
  <c r="M114" i="2"/>
  <c r="L114" i="2"/>
  <c r="K114" i="2"/>
  <c r="B114" i="2"/>
  <c r="M113" i="2"/>
  <c r="L113" i="2"/>
  <c r="K113" i="2"/>
  <c r="B113" i="2"/>
  <c r="M112" i="2"/>
  <c r="L112" i="2"/>
  <c r="K112" i="2"/>
  <c r="B112" i="2"/>
  <c r="M111" i="2"/>
  <c r="L111" i="2"/>
  <c r="K111" i="2"/>
  <c r="B111" i="2"/>
  <c r="M110" i="2"/>
  <c r="L110" i="2"/>
  <c r="K110" i="2"/>
  <c r="B110" i="2"/>
  <c r="M109" i="2"/>
  <c r="L109" i="2"/>
  <c r="K109" i="2"/>
  <c r="B109" i="2"/>
  <c r="M108" i="2"/>
  <c r="L108" i="2"/>
  <c r="K108" i="2"/>
  <c r="B108" i="2"/>
  <c r="M107" i="2"/>
  <c r="L107" i="2"/>
  <c r="K107" i="2"/>
  <c r="B107" i="2"/>
  <c r="M106" i="2"/>
  <c r="L106" i="2"/>
  <c r="K106" i="2"/>
  <c r="B106" i="2"/>
  <c r="M105" i="2"/>
  <c r="L105" i="2"/>
  <c r="K105" i="2"/>
  <c r="B105" i="2"/>
  <c r="M104" i="2"/>
  <c r="L104" i="2"/>
  <c r="K104" i="2"/>
  <c r="B104" i="2"/>
  <c r="M103" i="2"/>
  <c r="L103" i="2"/>
  <c r="K103" i="2"/>
  <c r="B103" i="2"/>
  <c r="M102" i="2"/>
  <c r="L102" i="2"/>
  <c r="K102" i="2"/>
  <c r="B102" i="2"/>
  <c r="M101" i="2"/>
  <c r="L101" i="2"/>
  <c r="K101" i="2"/>
  <c r="B101" i="2"/>
  <c r="M100" i="2"/>
  <c r="L100" i="2"/>
  <c r="K100" i="2"/>
  <c r="B100" i="2"/>
  <c r="M99" i="2"/>
  <c r="L99" i="2"/>
  <c r="K99" i="2"/>
  <c r="B99" i="2"/>
  <c r="M98" i="2"/>
  <c r="L98" i="2"/>
  <c r="K98" i="2"/>
  <c r="B98" i="2"/>
  <c r="M97" i="2"/>
  <c r="L97" i="2"/>
  <c r="K97" i="2"/>
  <c r="B97" i="2"/>
  <c r="M96" i="2"/>
  <c r="L96" i="2"/>
  <c r="K96" i="2"/>
  <c r="B96" i="2"/>
  <c r="M95" i="2"/>
  <c r="L95" i="2"/>
  <c r="K95" i="2"/>
  <c r="B95" i="2"/>
  <c r="M94" i="2"/>
  <c r="L94" i="2"/>
  <c r="K94" i="2"/>
  <c r="B94" i="2"/>
  <c r="M93" i="2"/>
  <c r="L93" i="2"/>
  <c r="K93" i="2"/>
  <c r="B93" i="2"/>
  <c r="M92" i="2"/>
  <c r="L92" i="2"/>
  <c r="K92" i="2"/>
  <c r="B92" i="2"/>
  <c r="M91" i="2"/>
  <c r="L91" i="2"/>
  <c r="K91" i="2"/>
  <c r="B91" i="2"/>
  <c r="M90" i="2"/>
  <c r="L90" i="2"/>
  <c r="K90" i="2"/>
  <c r="B90" i="2"/>
  <c r="M89" i="2"/>
  <c r="L89" i="2"/>
  <c r="K89" i="2"/>
  <c r="B89" i="2"/>
  <c r="M88" i="2"/>
  <c r="L88" i="2"/>
  <c r="K88" i="2"/>
  <c r="B88" i="2"/>
  <c r="M87" i="2"/>
  <c r="L87" i="2"/>
  <c r="K87" i="2"/>
  <c r="B87" i="2"/>
  <c r="M86" i="2"/>
  <c r="L86" i="2"/>
  <c r="K86" i="2"/>
  <c r="B86" i="2"/>
  <c r="M85" i="2"/>
  <c r="L85" i="2"/>
  <c r="K85" i="2"/>
  <c r="B85" i="2"/>
  <c r="M84" i="2"/>
  <c r="L84" i="2"/>
  <c r="K84" i="2"/>
  <c r="B84" i="2"/>
  <c r="M83" i="2"/>
  <c r="L83" i="2"/>
  <c r="K83" i="2"/>
  <c r="B83" i="2"/>
  <c r="M82" i="2"/>
  <c r="L82" i="2"/>
  <c r="K82" i="2"/>
  <c r="B82" i="2"/>
  <c r="M81" i="2"/>
  <c r="L81" i="2"/>
  <c r="K81" i="2"/>
  <c r="B81" i="2"/>
  <c r="M80" i="2"/>
  <c r="L80" i="2"/>
  <c r="K80" i="2"/>
  <c r="B80" i="2"/>
  <c r="M79" i="2"/>
  <c r="L79" i="2"/>
  <c r="K79" i="2"/>
  <c r="B79" i="2"/>
  <c r="M78" i="2"/>
  <c r="L78" i="2"/>
  <c r="K78" i="2"/>
  <c r="B78" i="2"/>
  <c r="M77" i="2"/>
  <c r="L77" i="2"/>
  <c r="K77" i="2"/>
  <c r="B77" i="2"/>
  <c r="M76" i="2"/>
  <c r="L76" i="2"/>
  <c r="K76" i="2"/>
  <c r="B76" i="2"/>
  <c r="M75" i="2"/>
  <c r="L75" i="2"/>
  <c r="K75" i="2"/>
  <c r="B75" i="2"/>
  <c r="M74" i="2"/>
  <c r="L74" i="2"/>
  <c r="K74" i="2"/>
  <c r="B74" i="2"/>
  <c r="M73" i="2"/>
  <c r="L73" i="2"/>
  <c r="K73" i="2"/>
  <c r="B73" i="2"/>
  <c r="M72" i="2"/>
  <c r="L72" i="2"/>
  <c r="K72" i="2"/>
  <c r="B72" i="2"/>
  <c r="M71" i="2"/>
  <c r="L71" i="2"/>
  <c r="K71" i="2"/>
  <c r="B71" i="2"/>
  <c r="M70" i="2"/>
  <c r="L70" i="2"/>
  <c r="K70" i="2"/>
  <c r="B70" i="2"/>
  <c r="M69" i="2"/>
  <c r="L69" i="2"/>
  <c r="K69" i="2"/>
  <c r="B69" i="2"/>
  <c r="M68" i="2"/>
  <c r="L68" i="2"/>
  <c r="K68" i="2"/>
  <c r="B68" i="2"/>
  <c r="M67" i="2"/>
  <c r="L67" i="2"/>
  <c r="K67" i="2"/>
  <c r="B67" i="2"/>
  <c r="M66" i="2"/>
  <c r="L66" i="2"/>
  <c r="K66" i="2"/>
  <c r="B66" i="2"/>
  <c r="M65" i="2"/>
  <c r="L65" i="2"/>
  <c r="K65" i="2"/>
  <c r="B65" i="2"/>
  <c r="M64" i="2"/>
  <c r="L64" i="2"/>
  <c r="K64" i="2"/>
  <c r="B64" i="2"/>
  <c r="M63" i="2"/>
  <c r="L63" i="2"/>
  <c r="K63" i="2"/>
  <c r="B63" i="2"/>
  <c r="M62" i="2"/>
  <c r="L62" i="2"/>
  <c r="K62" i="2"/>
  <c r="B62" i="2"/>
  <c r="M61" i="2"/>
  <c r="L61" i="2"/>
  <c r="K61" i="2"/>
  <c r="B61" i="2"/>
  <c r="M60" i="2"/>
  <c r="L60" i="2"/>
  <c r="K60" i="2"/>
  <c r="B60" i="2"/>
  <c r="M59" i="2"/>
  <c r="L59" i="2"/>
  <c r="K59" i="2"/>
  <c r="B59" i="2"/>
  <c r="M58" i="2"/>
  <c r="L58" i="2"/>
  <c r="K58" i="2"/>
  <c r="B58" i="2"/>
  <c r="M57" i="2"/>
  <c r="L57" i="2"/>
  <c r="K57" i="2"/>
  <c r="B57" i="2"/>
  <c r="M56" i="2"/>
  <c r="L56" i="2"/>
  <c r="K56" i="2"/>
  <c r="B56" i="2"/>
  <c r="M55" i="2"/>
  <c r="L55" i="2"/>
  <c r="K55" i="2"/>
  <c r="B55" i="2"/>
  <c r="M54" i="2"/>
  <c r="L54" i="2"/>
  <c r="K54" i="2"/>
  <c r="B54" i="2"/>
  <c r="M53" i="2"/>
  <c r="L53" i="2"/>
  <c r="K53" i="2"/>
  <c r="B53" i="2"/>
  <c r="M52" i="2"/>
  <c r="L52" i="2"/>
  <c r="K52" i="2"/>
  <c r="B52" i="2"/>
  <c r="M51" i="2"/>
  <c r="L51" i="2"/>
  <c r="K51" i="2"/>
  <c r="B51" i="2"/>
  <c r="M50" i="2"/>
  <c r="L50" i="2"/>
  <c r="K50" i="2"/>
  <c r="B50" i="2"/>
  <c r="M49" i="2"/>
  <c r="L49" i="2"/>
  <c r="K49" i="2"/>
  <c r="B49" i="2"/>
  <c r="M48" i="2"/>
  <c r="L48" i="2"/>
  <c r="K48" i="2"/>
  <c r="B48" i="2"/>
  <c r="M47" i="2"/>
  <c r="L47" i="2"/>
  <c r="K47" i="2"/>
  <c r="B47" i="2"/>
  <c r="M46" i="2"/>
  <c r="L46" i="2"/>
  <c r="K46" i="2"/>
  <c r="B46" i="2"/>
  <c r="M45" i="2"/>
  <c r="L45" i="2"/>
  <c r="K45" i="2"/>
  <c r="B45" i="2"/>
  <c r="M44" i="2"/>
  <c r="L44" i="2"/>
  <c r="K44" i="2"/>
  <c r="B44" i="2"/>
  <c r="M43" i="2"/>
  <c r="L43" i="2"/>
  <c r="K43" i="2"/>
  <c r="B43" i="2"/>
  <c r="M42" i="2"/>
  <c r="L42" i="2"/>
  <c r="K42" i="2"/>
  <c r="B42" i="2"/>
  <c r="M41" i="2"/>
  <c r="L41" i="2"/>
  <c r="K41" i="2"/>
  <c r="B41" i="2"/>
  <c r="M40" i="2"/>
  <c r="L40" i="2"/>
  <c r="K40" i="2"/>
  <c r="B40" i="2"/>
  <c r="M39" i="2"/>
  <c r="L39" i="2"/>
  <c r="K39" i="2"/>
  <c r="B39" i="2"/>
  <c r="M38" i="2"/>
  <c r="L38" i="2"/>
  <c r="K38" i="2"/>
  <c r="B38" i="2"/>
  <c r="M37" i="2"/>
  <c r="L37" i="2"/>
  <c r="K37" i="2"/>
  <c r="B37" i="2"/>
  <c r="M36" i="2"/>
  <c r="L36" i="2"/>
  <c r="K36" i="2"/>
  <c r="B36" i="2"/>
  <c r="M35" i="2"/>
  <c r="L35" i="2"/>
  <c r="K35" i="2"/>
  <c r="B35" i="2"/>
  <c r="M34" i="2"/>
  <c r="L34" i="2"/>
  <c r="K34" i="2"/>
  <c r="B34" i="2"/>
  <c r="M33" i="2"/>
  <c r="L33" i="2"/>
  <c r="K33" i="2"/>
  <c r="B33" i="2"/>
  <c r="M32" i="2"/>
  <c r="L32" i="2"/>
  <c r="K32" i="2"/>
  <c r="B32" i="2"/>
  <c r="M31" i="2"/>
  <c r="L31" i="2"/>
  <c r="K31" i="2"/>
  <c r="B31" i="2"/>
  <c r="M30" i="2"/>
  <c r="L30" i="2"/>
  <c r="K30" i="2"/>
  <c r="B30" i="2"/>
  <c r="M29" i="2"/>
  <c r="L29" i="2"/>
  <c r="K29" i="2"/>
  <c r="B29" i="2"/>
  <c r="M28" i="2"/>
  <c r="L28" i="2"/>
  <c r="K28" i="2"/>
  <c r="B28" i="2"/>
  <c r="M27" i="2"/>
  <c r="L27" i="2"/>
  <c r="K27" i="2"/>
  <c r="B27" i="2"/>
  <c r="M26" i="2"/>
  <c r="L26" i="2"/>
  <c r="K26" i="2"/>
  <c r="B26" i="2"/>
  <c r="M25" i="2"/>
  <c r="L25" i="2"/>
  <c r="K25" i="2"/>
  <c r="B25" i="2"/>
  <c r="M24" i="2"/>
  <c r="L24" i="2"/>
  <c r="K24" i="2"/>
  <c r="B24" i="2"/>
  <c r="M23" i="2"/>
  <c r="L23" i="2"/>
  <c r="K23" i="2"/>
  <c r="B23" i="2"/>
  <c r="M22" i="2"/>
  <c r="L22" i="2"/>
  <c r="K22" i="2"/>
  <c r="B22" i="2"/>
  <c r="M21" i="2"/>
  <c r="L21" i="2"/>
  <c r="K21" i="2"/>
  <c r="B21" i="2"/>
  <c r="M20" i="2"/>
  <c r="L20" i="2"/>
  <c r="K20" i="2"/>
  <c r="B20" i="2"/>
  <c r="M19" i="2"/>
  <c r="L19" i="2"/>
  <c r="K19" i="2"/>
  <c r="B19" i="2"/>
  <c r="M18" i="2"/>
  <c r="L18" i="2"/>
  <c r="K18" i="2"/>
  <c r="B18" i="2"/>
  <c r="M17" i="2"/>
  <c r="L17" i="2"/>
  <c r="K17" i="2"/>
  <c r="B17" i="2"/>
  <c r="M16" i="2"/>
  <c r="L16" i="2"/>
  <c r="K16" i="2"/>
  <c r="B16" i="2"/>
  <c r="M15" i="2"/>
  <c r="L15" i="2"/>
  <c r="K15" i="2"/>
  <c r="B15" i="2"/>
  <c r="M14" i="2"/>
  <c r="L14" i="2"/>
  <c r="K14" i="2"/>
  <c r="B14" i="2"/>
  <c r="M13" i="2"/>
  <c r="L13" i="2"/>
  <c r="K13" i="2"/>
  <c r="B13" i="2"/>
  <c r="M12" i="2"/>
  <c r="L12" i="2"/>
  <c r="K12" i="2"/>
  <c r="B12" i="2"/>
  <c r="M11" i="2"/>
  <c r="L11" i="2"/>
  <c r="K11" i="2"/>
  <c r="B11" i="2"/>
  <c r="M10" i="2"/>
  <c r="L10" i="2"/>
  <c r="K10" i="2"/>
  <c r="B10" i="2"/>
  <c r="M9" i="2"/>
  <c r="L9" i="2"/>
  <c r="K9" i="2"/>
  <c r="B9" i="2"/>
  <c r="M8" i="2"/>
  <c r="L8" i="2"/>
  <c r="K8" i="2"/>
  <c r="B8" i="2"/>
  <c r="M7" i="2"/>
  <c r="L7" i="2"/>
  <c r="K7" i="2"/>
  <c r="B7" i="2"/>
  <c r="M6" i="2"/>
  <c r="L6" i="2"/>
  <c r="K6" i="2"/>
  <c r="B6" i="2"/>
  <c r="M5" i="2"/>
  <c r="L5" i="2"/>
  <c r="K5" i="2"/>
  <c r="B5" i="2"/>
  <c r="M4" i="2"/>
  <c r="L4" i="2"/>
  <c r="K4" i="2"/>
  <c r="B4" i="2"/>
  <c r="M3" i="2"/>
  <c r="L3" i="2"/>
  <c r="K3" i="2"/>
  <c r="B3" i="2"/>
  <c r="M2" i="2"/>
  <c r="L2" i="2"/>
  <c r="K2" i="2"/>
  <c r="B2" i="2"/>
  <c r="B12" i="1"/>
  <c r="B11" i="1"/>
  <c r="B9" i="1"/>
  <c r="B8" i="1"/>
  <c r="B7" i="1"/>
  <c r="B6" i="1"/>
  <c r="Y183" i="3" l="1"/>
  <c r="Y162" i="3"/>
  <c r="P160" i="3"/>
  <c r="Y156" i="3"/>
  <c r="Y155" i="3"/>
  <c r="P154" i="3"/>
  <c r="P149" i="3"/>
  <c r="P142" i="3"/>
  <c r="Y141" i="3"/>
  <c r="Y140" i="3"/>
  <c r="Y131" i="3"/>
  <c r="Y130" i="3"/>
  <c r="Y124" i="3"/>
  <c r="P122" i="3"/>
  <c r="P107" i="3"/>
  <c r="P79" i="3"/>
  <c r="B14" i="1"/>
  <c r="Y177" i="3"/>
  <c r="P7" i="3"/>
  <c r="Y10" i="3"/>
  <c r="S21" i="3"/>
  <c r="P39" i="3"/>
  <c r="Y42" i="3"/>
  <c r="S53" i="3"/>
  <c r="P71" i="3"/>
  <c r="S85" i="3"/>
  <c r="P103" i="3"/>
  <c r="Y106" i="3"/>
  <c r="P135" i="3"/>
  <c r="Y138" i="3"/>
  <c r="P167" i="3"/>
  <c r="Y170" i="3"/>
  <c r="S181" i="3"/>
  <c r="P25" i="3"/>
  <c r="P57" i="3"/>
  <c r="P89" i="3"/>
  <c r="P121" i="3"/>
  <c r="P153" i="3"/>
  <c r="P4" i="3"/>
  <c r="B10" i="1" s="1"/>
  <c r="S18" i="3"/>
  <c r="P36" i="3"/>
  <c r="S50" i="3"/>
  <c r="P68" i="3"/>
  <c r="S82" i="3"/>
  <c r="P100" i="3"/>
  <c r="S114" i="3"/>
  <c r="P132" i="3"/>
  <c r="S146" i="3"/>
  <c r="P164" i="3"/>
  <c r="P22" i="3"/>
  <c r="P54" i="3"/>
  <c r="P86" i="3"/>
  <c r="P118" i="3"/>
  <c r="P150" i="3"/>
  <c r="P182" i="3"/>
  <c r="P8" i="3"/>
  <c r="P40" i="3"/>
  <c r="S15" i="3"/>
  <c r="P33" i="3"/>
  <c r="S47" i="3"/>
  <c r="P65" i="3"/>
  <c r="P97" i="3"/>
  <c r="P129" i="3"/>
  <c r="P161" i="3"/>
  <c r="P104" i="3"/>
  <c r="P136" i="3"/>
  <c r="P168" i="3"/>
  <c r="P19" i="3"/>
  <c r="P51" i="3"/>
  <c r="P83" i="3"/>
  <c r="P115" i="3"/>
  <c r="P147" i="3"/>
  <c r="P179" i="3"/>
  <c r="S172" i="3"/>
  <c r="P119" i="3"/>
  <c r="P151" i="3"/>
  <c r="S165" i="3"/>
  <c r="P16" i="3"/>
  <c r="P48" i="3"/>
  <c r="P80" i="3"/>
  <c r="P112" i="3"/>
  <c r="P144" i="3"/>
  <c r="P176" i="3"/>
  <c r="P87" i="3"/>
  <c r="Y108" i="3"/>
  <c r="S12" i="3"/>
  <c r="S44" i="3"/>
  <c r="P126" i="3"/>
  <c r="S69" i="3"/>
  <c r="S101" i="3"/>
  <c r="Y5" i="3"/>
  <c r="Y30" i="3"/>
  <c r="Y62" i="3"/>
  <c r="Y94" i="3"/>
  <c r="Y158" i="3"/>
  <c r="P23" i="3"/>
  <c r="P55" i="3"/>
  <c r="P184" i="3"/>
  <c r="P63" i="3"/>
  <c r="P127" i="3"/>
  <c r="P24" i="3"/>
  <c r="P88" i="3"/>
  <c r="S102" i="3"/>
  <c r="P120" i="3"/>
  <c r="Y45" i="3"/>
  <c r="Y109" i="3"/>
  <c r="Y173" i="3"/>
  <c r="S13" i="3"/>
  <c r="P159" i="3"/>
  <c r="S6" i="3"/>
  <c r="B13" i="1" s="1"/>
  <c r="Y70" i="3"/>
  <c r="Y31" i="3"/>
  <c r="Y95" i="3"/>
  <c r="P56" i="3"/>
  <c r="P152" i="3"/>
</calcChain>
</file>

<file path=xl/sharedStrings.xml><?xml version="1.0" encoding="utf-8"?>
<sst xmlns="http://schemas.openxmlformats.org/spreadsheetml/2006/main" count="3169" uniqueCount="765">
  <si>
    <t>TECHM8 Computer Product Import Review</t>
  </si>
  <si>
    <t>Overall review status</t>
  </si>
  <si>
    <t>PENDING</t>
  </si>
  <si>
    <t>Set the status to APPROVED only after every cost, retail warning and missing image has been corrected.</t>
  </si>
  <si>
    <t>Metric</t>
  </si>
  <si>
    <t>Value</t>
  </si>
  <si>
    <t>How to complete this review</t>
  </si>
  <si>
    <t>Source products</t>
  </si>
  <si>
    <t>1. In Cost Review, correct every yellow Final Cost and Final Retail value. A zero cost blocks import.</t>
  </si>
  <si>
    <t>New products proposed for import</t>
  </si>
  <si>
    <t>2. In Product Review, check the yellow POS Product Name and Brand columns.</t>
  </si>
  <si>
    <t>Existing POS products retained</t>
  </si>
  <si>
    <t>3. For rows marked MISSING, paste the correct main image URL into the yellow Image URL column.</t>
  </si>
  <si>
    <t>Missing source costs</t>
  </si>
  <si>
    <t>4. Do not change Item ID, POS SKU or Barcode; these preserve matching and uniqueness.</t>
  </si>
  <si>
    <t>Final costs still missing</t>
  </si>
  <si>
    <t>5. All store and online inventory starts at zero; zero stock still allows checkout.</t>
  </si>
  <si>
    <t>Missing product images</t>
  </si>
  <si>
    <t>6. Set Overall review status to APPROVED only when the sheet is complete, then return this workbook.</t>
  </si>
  <si>
    <t>Generated or changed SKUs</t>
  </si>
  <si>
    <t>Retail price warnings</t>
  </si>
  <si>
    <t>Ready after approval</t>
  </si>
  <si>
    <t>No database records are changed by this workbook. Import begins only after the corrected workbook is returned and approved.</t>
  </si>
  <si>
    <t>Item ID</t>
  </si>
  <si>
    <t>POS SKU</t>
  </si>
  <si>
    <t>POS Product Name</t>
  </si>
  <si>
    <t>Brand</t>
  </si>
  <si>
    <t>POS Main Category</t>
  </si>
  <si>
    <t>POS Subcategory</t>
  </si>
  <si>
    <t>Source Cost</t>
  </si>
  <si>
    <t>Final Cost (EDIT)</t>
  </si>
  <si>
    <t>Source Retail</t>
  </si>
  <si>
    <t>Final Retail (EDIT)</t>
  </si>
  <si>
    <t>Cost Status</t>
  </si>
  <si>
    <t>Retail Status</t>
  </si>
  <si>
    <t>Image Status</t>
  </si>
  <si>
    <t>Review Notes</t>
  </si>
  <si>
    <t>11270</t>
  </si>
  <si>
    <t>DP to HDMI 2.1 8K 2 Meters</t>
  </si>
  <si>
    <t>OZTECHM8</t>
  </si>
  <si>
    <t>Cables &amp; Adapters</t>
  </si>
  <si>
    <t>Display &amp; Computer Cables</t>
  </si>
  <si>
    <t>Source stock 10 is reference only; POS starts at 0.</t>
  </si>
  <si>
    <t>11269</t>
  </si>
  <si>
    <t>DP to HDMI 4K 1.8 Meters</t>
  </si>
  <si>
    <t>Source stock 4 is reference only; POS starts at 0.</t>
  </si>
  <si>
    <t>11268</t>
  </si>
  <si>
    <t>Type C to DP 1.4 8k 2 Meters</t>
  </si>
  <si>
    <t>11267</t>
  </si>
  <si>
    <t>DP 1.4 8K 2Meters</t>
  </si>
  <si>
    <t>11266</t>
  </si>
  <si>
    <t>HDMI 2.1 8K 2Meters</t>
  </si>
  <si>
    <t>11073</t>
  </si>
  <si>
    <t>Integrated Fan Hub, 10-Port 4 Pin PC Fan Controller</t>
  </si>
  <si>
    <t>Computer &amp; Gaming</t>
  </si>
  <si>
    <t>PC Components</t>
  </si>
  <si>
    <t>Source stock 2 is reference only; POS starts at 0.</t>
  </si>
  <si>
    <t>11066</t>
  </si>
  <si>
    <t>T-WOLF TF330 Backlit Keyboard Mouse Combo</t>
  </si>
  <si>
    <t>T-WOLF</t>
  </si>
  <si>
    <t>Input &amp; Office Peripherals</t>
  </si>
  <si>
    <t>Source stock 16 is reference only; POS starts at 0.</t>
  </si>
  <si>
    <t>11065</t>
  </si>
  <si>
    <t>Dudao HUB 4in1 USB-A - 4x USB-A</t>
  </si>
  <si>
    <t>DUDAO</t>
  </si>
  <si>
    <t>Hubs &amp; Docks</t>
  </si>
  <si>
    <t>Source stock 5 is reference only; POS starts at 0.</t>
  </si>
  <si>
    <t>11064</t>
  </si>
  <si>
    <t>T-Wold S3 Speaker</t>
  </si>
  <si>
    <t>Audio</t>
  </si>
  <si>
    <t>Speakers</t>
  </si>
  <si>
    <t>Source stock 8 is reference only; POS starts at 0.</t>
  </si>
  <si>
    <t>10908</t>
  </si>
  <si>
    <t>DUDAO 128GB USB3.2 + TYPE C FLASH DRIVE</t>
  </si>
  <si>
    <t>Storage</t>
  </si>
  <si>
    <t>Source stock 1 is reference only; POS starts at 0.</t>
  </si>
  <si>
    <t>10907</t>
  </si>
  <si>
    <t>DUDAO 64GB USB3.2 + TYPE C FLASH DRIVE</t>
  </si>
  <si>
    <t>10905</t>
  </si>
  <si>
    <t>DUDAO 32GB USB3.2 + TYPE C FLASH DRIVE</t>
  </si>
  <si>
    <t>10775</t>
  </si>
  <si>
    <t>1-in-4 out HDMI Splitter Setup for 4-Mirror Display</t>
  </si>
  <si>
    <t>10751</t>
  </si>
  <si>
    <t>MSI MPG F120 ARGB-3B - Black 3* FANS</t>
  </si>
  <si>
    <t>MSI</t>
  </si>
  <si>
    <t>Source stock 3 is reference only; POS starts at 0.</t>
  </si>
  <si>
    <t>10750</t>
  </si>
  <si>
    <t>INFINITY WHITE Ergonomic and Style Heavy-Duty Gas Spring Single Monitor Arm support 24”-57”, up to 27kg - INF753-C012</t>
  </si>
  <si>
    <t>Infinity</t>
  </si>
  <si>
    <t>Mounts &amp; Holders</t>
  </si>
  <si>
    <t>Monitor Mounts</t>
  </si>
  <si>
    <t>10741</t>
  </si>
  <si>
    <t>T-WOLF H130 Gaming Headset with RGB Light</t>
  </si>
  <si>
    <t>Headsets</t>
  </si>
  <si>
    <t>10740</t>
  </si>
  <si>
    <t>T-WOLF H140 Headphone Wired Gaming 7.1 USB</t>
  </si>
  <si>
    <t>Headphones</t>
  </si>
  <si>
    <t>10739</t>
  </si>
  <si>
    <t>T-Wolf X3 Gaming Mouse Tri-Mode BT Wireless Hollow Design RGB</t>
  </si>
  <si>
    <t>Source stock 11 is reference only; POS starts at 0.</t>
  </si>
  <si>
    <t>10738</t>
  </si>
  <si>
    <t>T-Wolf X7 wireless mouse rechargeable</t>
  </si>
  <si>
    <t>Source stock 7 is reference only; POS starts at 0.</t>
  </si>
  <si>
    <t>10737</t>
  </si>
  <si>
    <t>T-Wolf G560 wired Gaming rgb 6d button mouse</t>
  </si>
  <si>
    <t>Source stock 12 is reference only; POS starts at 0.</t>
  </si>
  <si>
    <t>10736</t>
  </si>
  <si>
    <t>T-Wolf Q3 Wireless Rechargeable Mouse Dual-mode</t>
  </si>
  <si>
    <t>10735</t>
  </si>
  <si>
    <t>T-Wolf T16 METAL LUMINOUS WIRED KEYBOARD</t>
  </si>
  <si>
    <t>10734</t>
  </si>
  <si>
    <t>T-Wolf T17 true Mechanical Keyboard Blue switch</t>
  </si>
  <si>
    <t>10733</t>
  </si>
  <si>
    <t>T-Wolf T70 Wireless Gaming Mechanical Keyboard Three Mode Full Key Hot Plug</t>
  </si>
  <si>
    <t>10732</t>
  </si>
  <si>
    <t>T-Wolf T20 Gaming Keyboard Luminous Wired Keyboard</t>
  </si>
  <si>
    <t>10731</t>
  </si>
  <si>
    <t>T-Wolf TF100 Wireless Mouse and Keyboard</t>
  </si>
  <si>
    <t>10722</t>
  </si>
  <si>
    <t>MPG GUNGNIR m100R</t>
  </si>
  <si>
    <t>10721</t>
  </si>
  <si>
    <t>MPG GUNGNIR 120R</t>
  </si>
  <si>
    <t>10554</t>
  </si>
  <si>
    <t>Nintendo Switch 2 Joy Con 2 Pair (Light Blue/Light Red)</t>
  </si>
  <si>
    <t>Nintendo</t>
  </si>
  <si>
    <t>Consoles &amp; Controllers</t>
  </si>
  <si>
    <t>10553</t>
  </si>
  <si>
    <t>HORI HORIPAD Turbo Wired Controller for Nintendo Switch 2 (Black)</t>
  </si>
  <si>
    <t>10546</t>
  </si>
  <si>
    <t>850W ADATA XPG KYBER POWER SUPPLY</t>
  </si>
  <si>
    <t>ADATA XPG</t>
  </si>
  <si>
    <t>10545</t>
  </si>
  <si>
    <t>850W MSI PSU - MAG A850GN PCIE5 - ATX3.0 80 PLUS GOLD CERTIFIED.</t>
  </si>
  <si>
    <t>No RepairDesk image found; provide the correct main image URL. Source stock 1 is reference only; POS starts at 0.</t>
  </si>
  <si>
    <t>10512</t>
  </si>
  <si>
    <t>MSI FHD PROCAM USB WEBCAM</t>
  </si>
  <si>
    <t>10320</t>
  </si>
  <si>
    <t>Meetion Optical Mouse Black M100</t>
  </si>
  <si>
    <t>Meetion</t>
  </si>
  <si>
    <t>Source stock 35 is reference only; POS starts at 0.</t>
  </si>
  <si>
    <t>10319</t>
  </si>
  <si>
    <t>Version M6 ATX 360 Built in 6 Fans（B/W）</t>
  </si>
  <si>
    <t>Cost must be entered before import. Retail price requires correction.</t>
  </si>
  <si>
    <t>10318</t>
  </si>
  <si>
    <t>Version A7 ATX 360 Built in 6 Fans（B/W）</t>
  </si>
  <si>
    <t>10317</t>
  </si>
  <si>
    <t>ATX BLT 360 Built in 7 Fans（B/W）</t>
  </si>
  <si>
    <t>10300</t>
  </si>
  <si>
    <t>Cooler Master CryoFuze 7</t>
  </si>
  <si>
    <t>Cooler Master</t>
  </si>
  <si>
    <t>10299</t>
  </si>
  <si>
    <t>Capybara Keycap Set (142-key)</t>
  </si>
  <si>
    <t>10298</t>
  </si>
  <si>
    <t>Cooler Master MasterLiquid 360L Core ARGB Liquid CPU Cooler White</t>
  </si>
  <si>
    <t>10297</t>
  </si>
  <si>
    <t>Cooler Master MasterLiquid 240L Core ARGB CPU Liquid Cooler Black</t>
  </si>
  <si>
    <t>10296</t>
  </si>
  <si>
    <t>Cooler Master MasterLiquid 360L Core ARGB Liquid CPU Cooler Black</t>
  </si>
  <si>
    <t>10295</t>
  </si>
  <si>
    <t>Thermalright TF7 Thermal Paste Compound for CPU,Thermal Conductivity is 12.8W/m.k-2 Grams</t>
  </si>
  <si>
    <t>Thermalright</t>
  </si>
  <si>
    <t>Source stock -3 is reference only; POS starts at 0.</t>
  </si>
  <si>
    <t>10294</t>
  </si>
  <si>
    <t>Moza R3 Racing Bundle for Xbox Series X/S and PC</t>
  </si>
  <si>
    <t>MOZA</t>
  </si>
  <si>
    <t>Gaming &amp; Simulation</t>
  </si>
  <si>
    <t>10293</t>
  </si>
  <si>
    <t>MOZA SR-P Throttle &amp; Brake Pedal Set</t>
  </si>
  <si>
    <t>10292</t>
  </si>
  <si>
    <t>R3 Racing Wheel and Pedals for PC</t>
  </si>
  <si>
    <t>Retail price requires correction.</t>
  </si>
  <si>
    <t>10290</t>
  </si>
  <si>
    <t>R12 V2 Wheel Base</t>
  </si>
  <si>
    <t>10289</t>
  </si>
  <si>
    <t>R9 V3 Direct Drive Wheel Base</t>
  </si>
  <si>
    <t>10288</t>
  </si>
  <si>
    <t>MOZA RS V2 Steering Wheel</t>
  </si>
  <si>
    <t>10287</t>
  </si>
  <si>
    <t>MOZA GS V2P GT Wheel</t>
  </si>
  <si>
    <t>10268</t>
  </si>
  <si>
    <t>Micro ATX BLT 240 Built in 5 Fans（B/W）</t>
  </si>
  <si>
    <t>10203</t>
  </si>
  <si>
    <t>3.1 Type c to DP 8K60Hz 2M Cable</t>
  </si>
  <si>
    <t>10202</t>
  </si>
  <si>
    <t>Coolmoon GH-80 Graphics Card Holder Silver 50-80MM</t>
  </si>
  <si>
    <t>Coolmoon</t>
  </si>
  <si>
    <t>10201</t>
  </si>
  <si>
    <t>Coolmoon GH-80 Graphics Card Holder Black 50-80MM</t>
  </si>
  <si>
    <t>10200</t>
  </si>
  <si>
    <t>Coolmoon GH6 ARGB Graphics Card Holder Black</t>
  </si>
  <si>
    <t>10199</t>
  </si>
  <si>
    <t>Coolmoon GH6 ARGB Graphics Card Holder White</t>
  </si>
  <si>
    <t>10196</t>
  </si>
  <si>
    <t>Moza HGP Shifter</t>
  </si>
  <si>
    <t>10194</t>
  </si>
  <si>
    <t>MOZA SRP Clutch Pedal</t>
  </si>
  <si>
    <t>10193</t>
  </si>
  <si>
    <t>MOZA CM2 Racing Dash</t>
  </si>
  <si>
    <t>10192</t>
  </si>
  <si>
    <t>Moza HBP Sim Racing Handbrake</t>
  </si>
  <si>
    <t>10191</t>
  </si>
  <si>
    <t>MOZA Performance Kit for SR-P Lite</t>
  </si>
  <si>
    <t>10190</t>
  </si>
  <si>
    <t>MOZA SGP Sequential Shifter</t>
  </si>
  <si>
    <t>10189</t>
  </si>
  <si>
    <t>MOZA Racing R5 Direct Drive Base &amp; Pedal Bundle</t>
  </si>
  <si>
    <t>10160</t>
  </si>
  <si>
    <t>InWin B65E 650W ATX Power Supply 80+ BRONZE</t>
  </si>
  <si>
    <t>InWin</t>
  </si>
  <si>
    <t>10156</t>
  </si>
  <si>
    <t>MSI MAG CoreLiquid A13 360mm AIO Liquid CPU Cooler - Black</t>
  </si>
  <si>
    <t>10155</t>
  </si>
  <si>
    <t>MSI MAG CoreLiquid A13 240 CPU Cooler - Black</t>
  </si>
  <si>
    <t>Source stock 6 is reference only; POS starts at 0.</t>
  </si>
  <si>
    <t>10154</t>
  </si>
  <si>
    <t>AX1800 WiFi USB Adapter</t>
  </si>
  <si>
    <t>Networking</t>
  </si>
  <si>
    <t>10153</t>
  </si>
  <si>
    <t>AX1800 Nano WiFi USB Adapter</t>
  </si>
  <si>
    <t>10122</t>
  </si>
  <si>
    <t>MSI HERALD BE NCM865 Wireless PCIe Adapter, Wi-Fi 7</t>
  </si>
  <si>
    <t>10109</t>
  </si>
  <si>
    <t>DVD-RW DRIVE USB 3.0</t>
  </si>
  <si>
    <t>Cost must be entered before import.</t>
  </si>
  <si>
    <t>10041</t>
  </si>
  <si>
    <t>DeepCool LS520 240mm Premium Liquid CPU Cooler - White</t>
  </si>
  <si>
    <t>DeepCool</t>
  </si>
  <si>
    <t>Cost must be entered before import. No RepairDesk image found; provide the correct main image URL.</t>
  </si>
  <si>
    <t>9984</t>
  </si>
  <si>
    <t>MSI HERALD-AX INTEL AX210NGW WI-FI 6E Wireless PCIe Adapter</t>
  </si>
  <si>
    <t>No RepairDesk image found; provide the correct main image URL.</t>
  </si>
  <si>
    <t>9983</t>
  </si>
  <si>
    <t>Deepcool AG620 120mm ARGB CPU Cooler - White</t>
  </si>
  <si>
    <t>9978</t>
  </si>
  <si>
    <t>Deepcool AG400 Plus Single Tower Air Cooler</t>
  </si>
  <si>
    <t>9672</t>
  </si>
  <si>
    <t>Maxtor MT-X1 Thermal Compound, 2gm</t>
  </si>
  <si>
    <t>Maxtor</t>
  </si>
  <si>
    <t>Source stock -1 is reference only; POS starts at 0.</t>
  </si>
  <si>
    <t>9671</t>
  </si>
  <si>
    <t>Noctua NT-H1 AMD5 Edition High-Grade Thermal Compound, 3.5gm</t>
  </si>
  <si>
    <t>Noctua</t>
  </si>
  <si>
    <t>9660</t>
  </si>
  <si>
    <t>Infinity Single Monitor Economical Spring-Assisted Monitor Arm</t>
  </si>
  <si>
    <t>9659</t>
  </si>
  <si>
    <t>Infinity Dual Monitor Pole-Mounted Heavy-Duty</t>
  </si>
  <si>
    <t>9658</t>
  </si>
  <si>
    <t>Meetion MT-M915 Backlight Black Wired Gaming Mouse</t>
  </si>
  <si>
    <t>Source stock 37 is reference only; POS starts at 0.</t>
  </si>
  <si>
    <t>9657</t>
  </si>
  <si>
    <t>Meetion MT-M915 Backlight White Wired Gaming Mouse</t>
  </si>
  <si>
    <t>9656</t>
  </si>
  <si>
    <t>Tri-Mode Wireless Gaming Mouse - Air GW33</t>
  </si>
  <si>
    <t>Source stock 31 is reference only; POS starts at 0.</t>
  </si>
  <si>
    <t>9655</t>
  </si>
  <si>
    <t>MEETION G3325 Professional Mouse</t>
  </si>
  <si>
    <t>9654</t>
  </si>
  <si>
    <t>Meetion MK009 Pro Gaming Keyboard</t>
  </si>
  <si>
    <t>Source stock 17 is reference only; POS starts at 0.</t>
  </si>
  <si>
    <t>9653</t>
  </si>
  <si>
    <t>Logitech G502 HERO High Performance Wired Gaming Mouse</t>
  </si>
  <si>
    <t>Logitech</t>
  </si>
  <si>
    <t>9649</t>
  </si>
  <si>
    <t>DeepCool LE720 360mm ARGB AIO Liquid CPU Cooler - Black (R-LE720-BKAMMN-G-1)</t>
  </si>
  <si>
    <t>9647</t>
  </si>
  <si>
    <t>MeeTion HP003 Office Headset PC / PS4</t>
  </si>
  <si>
    <t>Source stock 19 is reference only; POS starts at 0.</t>
  </si>
  <si>
    <t>9646</t>
  </si>
  <si>
    <t>HyperX Cloud Alpha Gaming Headset</t>
  </si>
  <si>
    <t>HyperX</t>
  </si>
  <si>
    <t>9645</t>
  </si>
  <si>
    <t>HyperX Cloud III Wireless Gaming Headset</t>
  </si>
  <si>
    <t>9644</t>
  </si>
  <si>
    <t>HyperX Cloud III Gaming Headset</t>
  </si>
  <si>
    <t>9639</t>
  </si>
  <si>
    <t>HyperX Cloud Alpha Wireless Gaming Headset</t>
  </si>
  <si>
    <t>9366</t>
  </si>
  <si>
    <t>Logitech G502 X LIGHTSPEED Wireless Gaming Mouse (Black)</t>
  </si>
  <si>
    <t>9365</t>
  </si>
  <si>
    <t>Logitech G502 X LIGHTSPEED Wireless Gaming Mouse (White)</t>
  </si>
  <si>
    <t>9364</t>
  </si>
  <si>
    <t>Logitech G502 X Wired Gaming Mouse (White)</t>
  </si>
  <si>
    <t>9363</t>
  </si>
  <si>
    <t>Logitech G502 X Wired Gaming Mouse (Black)</t>
  </si>
  <si>
    <t>9362</t>
  </si>
  <si>
    <t>Logitech MK220 Wireless Combo</t>
  </si>
  <si>
    <t>9361</t>
  </si>
  <si>
    <t>Logitech Desktop MK120 Wired Keyboard and Mouse Combo</t>
  </si>
  <si>
    <t>9360</t>
  </si>
  <si>
    <t>87 HyperX Alloy Origins PBT Mechanical Gaming Keyboard Red Switches</t>
  </si>
  <si>
    <t>9359</t>
  </si>
  <si>
    <t>65 HyperX Alloy Origins PBT Mechanical Gaming Keyboard Red Switches</t>
  </si>
  <si>
    <t>9358</t>
  </si>
  <si>
    <t>60 HyperX Alloy Origins PBT Mechanical Gaming Keyboard Red Switches</t>
  </si>
  <si>
    <t>9357</t>
  </si>
  <si>
    <t>104 HyperX Alloy Origins PBT Mechanical Gaming Keyboard Red Switches</t>
  </si>
  <si>
    <t>9234</t>
  </si>
  <si>
    <t>CSGO Keycaps Set</t>
  </si>
  <si>
    <t>9233</t>
  </si>
  <si>
    <t>Cat world Keycaps Set</t>
  </si>
  <si>
    <t>9232</t>
  </si>
  <si>
    <t>Warrior Keycaps Set</t>
  </si>
  <si>
    <t>9198</t>
  </si>
  <si>
    <t>Black Wireless Mouse-WM126</t>
  </si>
  <si>
    <t>9181</t>
  </si>
  <si>
    <t>Switch Racing Wheel</t>
  </si>
  <si>
    <t>9168</t>
  </si>
  <si>
    <t>Dual controller charging dock</t>
  </si>
  <si>
    <t>9167</t>
  </si>
  <si>
    <t>PS5 Stand Cooling Fan EXT Controller Charging Station Playstation 5</t>
  </si>
  <si>
    <t>9166</t>
  </si>
  <si>
    <t>Quad Charger for Nintendo Switch</t>
  </si>
  <si>
    <t>9009</t>
  </si>
  <si>
    <t>TP-Link Archer TX3000E AX3000 Wi-Fi 6 Bluetooth 5.0 PCI-E Adapter</t>
  </si>
  <si>
    <t>TP-Link</t>
  </si>
  <si>
    <t>9008</t>
  </si>
  <si>
    <t>TP-Link TL-WN821N 300 Mbps Wireless N USB Adapter</t>
  </si>
  <si>
    <t>Cost must be entered before import. Source stock 2 is reference only; POS starts at 0.</t>
  </si>
  <si>
    <t>8840</t>
  </si>
  <si>
    <t>Type c to Surface Charger</t>
  </si>
  <si>
    <t>Cost must be entered before import. Source stock -1 is reference only; POS starts at 0.</t>
  </si>
  <si>
    <t>8792</t>
  </si>
  <si>
    <t>8K DP 1.4 2m Cable</t>
  </si>
  <si>
    <t>8790</t>
  </si>
  <si>
    <t>8K HDMI 2m cable</t>
  </si>
  <si>
    <t>Cost must be entered before import. Source stock 1 is reference only; POS starts at 0.</t>
  </si>
  <si>
    <t>8510</t>
  </si>
  <si>
    <t>DP to HDMI 4K Cable 1.8m</t>
  </si>
  <si>
    <t>Cost must be entered before import. Source stock 7 is reference only; POS starts at 0.</t>
  </si>
  <si>
    <t>8502</t>
  </si>
  <si>
    <t>Hard Drive Cable 1m</t>
  </si>
  <si>
    <t>Cost must be entered before import. Source stock 5 is reference only; POS starts at 0.</t>
  </si>
  <si>
    <t>8480</t>
  </si>
  <si>
    <t>Meetion Game Microphone MC13</t>
  </si>
  <si>
    <t>Microphones</t>
  </si>
  <si>
    <t>8410</t>
  </si>
  <si>
    <t>Mouse Pad</t>
  </si>
  <si>
    <t>Cost must be entered before import. Source stock 36 is reference only; POS starts at 0.</t>
  </si>
  <si>
    <t>8356</t>
  </si>
  <si>
    <t>Meetion Corded Keyboard with hub K815</t>
  </si>
  <si>
    <t>Cost must be entered before import. Source stock 12 is reference only; POS starts at 0.</t>
  </si>
  <si>
    <t>7815</t>
  </si>
  <si>
    <t>C10 SD Card 256GB</t>
  </si>
  <si>
    <t>7814</t>
  </si>
  <si>
    <t>C10 SD Card 128GB</t>
  </si>
  <si>
    <t>7813</t>
  </si>
  <si>
    <t>C10 SD Card 64GB</t>
  </si>
  <si>
    <t>7812</t>
  </si>
  <si>
    <t>C10 SD Card 32GB</t>
  </si>
  <si>
    <t>7688</t>
  </si>
  <si>
    <t>Wireless Chocolate Keyboard WK841 Black</t>
  </si>
  <si>
    <t>Cost must be entered before import. Source stock 13 is reference only; POS starts at 0.</t>
  </si>
  <si>
    <t>7585</t>
  </si>
  <si>
    <t>RB-680HB Wireless Headphones White</t>
  </si>
  <si>
    <t>7584</t>
  </si>
  <si>
    <t>RB-680HB Wireless Headphones Black</t>
  </si>
  <si>
    <t>Cost must be entered before import. Source stock -3 is reference only; POS starts at 0.</t>
  </si>
  <si>
    <t>6846</t>
  </si>
  <si>
    <t>TP-Link TL-WN881ND 300 Mbps Wireless N PCI Express Adapter</t>
  </si>
  <si>
    <t>6845</t>
  </si>
  <si>
    <t>TP-Link TL-WN722N 150 Mbps Wireless USB Adapter</t>
  </si>
  <si>
    <t>6844</t>
  </si>
  <si>
    <t>USB 3.0 Hub</t>
  </si>
  <si>
    <t>Cost must be entered before import. Source stock 3 is reference only; POS starts at 0.</t>
  </si>
  <si>
    <t>6843</t>
  </si>
  <si>
    <t>4 in 1 USB-C HUB</t>
  </si>
  <si>
    <t>6809</t>
  </si>
  <si>
    <t>SD Card Adapter</t>
  </si>
  <si>
    <t>OTG &amp; Card Readers</t>
  </si>
  <si>
    <t>6799</t>
  </si>
  <si>
    <t>Meetion Wireless Mouse White R560</t>
  </si>
  <si>
    <t>6698</t>
  </si>
  <si>
    <t>USB 3.0 AM-BM Cable</t>
  </si>
  <si>
    <t>6684</t>
  </si>
  <si>
    <t>AUX Cable 3M</t>
  </si>
  <si>
    <t>Audio Cables &amp; Adapters</t>
  </si>
  <si>
    <t>6683</t>
  </si>
  <si>
    <t>USB 3.0 AM-AM 2M</t>
  </si>
  <si>
    <t>6682</t>
  </si>
  <si>
    <t>HDMI CABLE 5M</t>
  </si>
  <si>
    <t>6681</t>
  </si>
  <si>
    <t>DVI-DVI Cable 3M</t>
  </si>
  <si>
    <t>6680</t>
  </si>
  <si>
    <t>VGA CABLE 3M</t>
  </si>
  <si>
    <t>6679</t>
  </si>
  <si>
    <t>DP 4K Cable 3M</t>
  </si>
  <si>
    <t>6678</t>
  </si>
  <si>
    <t>SSTP FLAT PATCH CORD 15M</t>
  </si>
  <si>
    <t>Network Cables</t>
  </si>
  <si>
    <t>6677</t>
  </si>
  <si>
    <t>SSTP FLAT PATCH CORD 10M</t>
  </si>
  <si>
    <t>6676</t>
  </si>
  <si>
    <t>SSTP FLAT PATCH CORD 5M</t>
  </si>
  <si>
    <t>6603</t>
  </si>
  <si>
    <t>SSTP FLAT PATCH CORD 2M</t>
  </si>
  <si>
    <t>6602</t>
  </si>
  <si>
    <t>C13 IEC Power Cable</t>
  </si>
  <si>
    <t>Cost must be entered before import. Source stock 8 is reference only; POS starts at 0.</t>
  </si>
  <si>
    <t>6601</t>
  </si>
  <si>
    <t>IEC-C5 POWER CABLE</t>
  </si>
  <si>
    <t>Cost must be entered before import. Source stock 14 is reference only; POS starts at 0.</t>
  </si>
  <si>
    <t>6600</t>
  </si>
  <si>
    <t>2 PIN POWER CABLE</t>
  </si>
  <si>
    <t>6599</t>
  </si>
  <si>
    <t>VGA CABLE 1.5M</t>
  </si>
  <si>
    <t>6598</t>
  </si>
  <si>
    <t>HDMI CABLE 2M</t>
  </si>
  <si>
    <t>6597</t>
  </si>
  <si>
    <t>MINI DISPLAY TO HDMI</t>
  </si>
  <si>
    <t>6596</t>
  </si>
  <si>
    <t>USB A-USB B PRINTER CABLE 1.5M</t>
  </si>
  <si>
    <t>6595</t>
  </si>
  <si>
    <t>DVI-DVI Cable 1.5M</t>
  </si>
  <si>
    <t>6594</t>
  </si>
  <si>
    <t>USB 3.0 USB to USB (AM-AF) 3M</t>
  </si>
  <si>
    <t>6593</t>
  </si>
  <si>
    <t>AUX Cable 1.5M</t>
  </si>
  <si>
    <t>Cost must be entered before import. Source stock 4 is reference only; POS starts at 0.</t>
  </si>
  <si>
    <t>6592</t>
  </si>
  <si>
    <t>DP 4K Cable 1.5M</t>
  </si>
  <si>
    <t>6591</t>
  </si>
  <si>
    <t>USB 128GB</t>
  </si>
  <si>
    <t>6590</t>
  </si>
  <si>
    <t>USB 64GB</t>
  </si>
  <si>
    <t>6589</t>
  </si>
  <si>
    <t>USB 32GB</t>
  </si>
  <si>
    <t>6588</t>
  </si>
  <si>
    <t>USB 16GB</t>
  </si>
  <si>
    <t>6587</t>
  </si>
  <si>
    <t>SD Card 128GB</t>
  </si>
  <si>
    <t>6586</t>
  </si>
  <si>
    <t>SD Card 64GB</t>
  </si>
  <si>
    <t>6585</t>
  </si>
  <si>
    <t>SD Card 32GB</t>
  </si>
  <si>
    <t>6584</t>
  </si>
  <si>
    <t>SD Card 16GB</t>
  </si>
  <si>
    <t>6497</t>
  </si>
  <si>
    <t>Meetion Wireless Mouse Black R560</t>
  </si>
  <si>
    <t>Source stock 9 is reference only; POS starts at 0.</t>
  </si>
  <si>
    <t>6494</t>
  </si>
  <si>
    <t>Meetion Corded Keyboard AK100</t>
  </si>
  <si>
    <t>Source stock 13 is reference only; POS starts at 0.</t>
  </si>
  <si>
    <t>6493</t>
  </si>
  <si>
    <t>Wireless Chocolate Keyboard WK841 White</t>
  </si>
  <si>
    <t>6491</t>
  </si>
  <si>
    <t>Meetion Optical Mouse Black M362</t>
  </si>
  <si>
    <t>6490</t>
  </si>
  <si>
    <t>Meetion RGB Light Gaming Mouse GM015</t>
  </si>
  <si>
    <t>6489</t>
  </si>
  <si>
    <t>Meetion Gaming Backlit Keyboard K9320</t>
  </si>
  <si>
    <t>Source stock -2 is reference only; POS starts at 0.</t>
  </si>
  <si>
    <t>6488</t>
  </si>
  <si>
    <t>Meetion Mechanical Keyboard-Red MK20</t>
  </si>
  <si>
    <t>6487</t>
  </si>
  <si>
    <t>Meetion HIFI Gaming Headset HP030</t>
  </si>
  <si>
    <t>6210</t>
  </si>
  <si>
    <t>Meetion Gaming Stereo Headset HP010</t>
  </si>
  <si>
    <t>6171</t>
  </si>
  <si>
    <t>13 INCH Laptop Case Blue</t>
  </si>
  <si>
    <t>Laptop Bags &amp; Sleeves</t>
  </si>
  <si>
    <t>New POS subcategory to be added when approved.</t>
  </si>
  <si>
    <t>6170</t>
  </si>
  <si>
    <t>13 INCH Laptop Case Black</t>
  </si>
  <si>
    <t>6169</t>
  </si>
  <si>
    <t>13 INCH Laptop Case Pink</t>
  </si>
  <si>
    <t>6168</t>
  </si>
  <si>
    <t>13 INCH Laptop Case Gray</t>
  </si>
  <si>
    <t>6167</t>
  </si>
  <si>
    <t>15 INCH Laptop Case Blue</t>
  </si>
  <si>
    <t>New POS subcategory to be added when approved. Source stock 2 is reference only; POS starts at 0.</t>
  </si>
  <si>
    <t>6166</t>
  </si>
  <si>
    <t>15 INCH Laptop Case Black</t>
  </si>
  <si>
    <t>New POS subcategory to be added when approved. Source stock 1 is reference only; POS starts at 0.</t>
  </si>
  <si>
    <t>6162</t>
  </si>
  <si>
    <t>15 INCH Laptop Case Pink</t>
  </si>
  <si>
    <t>Cost must be entered before import. New POS subcategory to be added when approved. Source stock 1 is reference only; POS starts at 0.</t>
  </si>
  <si>
    <t>6161</t>
  </si>
  <si>
    <t>15 INCH Laptop Case Gray</t>
  </si>
  <si>
    <t>New POS subcategory to be added when approved. Source stock 3 is reference only; POS starts at 0.</t>
  </si>
  <si>
    <t>Import Action</t>
  </si>
  <si>
    <t>Existing POS Match</t>
  </si>
  <si>
    <t>Existing POS SKU</t>
  </si>
  <si>
    <t>Source Category</t>
  </si>
  <si>
    <t>Source Product Name</t>
  </si>
  <si>
    <t>Source SKU</t>
  </si>
  <si>
    <t>SKU Status</t>
  </si>
  <si>
    <t>Final Cost (FROM COST REVIEW)</t>
  </si>
  <si>
    <t>Final Retail (FROM COST REVIEW)</t>
  </si>
  <si>
    <t>Barcode</t>
  </si>
  <si>
    <t>Image URL (EDIT IF MISSING)</t>
  </si>
  <si>
    <t>Source Stock</t>
  </si>
  <si>
    <t>POS Starting Stock</t>
  </si>
  <si>
    <t>Ready Status</t>
  </si>
  <si>
    <t>Notes</t>
  </si>
  <si>
    <t>IMPORT</t>
  </si>
  <si>
    <t>9.3 Computer &amp; Console Products &gt; Computer Cables</t>
  </si>
  <si>
    <t>Source SKU retained</t>
  </si>
  <si>
    <t>https://dghyt15qon7us.cloudfront.net/images/productTheme/Inventory/small/0.05094600%201785483619.jpg</t>
  </si>
  <si>
    <t>https://dghyt15qon7us.cloudfront.net/images/productTheme/Inventory/small/0.24683300%201785483496.jpg</t>
  </si>
  <si>
    <t>https://dghyt15qon7us.cloudfront.net/images/productTheme/Inventory/small/0.34317600%201785483333.jpg</t>
  </si>
  <si>
    <t>https://dghyt15qon7us.cloudfront.net/images/productTheme/Inventory/small/0.66873200%201785483223.jpg</t>
  </si>
  <si>
    <t>https://dghyt15qon7us.cloudfront.net/images/productTheme/Inventory/small/0.93990500%201785483040.jpg</t>
  </si>
  <si>
    <t>9.3 Computer &amp; Console Products &gt; PC Parts</t>
  </si>
  <si>
    <t>https://dghyt15qon7us.cloudfront.net/images/productTheme/Inventory/small/0.14717300%201773360672.jpg</t>
  </si>
  <si>
    <t>9.3 Computer &amp; Console Products &gt; Keyboard</t>
  </si>
  <si>
    <t>https://dghyt15qon7us.cloudfront.net/images/productTheme/Inventory/small/0.64146100%201773300869.jpg</t>
  </si>
  <si>
    <t>9.3 Computer &amp; Console Products &gt; Computer Hub</t>
  </si>
  <si>
    <t>https://dghyt15qon7us.cloudfront.net/images/productTheme/Inventory/small/0.69872200%201773300016.jpg</t>
  </si>
  <si>
    <t>9.3 Computer &amp; Console Products &gt; Wire Speaker</t>
  </si>
  <si>
    <t>https://dghyt15qon7us.cloudfront.net/images/productTheme/Inventory/small/0.99831400%201773298640.jpg</t>
  </si>
  <si>
    <t>9.3 Computer &amp; Console Products &gt; USB</t>
  </si>
  <si>
    <t>https://dghyt15qon7us.cloudfront.net/images/productTheme/Inventory/small/0.12562300%201765082161.jpg</t>
  </si>
  <si>
    <t>https://dghyt15qon7us.cloudfront.net/images/productTheme/Inventory/small/0.03032500%201765081548.jpg</t>
  </si>
  <si>
    <t>https://dghyt15qon7us.cloudfront.net/images/productTheme/Inventory/small/0.73051800%20176508208542461984.jpg</t>
  </si>
  <si>
    <t>https://dghyt15qon7us.cloudfront.net/images/productTheme/Inventory/small/0.91176200%201760919383.jpg</t>
  </si>
  <si>
    <t>9.3 Computer &amp; Console Products &gt; CPU Cooling &amp; Fans</t>
  </si>
  <si>
    <t>https://dghyt15qon7us.cloudfront.net/images/productTheme/Inventory/small/0.70360500%201759476036.jpg</t>
  </si>
  <si>
    <t>9.3 Computer &amp; Console Products &gt; Monitor mounts, arms &amp; stands</t>
  </si>
  <si>
    <t>https://dghyt15qon7us.cloudfront.net/images/productTheme/Inventory/small/0.52112800%201759474740.jpg</t>
  </si>
  <si>
    <t>9.3 Computer &amp; Console Products &gt; Headset</t>
  </si>
  <si>
    <t>https://dghyt15qon7us.cloudfront.net/images/productTheme/Inventory/small/0.34263400%201759037664.jpg</t>
  </si>
  <si>
    <t>https://dghyt15qon7us.cloudfront.net/images/productTheme/Inventory/small/0.97641600%201759037103.jpg</t>
  </si>
  <si>
    <t>9.3 Computer &amp; Console Products &gt; Mouse</t>
  </si>
  <si>
    <t>https://dghyt15qon7us.cloudfront.net/images/productTheme/Inventory/small/0.00543400%201759036781.jpg</t>
  </si>
  <si>
    <t>https://dghyt15qon7us.cloudfront.net/images/productTheme/Inventory/small/0.08777700%201759035577.jpg</t>
  </si>
  <si>
    <t>https://dghyt15qon7us.cloudfront.net/images/productTheme/Inventory/small/0.23294600%201759034927.jpg</t>
  </si>
  <si>
    <t>https://dghyt15qon7us.cloudfront.net/images/productTheme/Inventory/small/0.21763400%201759034733.jpg</t>
  </si>
  <si>
    <t>https://dghyt15qon7us.cloudfront.net/images/productTheme/Inventory/small/0.55992100%201759033874.jpg</t>
  </si>
  <si>
    <t>https://dghyt15qon7us.cloudfront.net/images/productTheme/Inventory/small/0.63483000%201759033390.jpg</t>
  </si>
  <si>
    <t>https://dghyt15qon7us.cloudfront.net/images/productTheme/Inventory/small/0.74820100%201759032834.jpg</t>
  </si>
  <si>
    <t>https://dghyt15qon7us.cloudfront.net/images/productTheme/Inventory/small/0.09633800%201759032225.jpg</t>
  </si>
  <si>
    <t>https://dghyt15qon7us.cloudfront.net/images/productTheme/Inventory/small/0.57203400%201759031297.jpg</t>
  </si>
  <si>
    <t>9.3 Computer &amp; Console Products &gt; Cases (Atx,M-atx,micro-atx)</t>
  </si>
  <si>
    <t>https://dghyt15qon7us.cloudfront.net/images/productTheme/Inventory/small/0.58427000%201758674735.jpg</t>
  </si>
  <si>
    <t>https://dghyt15qon7us.cloudfront.net/images/productTheme/Inventory/small/0.85267300%201758674573.jpg</t>
  </si>
  <si>
    <t>9.3 Computer &amp; Console Products &gt; Consoles &amp; Accessories</t>
  </si>
  <si>
    <t>https://dghyt15qon7us.cloudfront.net/images/productTheme/Inventory/small/17541024902025080212.41.24.jpg</t>
  </si>
  <si>
    <t>https://dghyt15qon7us.cloudfront.net/images/productTheme/Inventory/small/17541016122025080212.26.47.jpg</t>
  </si>
  <si>
    <t>9.3 Computer &amp; Console Products &gt; Power Supplies</t>
  </si>
  <si>
    <t>https://dghyt15qon7us.cloudfront.net/images/productTheme/Inventory/small/1753424519pkyber850w2000x2000wh.jpg</t>
  </si>
  <si>
    <t>9.3 Computer &amp; Console Products &gt; Webcams</t>
  </si>
  <si>
    <t>https://dghyt15qon7us.cloudfront.net/images/productTheme/Inventory/small/0.67945000%201752131204.jpg</t>
  </si>
  <si>
    <t>https://dghyt15qon7us.cloudfront.net/images/productTheme/Inventory/small/0.37649900%201748054120.jpg</t>
  </si>
  <si>
    <t>Generated: duplicate source SKU</t>
  </si>
  <si>
    <t>https://dghyt15qon7us.cloudfront.net/images/productTheme/Inventory/small/0.66585400%201748053791.jpg</t>
  </si>
  <si>
    <t>https://dghyt15qon7us.cloudfront.net/images/productTheme/Inventory/small/0.70327700%201748053669.jpg</t>
  </si>
  <si>
    <t>https://dghyt15qon7us.cloudfront.net/images/productTheme/Inventory/small/0.72856600%201748052040.jpg</t>
  </si>
  <si>
    <t>https://dghyt15qon7us.cloudfront.net/images/productTheme/Inventory/small/0.98140200%201746325210.jpg</t>
  </si>
  <si>
    <t>9.3 Computer &amp; Console Products &gt; Keyboard Accessories</t>
  </si>
  <si>
    <t>Generated: source SKU missing/invalid</t>
  </si>
  <si>
    <t>https://dghyt15qon7us.cloudfront.net/images/productTheme/Inventory/small/0.68000200%201746324266.jpg</t>
  </si>
  <si>
    <t>https://dghyt15qon7us.cloudfront.net/images/productTheme/Inventory/small/0.43776600%201746323570.jpg</t>
  </si>
  <si>
    <t>https://dghyt15qon7us.cloudfront.net/images/productTheme/Inventory/small/0.70227900%201746323356.jpg</t>
  </si>
  <si>
    <t>https://dghyt15qon7us.cloudfront.net/images/productTheme/Inventory/small/0.34323500%201746323062.jpg</t>
  </si>
  <si>
    <t>https://dghyt15qon7us.cloudfront.net/images/productTheme/Inventory/small/0.08964000%201746321145.jpg</t>
  </si>
  <si>
    <t>9.3 Computer &amp; Console Products &gt; Racing Simulator</t>
  </si>
  <si>
    <t>https://dghyt15qon7us.cloudfront.net/images/productTheme/Inventory/small/0.56386300%201746320398.jpg</t>
  </si>
  <si>
    <t>https://dghyt15qon7us.cloudfront.net/images/productTheme/Inventory/small/0.43951400%201746319951.jpg</t>
  </si>
  <si>
    <t>https://dghyt15qon7us.cloudfront.net/images/productTheme/Inventory/small/0.22433500%201746319368.jpg</t>
  </si>
  <si>
    <t>https://dghyt15qon7us.cloudfront.net/images/productTheme/Inventory/small/0.45497100%201746245055.jpg</t>
  </si>
  <si>
    <t>https://dghyt15qon7us.cloudfront.net/images/productTheme/Inventory/small/0.27328400%201746233389.jpg</t>
  </si>
  <si>
    <t>https://dghyt15qon7us.cloudfront.net/images/productTheme/Inventory/small/0.31117500%201746233178.jpg</t>
  </si>
  <si>
    <t>https://dghyt15qon7us.cloudfront.net/images/productTheme/Inventory/small/0.58198900%201746232883.jpg</t>
  </si>
  <si>
    <t>https://dghyt15qon7us.cloudfront.net/images/productTheme/Inventory/small/0.11721400%201745646848.jpg</t>
  </si>
  <si>
    <t>https://dghyt15qon7us.cloudfront.net/images/productTheme/Inventory/small/0.86286500%201742696393.jpg</t>
  </si>
  <si>
    <t>9.3 Computer &amp; Console Products &gt; GPU Holder</t>
  </si>
  <si>
    <t>https://dghyt15qon7us.cloudfront.net/images/productTheme/Inventory/small/0.93273400%201742696176.jpg</t>
  </si>
  <si>
    <t>https://dghyt15qon7us.cloudfront.net/images/productTheme/Inventory/small/0.36837500%201742696122.jpg</t>
  </si>
  <si>
    <t>https://dghyt15qon7us.cloudfront.net/images/productTheme/Inventory/small/0.70784800%20174269607742461277.jpg</t>
  </si>
  <si>
    <t>https://dghyt15qon7us.cloudfront.net/images/productTheme/Inventory/small/0.95426900%201742695547.jpg</t>
  </si>
  <si>
    <t>https://dghyt15qon7us.cloudfront.net/images/productTheme/Inventory/small/0.23384000%201742532327.jpg</t>
  </si>
  <si>
    <t>https://dghyt15qon7us.cloudfront.net/images/productTheme/Inventory/small/0.77696000%201742532032.jpg</t>
  </si>
  <si>
    <t>https://dghyt15qon7us.cloudfront.net/images/productTheme/Inventory/small/0.32266100%201742531719.jpg</t>
  </si>
  <si>
    <t>https://dghyt15qon7us.cloudfront.net/images/productTheme/Inventory/small/0.48589100%201742531548.jpg</t>
  </si>
  <si>
    <t>https://dghyt15qon7us.cloudfront.net/images/productTheme/Inventory/small/0.39140400%201742531322.jpg</t>
  </si>
  <si>
    <t>https://dghyt15qon7us.cloudfront.net/images/productTheme/Inventory/small/0.42156100%201742531116.jpg</t>
  </si>
  <si>
    <t>https://dghyt15qon7us.cloudfront.net/images/productTheme/Inventory/small/0.89896500%201742530923.jpg</t>
  </si>
  <si>
    <t>https://dghyt15qon7us.cloudfront.net/images/productTheme/Inventory/small/1753419367sl400.jpg</t>
  </si>
  <si>
    <t>https://dghyt15qon7us.cloudfront.net/images/productTheme/Inventory/small/0.65324700%201740371970.jpg</t>
  </si>
  <si>
    <t>https://dghyt15qon7us.cloudfront.net/images/productTheme/Inventory/small/0.95332200%201740369664.jpg</t>
  </si>
  <si>
    <t>9.3 Computer &amp; Console Products &gt; Wireless Adapter</t>
  </si>
  <si>
    <t>https://dghyt15qon7us.cloudfront.net/images/productTheme/Inventory/small/0.04175500%201740368317.jpg</t>
  </si>
  <si>
    <t>https://dghyt15qon7us.cloudfront.net/images/productTheme/Inventory/small/0.97447500%201740368176.jpg</t>
  </si>
  <si>
    <t>https://dghyt15qon7us.cloudfront.net/images/productTheme/Inventory/small/0.03977900%20173948911642461199.jpg</t>
  </si>
  <si>
    <t>https://dghyt15qon7us.cloudfront.net/images/productTheme/Inventory/small/0.74466700%20173872187542461186.jpg</t>
  </si>
  <si>
    <t>10069</t>
  </si>
  <si>
    <t>KEEP EXISTING</t>
  </si>
  <si>
    <t>DualSense Wireless Controller - Sterling Silver - PlayStation 5</t>
  </si>
  <si>
    <t>TM8-PS5-DS-STERLING-SILVER</t>
  </si>
  <si>
    <t>DualSense Wireless Controller – Sterling Silver - PlayStation 5</t>
  </si>
  <si>
    <t>Existing POS SKU retained</t>
  </si>
  <si>
    <t>https://dghyt15qon7us.cloudfront.net/images/productTheme/Inventory/small/0.22737400%201737699975.jpg</t>
  </si>
  <si>
    <t>Exact-name product already exists in POS; do not import a duplicate.</t>
  </si>
  <si>
    <t>10068</t>
  </si>
  <si>
    <t>DualSense Wireless Controller - Cosmic Red - PlayStation 5</t>
  </si>
  <si>
    <t>TM8-PS5-DS-COSMIC-RED</t>
  </si>
  <si>
    <t>https://dghyt15qon7us.cloudfront.net/images/productTheme/Inventory/small/0.52029000%201737699948.jpg</t>
  </si>
  <si>
    <t>10067</t>
  </si>
  <si>
    <t>DualSense Wireless Controller - Gray Camouflage</t>
  </si>
  <si>
    <t>TM8-PS5-DS-GRAY-CAMO</t>
  </si>
  <si>
    <t>DualSense Wireless Controller – Gray Camouflage</t>
  </si>
  <si>
    <t>https://dghyt15qon7us.cloudfront.net/images/productTheme/Inventory/small/0.40714800%201737699921.jpg</t>
  </si>
  <si>
    <t>Exact-name product already exists in POS; do not import a duplicate. Source stock 1 is reference only; POS starts at 0.</t>
  </si>
  <si>
    <t>10066</t>
  </si>
  <si>
    <t>DualSense Wireless Controller - PlayStation 5 - Black</t>
  </si>
  <si>
    <t>TM8-PS5-DS-BLACK</t>
  </si>
  <si>
    <t>https://dghyt15qon7us.cloudfront.net/images/productTheme/Inventory/small/0.14807600%201737699886.jpg</t>
  </si>
  <si>
    <t>10065</t>
  </si>
  <si>
    <t>DualSense Wireless Controller - PlayStation 5 - White</t>
  </si>
  <si>
    <t>TM8-PS5-DS-WHITE</t>
  </si>
  <si>
    <t>https://dghyt15qon7us.cloudfront.net/images/productTheme/Inventory/small/0.58488600%20173770003542461141.jpg</t>
  </si>
  <si>
    <t>https://dghyt15qon7us.cloudfront.net/images/productTheme/Inventory/small/0.88112900%201734063901.jpg</t>
  </si>
  <si>
    <t>https://dghyt15qon7us.cloudfront.net/images/productTheme/Inventory/small/0.11315300%201734063772.jpg</t>
  </si>
  <si>
    <t>https://dghyt15qon7us.cloudfront.net/images/productTheme/Inventory/small/0.32930800%20173362269542460045.jpg</t>
  </si>
  <si>
    <t>https://dghyt15qon7us.cloudfront.net/images/productTheme/Inventory/small/0.17532200%20173362257942460042.jpg</t>
  </si>
  <si>
    <t>https://dghyt15qon7us.cloudfront.net/images/productTheme/Inventory/small/0.50636500%201733622237.jpg</t>
  </si>
  <si>
    <t>https://dghyt15qon7us.cloudfront.net/images/productTheme/Inventory/small/0.47513000%20173362220642460036.jpg</t>
  </si>
  <si>
    <t>https://dghyt15qon7us.cloudfront.net/images/productTheme/Inventory/small/0.27053200%20173362215842460033.jpg</t>
  </si>
  <si>
    <t>https://dghyt15qon7us.cloudfront.net/images/productTheme/Inventory/small/0.30213000%20173362201342460030.jpg</t>
  </si>
  <si>
    <t>https://dghyt15qon7us.cloudfront.net/images/productTheme/Inventory/small/0.16253800%20173362197042460027.jpg</t>
  </si>
  <si>
    <t>https://dghyt15qon7us.cloudfront.net/images/productTheme/Inventory/small/0.56990000%20173362192642460024.jpg</t>
  </si>
  <si>
    <t>https://dghyt15qon7us.cloudfront.net/images/productTheme/Inventory/small/0.84192900%20173406365842460012.jpg</t>
  </si>
  <si>
    <t>https://dghyt15qon7us.cloudfront.net/images/productTheme/Inventory/small/0.28127600%20173362056842460006.jpg</t>
  </si>
  <si>
    <t>https://dghyt15qon7us.cloudfront.net/images/productTheme/Inventory/small/0.35266600%20173362049042460003.jpg</t>
  </si>
  <si>
    <t>https://dghyt15qon7us.cloudfront.net/images/productTheme/Inventory/small/0.48311700%20173362047342460000.jpg</t>
  </si>
  <si>
    <t>https://dghyt15qon7us.cloudfront.net/images/productTheme/Inventory/small/0.40096900%20173362045642459997.jpg</t>
  </si>
  <si>
    <t>https://dghyt15qon7us.cloudfront.net/images/productTheme/Inventory/small/0.43376900%20173362013642459982.jpg</t>
  </si>
  <si>
    <t>https://dghyt15qon7us.cloudfront.net/images/productTheme/Inventory/small/0.10504800%201727412231.jpg</t>
  </si>
  <si>
    <t>https://dghyt15qon7us.cloudfront.net/images/productTheme/Inventory/small/0.48604000%201727412160.jpg</t>
  </si>
  <si>
    <t>https://dghyt15qon7us.cloudfront.net/images/productTheme/Inventory/small/0.34508600%201727412071.jpg</t>
  </si>
  <si>
    <t>https://dghyt15qon7us.cloudfront.net/images/productTheme/Inventory/small/0.05148700%201727411992.jpg</t>
  </si>
  <si>
    <t>9.3 Computer &amp; Console Products &gt; Office combo</t>
  </si>
  <si>
    <t>https://dghyt15qon7us.cloudfront.net/images/productTheme/Inventory/small/0.74837200%201727411801.jpg</t>
  </si>
  <si>
    <t>https://dghyt15qon7us.cloudfront.net/images/productTheme/Inventory/small/0.85124500%201727411627.jpg</t>
  </si>
  <si>
    <t>https://dghyt15qon7us.cloudfront.net/images/productTheme/Inventory/small/0.68200900%20172741144442459145.jpg</t>
  </si>
  <si>
    <t>https://dghyt15qon7us.cloudfront.net/images/productTheme/Inventory/small/0.00750000%20172741142342459142.jpg</t>
  </si>
  <si>
    <t>https://dghyt15qon7us.cloudfront.net/images/productTheme/Inventory/small/0.52518600%20172741145742459139.jpg</t>
  </si>
  <si>
    <t>https://dghyt15qon7us.cloudfront.net/images/productTheme/Inventory/small/0.77282500%20172741146542459136.jpg</t>
  </si>
  <si>
    <t>https://dghyt15qon7us.cloudfront.net/images/productTheme/Inventory/small/0.22143400%201721954752.jpg</t>
  </si>
  <si>
    <t>https://dghyt15qon7us.cloudfront.net/images/productTheme/Inventory/small/0.11447100%201721954685.jpg</t>
  </si>
  <si>
    <t>https://dghyt15qon7us.cloudfront.net/images/productTheme/Inventory/small/0.44267800%201721954494.jpg</t>
  </si>
  <si>
    <t>https://dghyt15qon7us.cloudfront.net/images/productTheme/Inventory/small/0.90283800%201720145186.jpg</t>
  </si>
  <si>
    <t>https://dghyt15qon7us.cloudfront.net/images/productTheme/Inventory/small/0.43833900%20172946837042458900.jpg</t>
  </si>
  <si>
    <t>https://dghyt15qon7us.cloudfront.net/images/productTheme/Inventory/small/0.14034700%201718852925.jpg</t>
  </si>
  <si>
    <t>https://dghyt15qon7us.cloudfront.net/images/productTheme/Inventory/small/0.77391600%20171885300142458886.jpg</t>
  </si>
  <si>
    <t>https://dghyt15qon7us.cloudfront.net/images/productTheme/Inventory/small/0.87942300%201718852322.jpg</t>
  </si>
  <si>
    <t>https://dghyt15qon7us.cloudfront.net/images/productTheme/Inventory/small/0.68186800%201707008148.jpg</t>
  </si>
  <si>
    <t>https://dghyt15qon7us.cloudfront.net/images/productTheme/Inventory/small/0.88971700%201707007731.jpg</t>
  </si>
  <si>
    <t>https://dghyt15qon7us.cloudfront.net/images/productTheme/Inventory/small/1700792409.jpg</t>
  </si>
  <si>
    <t>https://dghyt15qon7us.cloudfront.net/images/productTheme/Inventory/small/1697440384.jpg</t>
  </si>
  <si>
    <t>https://dghyt15qon7us.cloudfront.net/images/productTheme/Inventory/small/1697428076.jpg</t>
  </si>
  <si>
    <t>https://dghyt15qon7us.cloudfront.net/images/productTheme/Inventory/small/1692493032.jpg</t>
  </si>
  <si>
    <t>https://dghyt15qon7us.cloudfront.net/images/productTheme/Inventory/small/1692176112.jpg</t>
  </si>
  <si>
    <t>9.3 Computer &amp; Console Products &gt; Microphones</t>
  </si>
  <si>
    <t>https://dghyt15qon7us.cloudfront.net/images/productTheme/Inventory/small/1691121181.jpg</t>
  </si>
  <si>
    <t>https://dghyt15qon7us.cloudfront.net/images/productTheme/Inventory/small/1688703238.jpg</t>
  </si>
  <si>
    <t>https://dghyt15qon7us.cloudfront.net/images/productTheme/Inventory/small/1686629441.jpg</t>
  </si>
  <si>
    <t>9.3 Computer &amp; Console Products &gt; SD Card</t>
  </si>
  <si>
    <t>https://dghyt15qon7us.cloudfront.net/images/productTheme/Inventory/small/167546697242457532.jpg</t>
  </si>
  <si>
    <t>https://dghyt15qon7us.cloudfront.net/images/productTheme/Inventory/small/167546700342457531.jpg</t>
  </si>
  <si>
    <t>https://dghyt15qon7us.cloudfront.net/images/productTheme/Inventory/small/167546706342457530.jpg</t>
  </si>
  <si>
    <t>https://dghyt15qon7us.cloudfront.net/images/productTheme/Inventory/small/167546709442457529.jpg</t>
  </si>
  <si>
    <t>https://dghyt15qon7us.cloudfront.net/images/productTheme/Inventory/small/1673417554.jpg</t>
  </si>
  <si>
    <t>https://dghyt15qon7us.cloudfront.net/images/productTheme/Inventory/small/1669875852.jpg</t>
  </si>
  <si>
    <t>https://dghyt15qon7us.cloudfront.net/images/productTheme/Inventory/small/1669875589.jpg</t>
  </si>
  <si>
    <t>https://dghyt15qon7us.cloudfront.net/images/productTheme/Inventory/small/1659163269.jpg</t>
  </si>
  <si>
    <t>https://dghyt15qon7us.cloudfront.net/images/productTheme/Inventory/small/165922417142456559.jpg</t>
  </si>
  <si>
    <t>https://dghyt15qon7us.cloudfront.net/images/productTheme/Inventory/small/167581228142456558.jpg</t>
  </si>
  <si>
    <t>https://dghyt15qon7us.cloudfront.net/images/productTheme/Inventory/small/1659162799.jpg</t>
  </si>
  <si>
    <t>https://dghyt15qon7us.cloudfront.net/images/productTheme/Inventory/small/165916219342456523.jpg</t>
  </si>
  <si>
    <t>https://dghyt15qon7us.cloudfront.net/images/productTheme/Inventory/small/1658393796.jpg</t>
  </si>
  <si>
    <t>https://dghyt15qon7us.cloudfront.net/images/productTheme/Inventory/small/1651974596.jpg</t>
  </si>
  <si>
    <t>https://dghyt15qon7us.cloudfront.net/images/productTheme/Inventory/small/1651798797.jpg</t>
  </si>
  <si>
    <t>https://dghyt15qon7us.cloudfront.net/images/productTheme/Inventory/small/1651798740.jpg</t>
  </si>
  <si>
    <t>https://dghyt15qon7us.cloudfront.net/images/productTheme/Inventory/small/1651798417.jpg</t>
  </si>
  <si>
    <t>https://dghyt15qon7us.cloudfront.net/images/productTheme/Inventory/small/1651798294.jpg</t>
  </si>
  <si>
    <t>https://dghyt15qon7us.cloudfront.net/images/productTheme/Inventory/small/1651798192.jpg</t>
  </si>
  <si>
    <t>https://dghyt15qon7us.cloudfront.net/images/productTheme/Inventory/small/1651798057.jpg</t>
  </si>
  <si>
    <t>https://dghyt15qon7us.cloudfront.net/images/productTheme/Inventory/small/1651797869.jpg</t>
  </si>
  <si>
    <t>https://dghyt15qon7us.cloudfront.net/images/productTheme/Inventory/small/1651797845.jpg</t>
  </si>
  <si>
    <t>https://dghyt15qon7us.cloudfront.net/images/productTheme/Inventory/small/1651797778.jpg</t>
  </si>
  <si>
    <t>https://dghyt15qon7us.cloudfront.net/images/productTheme/Inventory/small/165179793442456314.jpg</t>
  </si>
  <si>
    <t>https://dghyt15qon7us.cloudfront.net/images/productTheme/Inventory/small/168816823242456313.jpg</t>
  </si>
  <si>
    <t>https://dghyt15qon7us.cloudfront.net/images/productTheme/Inventory/small/168816832542456312.jpg</t>
  </si>
  <si>
    <t>https://dghyt15qon7us.cloudfront.net/images/productTheme/Inventory/small/168816840742456311.jpg</t>
  </si>
  <si>
    <t>https://dghyt15qon7us.cloudfront.net/images/productTheme/Inventory/small/165069185342456310.jpg</t>
  </si>
  <si>
    <t>https://dghyt15qon7us.cloudfront.net/images/productTheme/Inventory/small/165069187842456309.jpg</t>
  </si>
  <si>
    <t>https://dghyt15qon7us.cloudfront.net/images/productTheme/Inventory/small/165069191242456308.jpg</t>
  </si>
  <si>
    <t>https://dghyt15qon7us.cloudfront.net/images/productTheme/Inventory/small/165069193742456307.jpg</t>
  </si>
  <si>
    <t>https://dghyt15qon7us.cloudfront.net/images/productTheme/Inventory/small/165069196242456306.jpg</t>
  </si>
  <si>
    <t>https://dghyt15qon7us.cloudfront.net/images/productTheme/Inventory/small/165069197942456305.jpg</t>
  </si>
  <si>
    <t>https://dghyt15qon7us.cloudfront.net/images/productTheme/Inventory/small/165069199642456304.jpg</t>
  </si>
  <si>
    <t>https://dghyt15qon7us.cloudfront.net/images/productTheme/Inventory/small/165069202242456303.jpg</t>
  </si>
  <si>
    <t>https://dghyt15qon7us.cloudfront.net/images/productTheme/Inventory/small/165076112842456302.jpg</t>
  </si>
  <si>
    <t>https://dghyt15qon7us.cloudfront.net/images/productTheme/Inventory/small/165076120442456301.jpg</t>
  </si>
  <si>
    <t>https://dghyt15qon7us.cloudfront.net/images/productTheme/Inventory/small/165076122042456300.jpg</t>
  </si>
  <si>
    <t>https://dghyt15qon7us.cloudfront.net/images/productTheme/Inventory/small/165076123742456299.jpg</t>
  </si>
  <si>
    <t>https://dghyt15qon7us.cloudfront.net/images/productTheme/Inventory/small/165076104242456298.jpg</t>
  </si>
  <si>
    <t>https://dghyt15qon7us.cloudfront.net/images/productTheme/Inventory/small/165069158542456297.jpg</t>
  </si>
  <si>
    <t>https://dghyt15qon7us.cloudfront.net/images/productTheme/Inventory/small/165069153142456296.jpg</t>
  </si>
  <si>
    <t>https://dghyt15qon7us.cloudfront.net/images/productTheme/Inventory/small/165069156042456295.jpg</t>
  </si>
  <si>
    <t>https://dghyt15qon7us.cloudfront.net/images/productTheme/Inventory/small/0.60714400%20174053265042456207.jpg</t>
  </si>
  <si>
    <t>https://dghyt15qon7us.cloudfront.net/images/productTheme/Inventory/small/1645157472.jpg</t>
  </si>
  <si>
    <t>https://dghyt15qon7us.cloudfront.net/images/productTheme/Inventory/small/1645156844.jpg</t>
  </si>
  <si>
    <t>https://dghyt15qon7us.cloudfront.net/images/productTheme/Inventory/small/1645156615.jpg</t>
  </si>
  <si>
    <t>https://dghyt15qon7us.cloudfront.net/images/productTheme/Inventory/small/1645156217.jpg</t>
  </si>
  <si>
    <t>https://dghyt15qon7us.cloudfront.net/images/productTheme/Inventory/small/1645156065.jpg</t>
  </si>
  <si>
    <t>https://dghyt15qon7us.cloudfront.net/images/productTheme/Inventory/small/1645155879.jpg</t>
  </si>
  <si>
    <t>https://dghyt15qon7us.cloudfront.net/images/productTheme/Inventory/small/1645155670.jpg</t>
  </si>
  <si>
    <t>https://dghyt15qon7us.cloudfront.net/images/productTheme/Inventory/small/164515546542455920.jpg</t>
  </si>
  <si>
    <t>9.3 Computer &amp; Console Products &gt; Laptop Bag</t>
  </si>
  <si>
    <t>https://dghyt15qon7us.cloudfront.net/images/productTheme/Inventory/small/1642227797.jpg</t>
  </si>
  <si>
    <t>https://dghyt15qon7us.cloudfront.net/images/productTheme/Inventory/small/1642227768.jpg</t>
  </si>
  <si>
    <t>https://dghyt15qon7us.cloudfront.net/images/productTheme/Inventory/small/1642227735.jpg</t>
  </si>
  <si>
    <t>https://dghyt15qon7us.cloudfront.net/images/productTheme/Inventory/small/1642227703.jpg</t>
  </si>
  <si>
    <t>https://dghyt15qon7us.cloudfront.net/images/productTheme/Inventory/small/1642227659.jpg</t>
  </si>
  <si>
    <t>https://dghyt15qon7us.cloudfront.net/images/productTheme/Inventory/small/1642227609.jpg</t>
  </si>
  <si>
    <t>https://dghyt15qon7us.cloudfront.net/images/productTheme/Inventory/small/1642140297.jpg</t>
  </si>
  <si>
    <t>https://dghyt15qon7us.cloudfront.net/images/productTheme/Inventory/small/1642140090.jpg</t>
  </si>
  <si>
    <t>Product Review Row</t>
  </si>
  <si>
    <t>Missing Image Status</t>
  </si>
  <si>
    <t>Where To Enter</t>
  </si>
  <si>
    <t>MISSING</t>
  </si>
  <si>
    <t>Paste the image URL into Product Review!U33</t>
  </si>
  <si>
    <t>Paste the image URL into Product Review!U77</t>
  </si>
  <si>
    <t>Paste the image URL into Product Review!U78</t>
  </si>
  <si>
    <t>Paste the image URL into Product Review!U79</t>
  </si>
  <si>
    <t>Paste the image URL into Product Review!U80</t>
  </si>
  <si>
    <t>Source Category / Rule</t>
  </si>
  <si>
    <t>Reason</t>
  </si>
  <si>
    <t>Source Count</t>
  </si>
  <si>
    <t>Computer Cables: AUX/audio</t>
  </si>
  <si>
    <t>Classify by cable function, not computer ownership.</t>
  </si>
  <si>
    <t>Rule-based</t>
  </si>
  <si>
    <t>Computer Cables: network/patch</t>
  </si>
  <si>
    <t>Keeps Ethernet and patch cables together.</t>
  </si>
  <si>
    <t>Computer Cables: remaining</t>
  </si>
  <si>
    <t>HDMI, DP, DVI, VGA, printer and computer power cables.</t>
  </si>
  <si>
    <t>PC Parts / CPU Cooling &amp; Fans / Cases (Atx,M-atx,micro-atx) / Power Supplies / GPU Holder</t>
  </si>
  <si>
    <t>Internal PC components and supporting hardware.</t>
  </si>
  <si>
    <t>Keyboard / Mouse / Keyboard Accessories / Office combo / Webcams</t>
  </si>
  <si>
    <t>Fast POS browsing for desk peripherals.</t>
  </si>
  <si>
    <t>Computer Hub</t>
  </si>
  <si>
    <t>USB and display expansion products.</t>
  </si>
  <si>
    <t>Wireless Adapter</t>
  </si>
  <si>
    <t>Wi-Fi and Bluetooth network adapters.</t>
  </si>
  <si>
    <t>USB / SD Card</t>
  </si>
  <si>
    <t>Portable flash and memory storage.</t>
  </si>
  <si>
    <t>Adapter/reader function takes priority over storage media.</t>
  </si>
  <si>
    <t>Consoles &amp; Accessories</t>
  </si>
  <si>
    <t>Console controllers, docks and console accessories.</t>
  </si>
  <si>
    <t>Racing Simulator</t>
  </si>
  <si>
    <t>Racing wheels, pedals, shifters and simulator accessories.</t>
  </si>
  <si>
    <t>Laptop Bag</t>
  </si>
  <si>
    <t>New second-level POS category for laptop carry products.</t>
  </si>
  <si>
    <t>Headset</t>
  </si>
  <si>
    <t>Headsets / Headphones</t>
  </si>
  <si>
    <t>Gaming headsets stay under Audio; headphone-only items remain Headphones.</t>
  </si>
  <si>
    <t>Wire Speaker / Microphones</t>
  </si>
  <si>
    <t>Speakers / Microphones</t>
  </si>
  <si>
    <t>Classify by audio product function.</t>
  </si>
  <si>
    <t>Monitor mounts, arms &amp; stands</t>
  </si>
  <si>
    <t>Display support hardware belongs with mounting products.</t>
  </si>
  <si>
    <t>MOZA Performance Kit for SR-P Lite</t>
    <phoneticPr fontId="9" type="noConversion"/>
  </si>
  <si>
    <t xml:space="preserve"> Keycaps Set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</si>
</sst>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$#,##0.00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5C4700"/>
      <name val="Carlito"/>
    </font>
    <font>
      <b/>
      <sz val="11"/>
      <color rgb="FF204B7A"/>
      <name val="Carlito"/>
    </font>
    <font>
      <b/>
      <sz val="11"/>
      <color rgb="FF075E54"/>
      <name val="Carlito"/>
    </font>
    <font>
      <sz val="11"/>
      <color rgb="FF31434A"/>
      <name val="Carlito"/>
    </font>
    <font>
      <b/>
      <sz val="11"/>
      <color rgb="FF9C2F22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087F6B"/>
      </patternFill>
    </fill>
    <fill>
      <patternFill patternType="solid">
        <fgColor rgb="FFFFF1B8"/>
      </patternFill>
    </fill>
    <fill>
      <patternFill patternType="solid">
        <fgColor rgb="FFEAF2FF"/>
      </patternFill>
    </fill>
    <fill>
      <patternFill patternType="solid">
        <fgColor rgb="FFDFF4EF"/>
      </patternFill>
    </fill>
    <fill>
      <patternFill patternType="solid">
        <fgColor rgb="FFF7FAFA"/>
      </patternFill>
    </fill>
    <fill>
      <patternFill patternType="solid">
        <fgColor rgb="FFFDE7E3"/>
      </patternFill>
    </fill>
    <fill>
      <patternFill patternType="solid">
        <fgColor rgb="FFFFF8D8"/>
      </patternFill>
    </fill>
    <fill>
      <patternFill patternType="solid">
        <fgColor rgb="FF9C2F22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4">
    <xf numFmtId="0" fontId="0" fillId="0" borderId="0" xfId="0"/>
    <xf numFmtId="0" fontId="2" fillId="3" borderId="0" xfId="1" applyFont="1" applyFill="1"/>
    <xf numFmtId="0" fontId="4" fillId="5" borderId="0" xfId="1" applyFont="1" applyFill="1"/>
    <xf numFmtId="1" fontId="0" fillId="0" borderId="0" xfId="1" applyNumberFormat="1" applyFont="1"/>
    <xf numFmtId="0" fontId="6" fillId="7" borderId="0" xfId="1" applyFont="1" applyFill="1" applyAlignment="1">
      <alignment wrapText="1"/>
    </xf>
    <xf numFmtId="0" fontId="7" fillId="2" borderId="0" xfId="1" applyFont="1" applyFill="1" applyAlignment="1">
      <alignment wrapText="1"/>
    </xf>
    <xf numFmtId="0" fontId="0" fillId="0" borderId="0" xfId="1" applyFont="1" applyAlignment="1">
      <alignment wrapText="1"/>
    </xf>
    <xf numFmtId="176" fontId="2" fillId="3" borderId="0" xfId="1" applyNumberFormat="1" applyFont="1" applyFill="1" applyAlignment="1">
      <alignment wrapText="1"/>
    </xf>
    <xf numFmtId="176" fontId="0" fillId="0" borderId="0" xfId="1" applyNumberFormat="1" applyFont="1" applyAlignment="1">
      <alignment wrapText="1"/>
    </xf>
    <xf numFmtId="1" fontId="0" fillId="0" borderId="0" xfId="1" applyNumberFormat="1" applyFont="1" applyAlignment="1">
      <alignment wrapText="1"/>
    </xf>
    <xf numFmtId="0" fontId="0" fillId="8" borderId="0" xfId="1" applyFont="1" applyFill="1" applyAlignment="1">
      <alignment wrapText="1"/>
    </xf>
    <xf numFmtId="176" fontId="3" fillId="4" borderId="0" xfId="1" applyNumberFormat="1" applyFont="1" applyFill="1" applyAlignment="1">
      <alignment wrapText="1"/>
    </xf>
    <xf numFmtId="49" fontId="0" fillId="0" borderId="0" xfId="1" applyNumberFormat="1" applyFont="1" applyAlignment="1">
      <alignment wrapText="1"/>
    </xf>
    <xf numFmtId="0" fontId="7" fillId="9" borderId="0" xfId="1" applyFont="1" applyFill="1" applyAlignment="1">
      <alignment wrapText="1"/>
    </xf>
    <xf numFmtId="0" fontId="1" fillId="2" borderId="0" xfId="1" applyFont="1" applyFill="1" applyAlignment="1">
      <alignment vertical="center"/>
    </xf>
    <xf numFmtId="0" fontId="3" fillId="4" borderId="0" xfId="1" applyFont="1" applyFill="1" applyAlignment="1">
      <alignment wrapText="1"/>
    </xf>
    <xf numFmtId="0" fontId="4" fillId="5" borderId="0" xfId="1" applyFont="1" applyFill="1"/>
    <xf numFmtId="0" fontId="5" fillId="6" borderId="0" xfId="1" applyFont="1" applyFill="1" applyAlignment="1">
      <alignment wrapText="1"/>
    </xf>
    <xf numFmtId="0" fontId="6" fillId="7" borderId="0" xfId="1" applyFont="1" applyFill="1" applyAlignment="1">
      <alignment wrapText="1"/>
    </xf>
    <xf numFmtId="0" fontId="0" fillId="10" borderId="0" xfId="1" applyFont="1" applyFill="1" applyAlignment="1">
      <alignment wrapText="1"/>
    </xf>
    <xf numFmtId="1" fontId="0" fillId="10" borderId="0" xfId="1" applyNumberFormat="1" applyFont="1" applyFill="1" applyAlignment="1">
      <alignment wrapText="1"/>
    </xf>
    <xf numFmtId="176" fontId="0" fillId="10" borderId="0" xfId="1" applyNumberFormat="1" applyFont="1" applyFill="1" applyAlignment="1">
      <alignment wrapText="1"/>
    </xf>
    <xf numFmtId="176" fontId="2" fillId="10" borderId="0" xfId="1" applyNumberFormat="1" applyFont="1" applyFill="1" applyAlignment="1">
      <alignment wrapText="1"/>
    </xf>
    <xf numFmtId="0" fontId="0" fillId="10" borderId="0" xfId="0" applyFill="1"/>
  </cellXfs>
  <cellStyles count="2">
    <cellStyle name="Normal" xfId="1" xr:uid="{00000000-0005-0000-0000-000000000000}"/>
    <cellStyle name="常规" xfId="0" builtinId="0"/>
  </cellStyles>
  <dxfs count="9">
    <dxf>
      <font>
        <b/>
        <color rgb="FF075E54"/>
      </font>
      <fill>
        <patternFill patternType="solid">
          <bgColor rgb="FFDFF4EF"/>
        </patternFill>
      </fill>
    </dxf>
    <dxf>
      <font>
        <b/>
        <color rgb="FF9C2F22"/>
      </font>
      <fill>
        <patternFill patternType="solid">
          <bgColor rgb="FFFDE7E3"/>
        </patternFill>
      </fill>
    </dxf>
    <dxf>
      <font>
        <b/>
        <color rgb="FF9C2F22"/>
      </font>
      <fill>
        <patternFill patternType="solid">
          <bgColor rgb="FFFDE7E3"/>
        </patternFill>
      </fill>
    </dxf>
    <dxf>
      <font>
        <b/>
        <color rgb="FF9A4D00"/>
      </font>
      <fill>
        <patternFill patternType="solid">
          <bgColor rgb="FFFCE8D5"/>
        </patternFill>
      </fill>
    </dxf>
    <dxf>
      <font>
        <b/>
        <color rgb="FF9C2F22"/>
      </font>
      <fill>
        <patternFill patternType="solid">
          <bgColor rgb="FFFDE7E3"/>
        </patternFill>
      </fill>
    </dxf>
    <dxf>
      <font>
        <b/>
        <color rgb="FF59636B"/>
      </font>
      <fill>
        <patternFill patternType="solid">
          <bgColor rgb="FFEEF1F3"/>
        </patternFill>
      </fill>
    </dxf>
    <dxf>
      <font>
        <b/>
        <color rgb="FF9C2F22"/>
      </font>
      <fill>
        <patternFill patternType="solid">
          <bgColor rgb="FFFDE7E3"/>
        </patternFill>
      </fill>
    </dxf>
    <dxf>
      <font>
        <b/>
        <color rgb="FF9A4D00"/>
      </font>
      <fill>
        <patternFill patternType="solid">
          <bgColor rgb="FFFCE8D5"/>
        </patternFill>
      </fill>
    </dxf>
    <dxf>
      <font>
        <b/>
        <color rgb="FF9C2F22"/>
      </font>
      <fill>
        <patternFill patternType="solid">
          <bgColor rgb="FFFDE7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uterCostReview" displayName="ComputerCostReview" ref="A1:N179" totalsRowShown="0">
  <tableColumns count="14">
    <tableColumn id="1" xr3:uid="{00000000-0010-0000-0000-000001000000}" name="Item ID"/>
    <tableColumn id="2" xr3:uid="{00000000-0010-0000-0000-000002000000}" name="POS SKU"/>
    <tableColumn id="3" xr3:uid="{00000000-0010-0000-0000-000003000000}" name="POS Product Name"/>
    <tableColumn id="4" xr3:uid="{00000000-0010-0000-0000-000004000000}" name="Brand"/>
    <tableColumn id="5" xr3:uid="{00000000-0010-0000-0000-000005000000}" name="POS Main Category"/>
    <tableColumn id="6" xr3:uid="{00000000-0010-0000-0000-000006000000}" name="POS Subcategory"/>
    <tableColumn id="7" xr3:uid="{00000000-0010-0000-0000-000007000000}" name="Source Cost"/>
    <tableColumn id="8" xr3:uid="{00000000-0010-0000-0000-000008000000}" name="Final Cost (EDIT)"/>
    <tableColumn id="9" xr3:uid="{00000000-0010-0000-0000-000009000000}" name="Source Retail"/>
    <tableColumn id="10" xr3:uid="{00000000-0010-0000-0000-00000A000000}" name="Final Retail (EDIT)"/>
    <tableColumn id="11" xr3:uid="{00000000-0010-0000-0000-00000B000000}" name="Cost Status"/>
    <tableColumn id="12" xr3:uid="{00000000-0010-0000-0000-00000C000000}" name="Retail Status"/>
    <tableColumn id="13" xr3:uid="{00000000-0010-0000-0000-00000D000000}" name="Image Status"/>
    <tableColumn id="14" xr3:uid="{00000000-0010-0000-0000-00000E000000}" name="Review 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uterProductReview" displayName="ComputerProductReview" ref="A1:Z184" totalsRowShown="0">
  <tableColumns count="26">
    <tableColumn id="1" xr3:uid="{00000000-0010-0000-0100-000001000000}" name="Item ID"/>
    <tableColumn id="2" xr3:uid="{00000000-0010-0000-0100-000002000000}" name="Import Action"/>
    <tableColumn id="3" xr3:uid="{00000000-0010-0000-0100-000003000000}" name="Existing POS Match"/>
    <tableColumn id="4" xr3:uid="{00000000-0010-0000-0100-000004000000}" name="Existing POS SKU"/>
    <tableColumn id="5" xr3:uid="{00000000-0010-0000-0100-000005000000}" name="Source Category"/>
    <tableColumn id="6" xr3:uid="{00000000-0010-0000-0100-000006000000}" name="POS Main Category"/>
    <tableColumn id="7" xr3:uid="{00000000-0010-0000-0100-000007000000}" name="POS Subcategory"/>
    <tableColumn id="8" xr3:uid="{00000000-0010-0000-0100-000008000000}" name="Source Product Name"/>
    <tableColumn id="9" xr3:uid="{00000000-0010-0000-0100-000009000000}" name="POS Product Name"/>
    <tableColumn id="10" xr3:uid="{00000000-0010-0000-0100-00000A000000}" name="Brand"/>
    <tableColumn id="11" xr3:uid="{00000000-0010-0000-0100-00000B000000}" name="Source SKU"/>
    <tableColumn id="12" xr3:uid="{00000000-0010-0000-0100-00000C000000}" name="POS SKU"/>
    <tableColumn id="13" xr3:uid="{00000000-0010-0000-0100-00000D000000}" name="SKU Status"/>
    <tableColumn id="14" xr3:uid="{00000000-0010-0000-0100-00000E000000}" name="Source Cost"/>
    <tableColumn id="15" xr3:uid="{00000000-0010-0000-0100-00000F000000}" name="Final Cost (FROM COST REVIEW)"/>
    <tableColumn id="16" xr3:uid="{00000000-0010-0000-0100-000010000000}" name="Cost Status"/>
    <tableColumn id="17" xr3:uid="{00000000-0010-0000-0100-000011000000}" name="Source Retail"/>
    <tableColumn id="18" xr3:uid="{00000000-0010-0000-0100-000012000000}" name="Final Retail (FROM COST REVIEW)"/>
    <tableColumn id="19" xr3:uid="{00000000-0010-0000-0100-000013000000}" name="Retail Status"/>
    <tableColumn id="20" xr3:uid="{00000000-0010-0000-0100-000014000000}" name="Barcode"/>
    <tableColumn id="21" xr3:uid="{00000000-0010-0000-0100-000015000000}" name="Image URL (EDIT IF MISSING)"/>
    <tableColumn id="22" xr3:uid="{00000000-0010-0000-0100-000016000000}" name="Image Status"/>
    <tableColumn id="23" xr3:uid="{00000000-0010-0000-0100-000017000000}" name="Source Stock"/>
    <tableColumn id="24" xr3:uid="{00000000-0010-0000-0100-000018000000}" name="POS Starting Stock"/>
    <tableColumn id="25" xr3:uid="{00000000-0010-0000-0100-000019000000}" name="Ready Status"/>
    <tableColumn id="26" xr3:uid="{00000000-0010-0000-0100-00001A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issingComputerImages" displayName="MissingComputerImages" ref="A1:H6" totalsRowShown="0">
  <tableColumns count="8">
    <tableColumn id="1" xr3:uid="{00000000-0010-0000-0200-000001000000}" name="Product Review Row"/>
    <tableColumn id="2" xr3:uid="{00000000-0010-0000-0200-000002000000}" name="Item ID"/>
    <tableColumn id="3" xr3:uid="{00000000-0010-0000-0200-000003000000}" name="POS Product Name"/>
    <tableColumn id="4" xr3:uid="{00000000-0010-0000-0200-000004000000}" name="POS Main Category"/>
    <tableColumn id="5" xr3:uid="{00000000-0010-0000-0200-000005000000}" name="POS Subcategory"/>
    <tableColumn id="6" xr3:uid="{00000000-0010-0000-0200-000006000000}" name="Brand"/>
    <tableColumn id="7" xr3:uid="{00000000-0010-0000-0200-000007000000}" name="Missing Image Status"/>
    <tableColumn id="8" xr3:uid="{00000000-0010-0000-0200-000008000000}" name="Where To Ent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mputerClassificationRules" displayName="ComputerClassificationRules" ref="A1:E16" totalsRowShown="0">
  <tableColumns count="5">
    <tableColumn id="1" xr3:uid="{00000000-0010-0000-0300-000001000000}" name="Source Category / Rule"/>
    <tableColumn id="2" xr3:uid="{00000000-0010-0000-0300-000002000000}" name="POS Main Category"/>
    <tableColumn id="3" xr3:uid="{00000000-0010-0000-0300-000003000000}" name="POS Subcategory"/>
    <tableColumn id="4" xr3:uid="{00000000-0010-0000-0300-000004000000}" name="Reason"/>
    <tableColumn id="5" xr3:uid="{00000000-0010-0000-0300-000005000000}" name="Source 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workbookViewId="0">
      <selection sqref="A1:H1"/>
    </sheetView>
  </sheetViews>
  <sheetFormatPr defaultRowHeight="14.25"/>
  <cols>
    <col min="1" max="1" width="36" customWidth="1"/>
    <col min="2" max="3" width="17" customWidth="1"/>
    <col min="4" max="8" width="18" customWidth="1"/>
  </cols>
  <sheetData>
    <row r="1" spans="1:8" ht="36" customHeight="1">
      <c r="A1" s="14" t="s">
        <v>0</v>
      </c>
      <c r="B1" s="14"/>
      <c r="C1" s="14"/>
      <c r="D1" s="14"/>
      <c r="E1" s="14"/>
      <c r="F1" s="14"/>
      <c r="G1" s="14"/>
      <c r="H1" s="14"/>
    </row>
    <row r="3" spans="1:8" ht="15">
      <c r="A3" s="1" t="s">
        <v>1</v>
      </c>
      <c r="B3" s="1" t="s">
        <v>2</v>
      </c>
      <c r="D3" s="15" t="s">
        <v>3</v>
      </c>
      <c r="E3" s="15"/>
      <c r="F3" s="15"/>
      <c r="G3" s="15"/>
      <c r="H3" s="15"/>
    </row>
    <row r="5" spans="1:8" ht="15">
      <c r="A5" s="2" t="s">
        <v>4</v>
      </c>
      <c r="B5" s="2" t="s">
        <v>5</v>
      </c>
      <c r="D5" s="16" t="s">
        <v>6</v>
      </c>
      <c r="E5" s="16"/>
      <c r="F5" s="16"/>
      <c r="G5" s="16"/>
      <c r="H5" s="16"/>
    </row>
    <row r="6" spans="1:8">
      <c r="A6" t="s">
        <v>7</v>
      </c>
      <c r="B6" s="3">
        <f>COUNTA('Product Review'!A2:A184)</f>
        <v>183</v>
      </c>
      <c r="D6" s="17" t="s">
        <v>8</v>
      </c>
      <c r="E6" s="17"/>
      <c r="F6" s="17"/>
      <c r="G6" s="17"/>
      <c r="H6" s="17"/>
    </row>
    <row r="7" spans="1:8">
      <c r="A7" t="s">
        <v>9</v>
      </c>
      <c r="B7" s="3">
        <f>COUNTIF('Product Review'!B2:B184,"IMPORT")</f>
        <v>178</v>
      </c>
      <c r="D7" s="17" t="s">
        <v>10</v>
      </c>
      <c r="E7" s="17"/>
      <c r="F7" s="17"/>
      <c r="G7" s="17"/>
      <c r="H7" s="17"/>
    </row>
    <row r="8" spans="1:8">
      <c r="A8" t="s">
        <v>11</v>
      </c>
      <c r="B8" s="3">
        <f>COUNTIF('Product Review'!B2:B184,"KEEP EXISTING")</f>
        <v>5</v>
      </c>
      <c r="D8" s="17" t="s">
        <v>12</v>
      </c>
      <c r="E8" s="17"/>
      <c r="F8" s="17"/>
      <c r="G8" s="17"/>
      <c r="H8" s="17"/>
    </row>
    <row r="9" spans="1:8">
      <c r="A9" t="s">
        <v>13</v>
      </c>
      <c r="B9" s="3">
        <f>COUNTIF('Product Review'!N2:N184,0)</f>
        <v>52</v>
      </c>
      <c r="D9" s="17" t="s">
        <v>14</v>
      </c>
      <c r="E9" s="17"/>
      <c r="F9" s="17"/>
      <c r="G9" s="17"/>
      <c r="H9" s="17"/>
    </row>
    <row r="10" spans="1:8">
      <c r="A10" t="s">
        <v>15</v>
      </c>
      <c r="B10" s="3">
        <f>COUNTIF('Product Review'!P2:P184,"MISSING")</f>
        <v>16</v>
      </c>
      <c r="D10" s="17" t="s">
        <v>16</v>
      </c>
      <c r="E10" s="17"/>
      <c r="F10" s="17"/>
      <c r="G10" s="17"/>
      <c r="H10" s="17"/>
    </row>
    <row r="11" spans="1:8">
      <c r="A11" t="s">
        <v>17</v>
      </c>
      <c r="B11" s="3">
        <f>COUNTIF('Product Review'!V2:V184,"MISSING")</f>
        <v>5</v>
      </c>
      <c r="D11" s="17" t="s">
        <v>18</v>
      </c>
      <c r="E11" s="17"/>
      <c r="F11" s="17"/>
      <c r="G11" s="17"/>
      <c r="H11" s="17"/>
    </row>
    <row r="12" spans="1:8">
      <c r="A12" t="s">
        <v>19</v>
      </c>
      <c r="B12" s="3">
        <f>COUNTIF('Product Review'!M2:M184,"Generated: source SKU missing/invalid")+COUNTIF('Product Review'!M2:M184,"Generated: duplicate source SKU")+COUNTIF('Product Review'!M2:M184,"Generated: SKU conflict")</f>
        <v>43</v>
      </c>
    </row>
    <row r="13" spans="1:8">
      <c r="A13" t="s">
        <v>20</v>
      </c>
      <c r="B13" s="3">
        <f>COUNTIF('Product Review'!S2:S184,"CHECK")</f>
        <v>4</v>
      </c>
    </row>
    <row r="14" spans="1:8">
      <c r="A14" t="s">
        <v>21</v>
      </c>
      <c r="B14" s="3">
        <f>COUNTIF('Product Review'!Y2:Y184,"READY")</f>
        <v>0</v>
      </c>
    </row>
    <row r="16" spans="1:8" ht="15">
      <c r="A16" s="18" t="s">
        <v>22</v>
      </c>
      <c r="B16" s="18"/>
      <c r="C16" s="18"/>
      <c r="D16" s="18"/>
      <c r="E16" s="18"/>
      <c r="F16" s="18"/>
      <c r="G16" s="18"/>
      <c r="H16" s="18"/>
    </row>
  </sheetData>
  <mergeCells count="10">
    <mergeCell ref="D8:H8"/>
    <mergeCell ref="D9:H9"/>
    <mergeCell ref="D10:H10"/>
    <mergeCell ref="D11:H11"/>
    <mergeCell ref="A16:H16"/>
    <mergeCell ref="A1:H1"/>
    <mergeCell ref="D3:H3"/>
    <mergeCell ref="D5:H5"/>
    <mergeCell ref="D6:H6"/>
    <mergeCell ref="D7:H7"/>
  </mergeCells>
  <phoneticPr fontId="9" type="noConversion"/>
  <dataValidations count="1">
    <dataValidation type="list" sqref="B3" xr:uid="{00000000-0002-0000-0000-000000000000}">
      <formula1>"PENDING,APPROVED"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9"/>
  <sheetViews>
    <sheetView showGridLines="0" tabSelected="1" zoomScale="115" zoomScaleNormal="115" workbookViewId="0">
      <selection activeCell="F20" sqref="F20"/>
    </sheetView>
  </sheetViews>
  <sheetFormatPr defaultRowHeight="14.25"/>
  <cols>
    <col min="1" max="2" width="20" customWidth="1"/>
    <col min="3" max="3" width="50.75" bestFit="1" customWidth="1"/>
    <col min="4" max="6" width="24" customWidth="1"/>
    <col min="7" max="13" width="17" customWidth="1"/>
    <col min="14" max="14" width="54" customWidth="1"/>
  </cols>
  <sheetData>
    <row r="1" spans="1:14" ht="15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</row>
    <row r="2" spans="1:14" ht="15">
      <c r="A2" s="6" t="s">
        <v>37</v>
      </c>
      <c r="B2" s="9" t="str">
        <f>"112700031780"</f>
        <v>112700031780</v>
      </c>
      <c r="C2" s="6" t="s">
        <v>38</v>
      </c>
      <c r="D2" s="6" t="s">
        <v>39</v>
      </c>
      <c r="E2" s="6" t="s">
        <v>40</v>
      </c>
      <c r="F2" s="6" t="s">
        <v>41</v>
      </c>
      <c r="G2" s="8">
        <v>9</v>
      </c>
      <c r="H2" s="7">
        <v>9</v>
      </c>
      <c r="I2" s="8">
        <v>49.95</v>
      </c>
      <c r="J2" s="7">
        <v>49.95</v>
      </c>
      <c r="K2" s="6" t="str">
        <f t="shared" ref="K2:K33" si="0">IF(H2&lt;=0,"MISSING","REVIEW")</f>
        <v>REVIEW</v>
      </c>
      <c r="L2" s="6" t="str">
        <f t="shared" ref="L2:L33" si="1">IF(OR(J2&lt;=0,J2&gt;100000),"CHECK","OK")</f>
        <v>OK</v>
      </c>
      <c r="M2" s="6" t="str">
        <f>IF('Product Review'!U2="","MISSING","FOUND")</f>
        <v>FOUND</v>
      </c>
      <c r="N2" s="6" t="s">
        <v>42</v>
      </c>
    </row>
    <row r="3" spans="1:14" ht="15">
      <c r="A3" s="6" t="s">
        <v>43</v>
      </c>
      <c r="B3" s="9" t="str">
        <f>"112690031778"</f>
        <v>112690031778</v>
      </c>
      <c r="C3" s="6" t="s">
        <v>44</v>
      </c>
      <c r="D3" s="6" t="s">
        <v>39</v>
      </c>
      <c r="E3" s="6" t="s">
        <v>40</v>
      </c>
      <c r="F3" s="6" t="s">
        <v>41</v>
      </c>
      <c r="G3" s="8">
        <v>4.5</v>
      </c>
      <c r="H3" s="7">
        <v>4.5</v>
      </c>
      <c r="I3" s="8">
        <v>29.95</v>
      </c>
      <c r="J3" s="7">
        <v>29.95</v>
      </c>
      <c r="K3" s="6" t="str">
        <f t="shared" si="0"/>
        <v>REVIEW</v>
      </c>
      <c r="L3" s="6" t="str">
        <f t="shared" si="1"/>
        <v>OK</v>
      </c>
      <c r="M3" s="6" t="str">
        <f>IF('Product Review'!U3="","MISSING","FOUND")</f>
        <v>FOUND</v>
      </c>
      <c r="N3" s="6" t="s">
        <v>45</v>
      </c>
    </row>
    <row r="4" spans="1:14" ht="15">
      <c r="A4" s="6" t="s">
        <v>46</v>
      </c>
      <c r="B4" s="9" t="str">
        <f>"112680031777"</f>
        <v>112680031777</v>
      </c>
      <c r="C4" s="6" t="s">
        <v>47</v>
      </c>
      <c r="D4" s="6" t="s">
        <v>39</v>
      </c>
      <c r="E4" s="6" t="s">
        <v>40</v>
      </c>
      <c r="F4" s="6" t="s">
        <v>41</v>
      </c>
      <c r="G4" s="8">
        <v>5.5</v>
      </c>
      <c r="H4" s="7">
        <v>5.5</v>
      </c>
      <c r="I4" s="8">
        <v>39.99</v>
      </c>
      <c r="J4" s="7">
        <v>39.99</v>
      </c>
      <c r="K4" s="6" t="str">
        <f t="shared" si="0"/>
        <v>REVIEW</v>
      </c>
      <c r="L4" s="6" t="str">
        <f t="shared" si="1"/>
        <v>OK</v>
      </c>
      <c r="M4" s="6" t="str">
        <f>IF('Product Review'!U4="","MISSING","FOUND")</f>
        <v>FOUND</v>
      </c>
      <c r="N4" s="6" t="s">
        <v>42</v>
      </c>
    </row>
    <row r="5" spans="1:14" ht="15">
      <c r="A5" s="6" t="s">
        <v>48</v>
      </c>
      <c r="B5" s="9" t="str">
        <f>"112670031775"</f>
        <v>112670031775</v>
      </c>
      <c r="C5" s="6" t="s">
        <v>49</v>
      </c>
      <c r="D5" s="6" t="s">
        <v>39</v>
      </c>
      <c r="E5" s="6" t="s">
        <v>40</v>
      </c>
      <c r="F5" s="6" t="s">
        <v>41</v>
      </c>
      <c r="G5" s="8">
        <v>4</v>
      </c>
      <c r="H5" s="7">
        <v>4</v>
      </c>
      <c r="I5" s="8">
        <v>32.99</v>
      </c>
      <c r="J5" s="7">
        <v>32.99</v>
      </c>
      <c r="K5" s="6" t="str">
        <f t="shared" si="0"/>
        <v>REVIEW</v>
      </c>
      <c r="L5" s="6" t="str">
        <f t="shared" si="1"/>
        <v>OK</v>
      </c>
      <c r="M5" s="6" t="str">
        <f>IF('Product Review'!U5="","MISSING","FOUND")</f>
        <v>FOUND</v>
      </c>
      <c r="N5" s="6" t="s">
        <v>42</v>
      </c>
    </row>
    <row r="6" spans="1:14" ht="15">
      <c r="A6" s="6" t="s">
        <v>50</v>
      </c>
      <c r="B6" s="9" t="str">
        <f>"112660031773"</f>
        <v>112660031773</v>
      </c>
      <c r="C6" s="6" t="s">
        <v>51</v>
      </c>
      <c r="D6" s="6" t="s">
        <v>39</v>
      </c>
      <c r="E6" s="6" t="s">
        <v>40</v>
      </c>
      <c r="F6" s="6" t="s">
        <v>41</v>
      </c>
      <c r="G6" s="8">
        <v>2.2000000000000002</v>
      </c>
      <c r="H6" s="7">
        <v>2.2000000000000002</v>
      </c>
      <c r="I6" s="8">
        <v>29.99</v>
      </c>
      <c r="J6" s="7">
        <v>29.99</v>
      </c>
      <c r="K6" s="6" t="str">
        <f t="shared" si="0"/>
        <v>REVIEW</v>
      </c>
      <c r="L6" s="6" t="str">
        <f t="shared" si="1"/>
        <v>OK</v>
      </c>
      <c r="M6" s="6" t="str">
        <f>IF('Product Review'!U6="","MISSING","FOUND")</f>
        <v>FOUND</v>
      </c>
      <c r="N6" s="6" t="s">
        <v>42</v>
      </c>
    </row>
    <row r="7" spans="1:14" ht="15">
      <c r="A7" s="6" t="s">
        <v>52</v>
      </c>
      <c r="B7" s="9" t="str">
        <f>"110731644"</f>
        <v>110731644</v>
      </c>
      <c r="C7" s="6" t="s">
        <v>53</v>
      </c>
      <c r="D7" s="6" t="s">
        <v>39</v>
      </c>
      <c r="E7" s="6" t="s">
        <v>54</v>
      </c>
      <c r="F7" s="6" t="s">
        <v>55</v>
      </c>
      <c r="G7" s="8">
        <v>8</v>
      </c>
      <c r="H7" s="7">
        <v>8</v>
      </c>
      <c r="I7" s="8">
        <v>45</v>
      </c>
      <c r="J7" s="7">
        <v>45</v>
      </c>
      <c r="K7" s="6" t="str">
        <f t="shared" si="0"/>
        <v>REVIEW</v>
      </c>
      <c r="L7" s="6" t="str">
        <f t="shared" si="1"/>
        <v>OK</v>
      </c>
      <c r="M7" s="6" t="str">
        <f>IF('Product Review'!U7="","MISSING","FOUND")</f>
        <v>FOUND</v>
      </c>
      <c r="N7" s="6" t="s">
        <v>56</v>
      </c>
    </row>
    <row r="8" spans="1:14" ht="15">
      <c r="A8" s="6" t="s">
        <v>57</v>
      </c>
      <c r="B8" s="9" t="str">
        <f>"110661636"</f>
        <v>110661636</v>
      </c>
      <c r="C8" s="6" t="s">
        <v>58</v>
      </c>
      <c r="D8" s="6" t="s">
        <v>59</v>
      </c>
      <c r="E8" s="6" t="s">
        <v>54</v>
      </c>
      <c r="F8" s="6" t="s">
        <v>60</v>
      </c>
      <c r="G8" s="8">
        <v>13</v>
      </c>
      <c r="H8" s="7">
        <v>13</v>
      </c>
      <c r="I8" s="8">
        <v>99</v>
      </c>
      <c r="J8" s="7">
        <v>99</v>
      </c>
      <c r="K8" s="6" t="str">
        <f t="shared" si="0"/>
        <v>REVIEW</v>
      </c>
      <c r="L8" s="6" t="str">
        <f t="shared" si="1"/>
        <v>OK</v>
      </c>
      <c r="M8" s="6" t="str">
        <f>IF('Product Review'!U8="","MISSING","FOUND")</f>
        <v>FOUND</v>
      </c>
      <c r="N8" s="6" t="s">
        <v>61</v>
      </c>
    </row>
    <row r="9" spans="1:14" ht="15">
      <c r="A9" s="6" t="s">
        <v>62</v>
      </c>
      <c r="B9" s="9" t="str">
        <f>"110651635"</f>
        <v>110651635</v>
      </c>
      <c r="C9" s="6" t="s">
        <v>63</v>
      </c>
      <c r="D9" s="6" t="s">
        <v>64</v>
      </c>
      <c r="E9" s="6" t="s">
        <v>54</v>
      </c>
      <c r="F9" s="6" t="s">
        <v>65</v>
      </c>
      <c r="G9" s="8">
        <v>3</v>
      </c>
      <c r="H9" s="7">
        <v>3</v>
      </c>
      <c r="I9" s="8">
        <v>29.95</v>
      </c>
      <c r="J9" s="7">
        <v>29.95</v>
      </c>
      <c r="K9" s="6" t="str">
        <f t="shared" si="0"/>
        <v>REVIEW</v>
      </c>
      <c r="L9" s="6" t="str">
        <f t="shared" si="1"/>
        <v>OK</v>
      </c>
      <c r="M9" s="6" t="str">
        <f>IF('Product Review'!U9="","MISSING","FOUND")</f>
        <v>FOUND</v>
      </c>
      <c r="N9" s="6" t="s">
        <v>66</v>
      </c>
    </row>
    <row r="10" spans="1:14" ht="15">
      <c r="A10" s="6" t="s">
        <v>67</v>
      </c>
      <c r="B10" s="9" t="str">
        <f>"110641634"</f>
        <v>110641634</v>
      </c>
      <c r="C10" s="6" t="s">
        <v>68</v>
      </c>
      <c r="D10" s="6" t="s">
        <v>59</v>
      </c>
      <c r="E10" s="6" t="s">
        <v>69</v>
      </c>
      <c r="F10" s="6" t="s">
        <v>70</v>
      </c>
      <c r="G10" s="8">
        <v>5.0999999999999996</v>
      </c>
      <c r="H10" s="7">
        <v>5.0999999999999996</v>
      </c>
      <c r="I10" s="8">
        <v>39</v>
      </c>
      <c r="J10" s="7">
        <v>39</v>
      </c>
      <c r="K10" s="6" t="str">
        <f t="shared" si="0"/>
        <v>REVIEW</v>
      </c>
      <c r="L10" s="6" t="str">
        <f t="shared" si="1"/>
        <v>OK</v>
      </c>
      <c r="M10" s="6" t="str">
        <f>IF('Product Review'!U10="","MISSING","FOUND")</f>
        <v>FOUND</v>
      </c>
      <c r="N10" s="6" t="s">
        <v>71</v>
      </c>
    </row>
    <row r="11" spans="1:14" s="23" customFormat="1" ht="15">
      <c r="A11" s="19" t="s">
        <v>72</v>
      </c>
      <c r="B11" s="20" t="str">
        <f>"109081522"</f>
        <v>109081522</v>
      </c>
      <c r="C11" s="19" t="s">
        <v>73</v>
      </c>
      <c r="D11" s="19" t="s">
        <v>64</v>
      </c>
      <c r="E11" s="19" t="s">
        <v>54</v>
      </c>
      <c r="F11" s="19" t="s">
        <v>74</v>
      </c>
      <c r="G11" s="21">
        <v>13</v>
      </c>
      <c r="H11" s="22">
        <v>13</v>
      </c>
      <c r="I11" s="21">
        <v>42</v>
      </c>
      <c r="J11" s="22">
        <v>42</v>
      </c>
      <c r="K11" s="19" t="str">
        <f t="shared" si="0"/>
        <v>REVIEW</v>
      </c>
      <c r="L11" s="19" t="str">
        <f t="shared" si="1"/>
        <v>OK</v>
      </c>
      <c r="M11" s="19" t="str">
        <f>IF('Product Review'!U11="","MISSING","FOUND")</f>
        <v>FOUND</v>
      </c>
      <c r="N11" s="19" t="s">
        <v>75</v>
      </c>
    </row>
    <row r="12" spans="1:14" s="23" customFormat="1" ht="15">
      <c r="A12" s="19" t="s">
        <v>76</v>
      </c>
      <c r="B12" s="20" t="str">
        <f>"109071521"</f>
        <v>109071521</v>
      </c>
      <c r="C12" s="19" t="s">
        <v>77</v>
      </c>
      <c r="D12" s="19" t="s">
        <v>64</v>
      </c>
      <c r="E12" s="19" t="s">
        <v>54</v>
      </c>
      <c r="F12" s="19" t="s">
        <v>74</v>
      </c>
      <c r="G12" s="21">
        <v>8.1300000000000008</v>
      </c>
      <c r="H12" s="22">
        <v>8.1300000000000008</v>
      </c>
      <c r="I12" s="21">
        <v>33</v>
      </c>
      <c r="J12" s="22">
        <v>33</v>
      </c>
      <c r="K12" s="19" t="str">
        <f t="shared" si="0"/>
        <v>REVIEW</v>
      </c>
      <c r="L12" s="19" t="str">
        <f t="shared" si="1"/>
        <v>OK</v>
      </c>
      <c r="M12" s="19" t="str">
        <f>IF('Product Review'!U12="","MISSING","FOUND")</f>
        <v>FOUND</v>
      </c>
      <c r="N12" s="19"/>
    </row>
    <row r="13" spans="1:14" s="23" customFormat="1" ht="15">
      <c r="A13" s="19" t="s">
        <v>78</v>
      </c>
      <c r="B13" s="20" t="str">
        <f>"109051520"</f>
        <v>109051520</v>
      </c>
      <c r="C13" s="19" t="s">
        <v>79</v>
      </c>
      <c r="D13" s="19" t="s">
        <v>64</v>
      </c>
      <c r="E13" s="19" t="s">
        <v>54</v>
      </c>
      <c r="F13" s="19" t="s">
        <v>74</v>
      </c>
      <c r="G13" s="21">
        <v>7.13</v>
      </c>
      <c r="H13" s="22">
        <v>7.13</v>
      </c>
      <c r="I13" s="21">
        <v>25</v>
      </c>
      <c r="J13" s="22">
        <v>25</v>
      </c>
      <c r="K13" s="19" t="str">
        <f t="shared" si="0"/>
        <v>REVIEW</v>
      </c>
      <c r="L13" s="19" t="str">
        <f t="shared" si="1"/>
        <v>OK</v>
      </c>
      <c r="M13" s="19" t="str">
        <f>IF('Product Review'!U13="","MISSING","FOUND")</f>
        <v>FOUND</v>
      </c>
      <c r="N13" s="19"/>
    </row>
    <row r="14" spans="1:14" ht="15">
      <c r="A14" s="6" t="s">
        <v>80</v>
      </c>
      <c r="B14" s="9" t="str">
        <f>"107751365"</f>
        <v>107751365</v>
      </c>
      <c r="C14" s="6" t="s">
        <v>81</v>
      </c>
      <c r="D14" s="6" t="s">
        <v>39</v>
      </c>
      <c r="E14" s="6" t="s">
        <v>54</v>
      </c>
      <c r="F14" s="6" t="s">
        <v>65</v>
      </c>
      <c r="G14" s="8">
        <v>9.5</v>
      </c>
      <c r="H14" s="7">
        <v>9.5</v>
      </c>
      <c r="I14" s="8">
        <v>49.95</v>
      </c>
      <c r="J14" s="7">
        <v>49.95</v>
      </c>
      <c r="K14" s="6" t="str">
        <f t="shared" si="0"/>
        <v>REVIEW</v>
      </c>
      <c r="L14" s="6" t="str">
        <f t="shared" si="1"/>
        <v>OK</v>
      </c>
      <c r="M14" s="6" t="str">
        <f>IF('Product Review'!U14="","MISSING","FOUND")</f>
        <v>FOUND</v>
      </c>
      <c r="N14" s="6"/>
    </row>
    <row r="15" spans="1:14" ht="15">
      <c r="A15" s="6" t="s">
        <v>82</v>
      </c>
      <c r="B15" s="9" t="str">
        <f>"107511327"</f>
        <v>107511327</v>
      </c>
      <c r="C15" s="6" t="s">
        <v>83</v>
      </c>
      <c r="D15" s="6" t="s">
        <v>84</v>
      </c>
      <c r="E15" s="6" t="s">
        <v>54</v>
      </c>
      <c r="F15" s="6" t="s">
        <v>55</v>
      </c>
      <c r="G15" s="8">
        <v>26</v>
      </c>
      <c r="H15" s="7">
        <v>26</v>
      </c>
      <c r="I15" s="8">
        <v>59</v>
      </c>
      <c r="J15" s="7">
        <v>59</v>
      </c>
      <c r="K15" s="6" t="str">
        <f t="shared" si="0"/>
        <v>REVIEW</v>
      </c>
      <c r="L15" s="6" t="str">
        <f t="shared" si="1"/>
        <v>OK</v>
      </c>
      <c r="M15" s="6" t="str">
        <f>IF('Product Review'!U15="","MISSING","FOUND")</f>
        <v>FOUND</v>
      </c>
      <c r="N15" s="6" t="s">
        <v>85</v>
      </c>
    </row>
    <row r="16" spans="1:14" ht="43.5">
      <c r="A16" s="6" t="s">
        <v>86</v>
      </c>
      <c r="B16" s="9" t="str">
        <f>"107501326"</f>
        <v>107501326</v>
      </c>
      <c r="C16" s="6" t="s">
        <v>87</v>
      </c>
      <c r="D16" s="6" t="s">
        <v>88</v>
      </c>
      <c r="E16" s="6" t="s">
        <v>89</v>
      </c>
      <c r="F16" s="6" t="s">
        <v>90</v>
      </c>
      <c r="G16" s="8">
        <v>69</v>
      </c>
      <c r="H16" s="7">
        <v>69</v>
      </c>
      <c r="I16" s="8">
        <v>129</v>
      </c>
      <c r="J16" s="7">
        <v>129</v>
      </c>
      <c r="K16" s="6" t="str">
        <f t="shared" si="0"/>
        <v>REVIEW</v>
      </c>
      <c r="L16" s="6" t="str">
        <f t="shared" si="1"/>
        <v>OK</v>
      </c>
      <c r="M16" s="6" t="str">
        <f>IF('Product Review'!U16="","MISSING","FOUND")</f>
        <v>FOUND</v>
      </c>
      <c r="N16" s="6" t="s">
        <v>75</v>
      </c>
    </row>
    <row r="17" spans="1:14" ht="15">
      <c r="A17" s="6" t="s">
        <v>91</v>
      </c>
      <c r="B17" s="9" t="str">
        <f>"107411319"</f>
        <v>107411319</v>
      </c>
      <c r="C17" s="6" t="s">
        <v>92</v>
      </c>
      <c r="D17" s="6" t="s">
        <v>59</v>
      </c>
      <c r="E17" s="6" t="s">
        <v>69</v>
      </c>
      <c r="F17" s="6" t="s">
        <v>93</v>
      </c>
      <c r="G17" s="8">
        <v>8</v>
      </c>
      <c r="H17" s="7">
        <v>8</v>
      </c>
      <c r="I17" s="8">
        <v>49.95</v>
      </c>
      <c r="J17" s="7">
        <v>49.95</v>
      </c>
      <c r="K17" s="6" t="str">
        <f t="shared" si="0"/>
        <v>REVIEW</v>
      </c>
      <c r="L17" s="6" t="str">
        <f t="shared" si="1"/>
        <v>OK</v>
      </c>
      <c r="M17" s="6" t="str">
        <f>IF('Product Review'!U17="","MISSING","FOUND")</f>
        <v>FOUND</v>
      </c>
      <c r="N17" s="6" t="s">
        <v>56</v>
      </c>
    </row>
    <row r="18" spans="1:14" ht="15">
      <c r="A18" s="6" t="s">
        <v>94</v>
      </c>
      <c r="B18" s="9" t="str">
        <f>"107401318"</f>
        <v>107401318</v>
      </c>
      <c r="C18" s="6" t="s">
        <v>95</v>
      </c>
      <c r="D18" s="6" t="s">
        <v>59</v>
      </c>
      <c r="E18" s="6" t="s">
        <v>69</v>
      </c>
      <c r="F18" s="6" t="s">
        <v>96</v>
      </c>
      <c r="G18" s="8">
        <v>10</v>
      </c>
      <c r="H18" s="7">
        <v>10</v>
      </c>
      <c r="I18" s="8">
        <v>69.95</v>
      </c>
      <c r="J18" s="7">
        <v>69.95</v>
      </c>
      <c r="K18" s="6" t="str">
        <f t="shared" si="0"/>
        <v>REVIEW</v>
      </c>
      <c r="L18" s="6" t="str">
        <f t="shared" si="1"/>
        <v>OK</v>
      </c>
      <c r="M18" s="6" t="str">
        <f>IF('Product Review'!U18="","MISSING","FOUND")</f>
        <v>FOUND</v>
      </c>
      <c r="N18" s="6" t="s">
        <v>75</v>
      </c>
    </row>
    <row r="19" spans="1:14" ht="29.25">
      <c r="A19" s="6" t="s">
        <v>97</v>
      </c>
      <c r="B19" s="9" t="str">
        <f>"107391317"</f>
        <v>107391317</v>
      </c>
      <c r="C19" s="6" t="s">
        <v>98</v>
      </c>
      <c r="D19" s="6" t="s">
        <v>59</v>
      </c>
      <c r="E19" s="6" t="s">
        <v>54</v>
      </c>
      <c r="F19" s="6" t="s">
        <v>60</v>
      </c>
      <c r="G19" s="8">
        <v>13</v>
      </c>
      <c r="H19" s="7">
        <v>13</v>
      </c>
      <c r="I19" s="8">
        <v>99</v>
      </c>
      <c r="J19" s="7">
        <v>99</v>
      </c>
      <c r="K19" s="6" t="str">
        <f t="shared" si="0"/>
        <v>REVIEW</v>
      </c>
      <c r="L19" s="6" t="str">
        <f t="shared" si="1"/>
        <v>OK</v>
      </c>
      <c r="M19" s="6" t="str">
        <f>IF('Product Review'!U19="","MISSING","FOUND")</f>
        <v>FOUND</v>
      </c>
      <c r="N19" s="6" t="s">
        <v>99</v>
      </c>
    </row>
    <row r="20" spans="1:14" ht="15">
      <c r="A20" s="6" t="s">
        <v>100</v>
      </c>
      <c r="B20" s="9" t="str">
        <f>"107381316"</f>
        <v>107381316</v>
      </c>
      <c r="C20" s="6" t="s">
        <v>101</v>
      </c>
      <c r="D20" s="6" t="s">
        <v>59</v>
      </c>
      <c r="E20" s="6" t="s">
        <v>54</v>
      </c>
      <c r="F20" s="6" t="s">
        <v>60</v>
      </c>
      <c r="G20" s="8">
        <v>10</v>
      </c>
      <c r="H20" s="7">
        <v>10</v>
      </c>
      <c r="I20" s="8">
        <v>69.95</v>
      </c>
      <c r="J20" s="7">
        <v>69.95</v>
      </c>
      <c r="K20" s="6" t="str">
        <f t="shared" si="0"/>
        <v>REVIEW</v>
      </c>
      <c r="L20" s="6" t="str">
        <f t="shared" si="1"/>
        <v>OK</v>
      </c>
      <c r="M20" s="6" t="str">
        <f>IF('Product Review'!U20="","MISSING","FOUND")</f>
        <v>FOUND</v>
      </c>
      <c r="N20" s="6" t="s">
        <v>102</v>
      </c>
    </row>
    <row r="21" spans="1:14" ht="15">
      <c r="A21" s="6" t="s">
        <v>103</v>
      </c>
      <c r="B21" s="9" t="str">
        <f>"107371315"</f>
        <v>107371315</v>
      </c>
      <c r="C21" s="6" t="s">
        <v>104</v>
      </c>
      <c r="D21" s="6" t="s">
        <v>59</v>
      </c>
      <c r="E21" s="6" t="s">
        <v>54</v>
      </c>
      <c r="F21" s="6" t="s">
        <v>60</v>
      </c>
      <c r="G21" s="8">
        <v>4.29</v>
      </c>
      <c r="H21" s="7">
        <v>4.29</v>
      </c>
      <c r="I21" s="8">
        <v>49.95</v>
      </c>
      <c r="J21" s="7">
        <v>49.95</v>
      </c>
      <c r="K21" s="6" t="str">
        <f t="shared" si="0"/>
        <v>REVIEW</v>
      </c>
      <c r="L21" s="6" t="str">
        <f t="shared" si="1"/>
        <v>OK</v>
      </c>
      <c r="M21" s="6" t="str">
        <f>IF('Product Review'!U21="","MISSING","FOUND")</f>
        <v>FOUND</v>
      </c>
      <c r="N21" s="6" t="s">
        <v>105</v>
      </c>
    </row>
    <row r="22" spans="1:14" ht="15">
      <c r="A22" s="6" t="s">
        <v>106</v>
      </c>
      <c r="B22" s="9" t="str">
        <f>"107361314"</f>
        <v>107361314</v>
      </c>
      <c r="C22" s="6" t="s">
        <v>107</v>
      </c>
      <c r="D22" s="6" t="s">
        <v>59</v>
      </c>
      <c r="E22" s="6" t="s">
        <v>54</v>
      </c>
      <c r="F22" s="6" t="s">
        <v>60</v>
      </c>
      <c r="G22" s="8">
        <v>4.29</v>
      </c>
      <c r="H22" s="7">
        <v>4.29</v>
      </c>
      <c r="I22" s="8">
        <v>19.989999999999998</v>
      </c>
      <c r="J22" s="7">
        <v>19.989999999999998</v>
      </c>
      <c r="K22" s="6" t="str">
        <f t="shared" si="0"/>
        <v>REVIEW</v>
      </c>
      <c r="L22" s="6" t="str">
        <f t="shared" si="1"/>
        <v>OK</v>
      </c>
      <c r="M22" s="6" t="str">
        <f>IF('Product Review'!U22="","MISSING","FOUND")</f>
        <v>FOUND</v>
      </c>
      <c r="N22" s="6" t="s">
        <v>99</v>
      </c>
    </row>
    <row r="23" spans="1:14" ht="15">
      <c r="A23" s="6" t="s">
        <v>108</v>
      </c>
      <c r="B23" s="9" t="str">
        <f>"107351313"</f>
        <v>107351313</v>
      </c>
      <c r="C23" s="6" t="s">
        <v>109</v>
      </c>
      <c r="D23" s="6" t="s">
        <v>59</v>
      </c>
      <c r="E23" s="6" t="s">
        <v>54</v>
      </c>
      <c r="F23" s="6" t="s">
        <v>60</v>
      </c>
      <c r="G23" s="8">
        <v>7.5</v>
      </c>
      <c r="H23" s="7">
        <v>7.5</v>
      </c>
      <c r="I23" s="8">
        <v>59.99</v>
      </c>
      <c r="J23" s="7">
        <v>59.99</v>
      </c>
      <c r="K23" s="6" t="str">
        <f t="shared" si="0"/>
        <v>REVIEW</v>
      </c>
      <c r="L23" s="6" t="str">
        <f t="shared" si="1"/>
        <v>OK</v>
      </c>
      <c r="M23" s="6" t="str">
        <f>IF('Product Review'!U23="","MISSING","FOUND")</f>
        <v>FOUND</v>
      </c>
      <c r="N23" s="6" t="s">
        <v>42</v>
      </c>
    </row>
    <row r="24" spans="1:14" ht="15">
      <c r="A24" s="6" t="s">
        <v>110</v>
      </c>
      <c r="B24" s="9" t="str">
        <f>"107341312"</f>
        <v>107341312</v>
      </c>
      <c r="C24" s="6" t="s">
        <v>111</v>
      </c>
      <c r="D24" s="6" t="s">
        <v>59</v>
      </c>
      <c r="E24" s="6" t="s">
        <v>54</v>
      </c>
      <c r="F24" s="6" t="s">
        <v>60</v>
      </c>
      <c r="G24" s="8">
        <v>16</v>
      </c>
      <c r="H24" s="7">
        <v>16</v>
      </c>
      <c r="I24" s="8">
        <v>99.99</v>
      </c>
      <c r="J24" s="7">
        <v>99.99</v>
      </c>
      <c r="K24" s="6" t="str">
        <f t="shared" si="0"/>
        <v>REVIEW</v>
      </c>
      <c r="L24" s="6" t="str">
        <f t="shared" si="1"/>
        <v>OK</v>
      </c>
      <c r="M24" s="6" t="str">
        <f>IF('Product Review'!U24="","MISSING","FOUND")</f>
        <v>FOUND</v>
      </c>
      <c r="N24" s="6" t="s">
        <v>85</v>
      </c>
    </row>
    <row r="25" spans="1:14" ht="29.25">
      <c r="A25" s="6" t="s">
        <v>112</v>
      </c>
      <c r="B25" s="9" t="str">
        <f>"107331311"</f>
        <v>107331311</v>
      </c>
      <c r="C25" s="6" t="s">
        <v>113</v>
      </c>
      <c r="D25" s="6" t="s">
        <v>59</v>
      </c>
      <c r="E25" s="6" t="s">
        <v>54</v>
      </c>
      <c r="F25" s="6" t="s">
        <v>60</v>
      </c>
      <c r="G25" s="8">
        <v>30</v>
      </c>
      <c r="H25" s="7">
        <v>30</v>
      </c>
      <c r="I25" s="8">
        <v>149</v>
      </c>
      <c r="J25" s="7">
        <v>149</v>
      </c>
      <c r="K25" s="6" t="str">
        <f t="shared" si="0"/>
        <v>REVIEW</v>
      </c>
      <c r="L25" s="6" t="str">
        <f t="shared" si="1"/>
        <v>OK</v>
      </c>
      <c r="M25" s="6" t="str">
        <f>IF('Product Review'!U25="","MISSING","FOUND")</f>
        <v>FOUND</v>
      </c>
      <c r="N25" s="6" t="s">
        <v>75</v>
      </c>
    </row>
    <row r="26" spans="1:14" ht="29.25">
      <c r="A26" s="6" t="s">
        <v>114</v>
      </c>
      <c r="B26" s="9" t="str">
        <f>"107321310"</f>
        <v>107321310</v>
      </c>
      <c r="C26" s="6" t="s">
        <v>115</v>
      </c>
      <c r="D26" s="6" t="s">
        <v>59</v>
      </c>
      <c r="E26" s="6" t="s">
        <v>54</v>
      </c>
      <c r="F26" s="6" t="s">
        <v>60</v>
      </c>
      <c r="G26" s="8">
        <v>6.5</v>
      </c>
      <c r="H26" s="7">
        <v>6.5</v>
      </c>
      <c r="I26" s="8">
        <v>54.99</v>
      </c>
      <c r="J26" s="7">
        <v>54.99</v>
      </c>
      <c r="K26" s="6" t="str">
        <f t="shared" si="0"/>
        <v>REVIEW</v>
      </c>
      <c r="L26" s="6" t="str">
        <f t="shared" si="1"/>
        <v>OK</v>
      </c>
      <c r="M26" s="6" t="str">
        <f>IF('Product Review'!U26="","MISSING","FOUND")</f>
        <v>FOUND</v>
      </c>
      <c r="N26" s="6" t="s">
        <v>56</v>
      </c>
    </row>
    <row r="27" spans="1:14" ht="15">
      <c r="A27" s="6" t="s">
        <v>116</v>
      </c>
      <c r="B27" s="9" t="str">
        <f>"107311309"</f>
        <v>107311309</v>
      </c>
      <c r="C27" s="6" t="s">
        <v>117</v>
      </c>
      <c r="D27" s="6" t="s">
        <v>59</v>
      </c>
      <c r="E27" s="6" t="s">
        <v>54</v>
      </c>
      <c r="F27" s="6" t="s">
        <v>60</v>
      </c>
      <c r="G27" s="8">
        <v>7.5</v>
      </c>
      <c r="H27" s="7">
        <v>7.5</v>
      </c>
      <c r="I27" s="8">
        <v>29</v>
      </c>
      <c r="J27" s="7">
        <v>29</v>
      </c>
      <c r="K27" s="6" t="str">
        <f t="shared" si="0"/>
        <v>REVIEW</v>
      </c>
      <c r="L27" s="6" t="str">
        <f t="shared" si="1"/>
        <v>OK</v>
      </c>
      <c r="M27" s="6" t="str">
        <f>IF('Product Review'!U27="","MISSING","FOUND")</f>
        <v>FOUND</v>
      </c>
      <c r="N27" s="6"/>
    </row>
    <row r="28" spans="1:14" s="23" customFormat="1" ht="15">
      <c r="A28" s="19" t="s">
        <v>118</v>
      </c>
      <c r="B28" s="20" t="str">
        <f>"107221269"</f>
        <v>107221269</v>
      </c>
      <c r="C28" s="19" t="s">
        <v>119</v>
      </c>
      <c r="D28" s="19" t="s">
        <v>39</v>
      </c>
      <c r="E28" s="19" t="s">
        <v>54</v>
      </c>
      <c r="F28" s="19" t="s">
        <v>55</v>
      </c>
      <c r="G28" s="21">
        <v>70</v>
      </c>
      <c r="H28" s="22">
        <v>70</v>
      </c>
      <c r="I28" s="21">
        <v>99</v>
      </c>
      <c r="J28" s="22">
        <v>99</v>
      </c>
      <c r="K28" s="19" t="str">
        <f t="shared" si="0"/>
        <v>REVIEW</v>
      </c>
      <c r="L28" s="19" t="str">
        <f t="shared" si="1"/>
        <v>OK</v>
      </c>
      <c r="M28" s="19" t="str">
        <f>IF('Product Review'!U28="","MISSING","FOUND")</f>
        <v>FOUND</v>
      </c>
      <c r="N28" s="19"/>
    </row>
    <row r="29" spans="1:14" s="23" customFormat="1" ht="15">
      <c r="A29" s="19" t="s">
        <v>120</v>
      </c>
      <c r="B29" s="20" t="str">
        <f>"107211268"</f>
        <v>107211268</v>
      </c>
      <c r="C29" s="19" t="s">
        <v>121</v>
      </c>
      <c r="D29" s="19" t="s">
        <v>39</v>
      </c>
      <c r="E29" s="19" t="s">
        <v>54</v>
      </c>
      <c r="F29" s="19" t="s">
        <v>55</v>
      </c>
      <c r="G29" s="21">
        <v>70</v>
      </c>
      <c r="H29" s="22">
        <v>70</v>
      </c>
      <c r="I29" s="21">
        <v>129</v>
      </c>
      <c r="J29" s="22">
        <v>129</v>
      </c>
      <c r="K29" s="19" t="str">
        <f t="shared" si="0"/>
        <v>REVIEW</v>
      </c>
      <c r="L29" s="19" t="str">
        <f t="shared" si="1"/>
        <v>OK</v>
      </c>
      <c r="M29" s="19" t="str">
        <f>IF('Product Review'!U29="","MISSING","FOUND")</f>
        <v>FOUND</v>
      </c>
      <c r="N29" s="19"/>
    </row>
    <row r="30" spans="1:14" ht="15">
      <c r="A30" s="6" t="s">
        <v>122</v>
      </c>
      <c r="B30" s="9" t="str">
        <f>"105541110"</f>
        <v>105541110</v>
      </c>
      <c r="C30" s="6" t="s">
        <v>123</v>
      </c>
      <c r="D30" s="6" t="s">
        <v>124</v>
      </c>
      <c r="E30" s="6" t="s">
        <v>54</v>
      </c>
      <c r="F30" s="6" t="s">
        <v>125</v>
      </c>
      <c r="G30" s="8">
        <v>97.62</v>
      </c>
      <c r="H30" s="7">
        <v>97.62</v>
      </c>
      <c r="I30" s="8">
        <v>139.94999999999999</v>
      </c>
      <c r="J30" s="7">
        <v>139.94999999999999</v>
      </c>
      <c r="K30" s="6" t="str">
        <f t="shared" si="0"/>
        <v>REVIEW</v>
      </c>
      <c r="L30" s="6" t="str">
        <f t="shared" si="1"/>
        <v>OK</v>
      </c>
      <c r="M30" s="6" t="str">
        <f>IF('Product Review'!U30="","MISSING","FOUND")</f>
        <v>FOUND</v>
      </c>
      <c r="N30" s="6"/>
    </row>
    <row r="31" spans="1:14" ht="29.25">
      <c r="A31" s="6" t="s">
        <v>126</v>
      </c>
      <c r="B31" s="9" t="str">
        <f>"105531109"</f>
        <v>105531109</v>
      </c>
      <c r="C31" s="6" t="s">
        <v>127</v>
      </c>
      <c r="D31" s="6" t="s">
        <v>124</v>
      </c>
      <c r="E31" s="6" t="s">
        <v>54</v>
      </c>
      <c r="F31" s="6" t="s">
        <v>125</v>
      </c>
      <c r="G31" s="8">
        <v>35.28</v>
      </c>
      <c r="H31" s="7">
        <v>35.28</v>
      </c>
      <c r="I31" s="8">
        <v>54.99</v>
      </c>
      <c r="J31" s="7">
        <v>54.99</v>
      </c>
      <c r="K31" s="6" t="str">
        <f t="shared" si="0"/>
        <v>REVIEW</v>
      </c>
      <c r="L31" s="6" t="str">
        <f t="shared" si="1"/>
        <v>OK</v>
      </c>
      <c r="M31" s="6" t="str">
        <f>IF('Product Review'!U31="","MISSING","FOUND")</f>
        <v>FOUND</v>
      </c>
      <c r="N31" s="6"/>
    </row>
    <row r="32" spans="1:14" ht="15">
      <c r="A32" s="6" t="s">
        <v>128</v>
      </c>
      <c r="B32" s="9" t="str">
        <f>"105461107"</f>
        <v>105461107</v>
      </c>
      <c r="C32" s="6" t="s">
        <v>129</v>
      </c>
      <c r="D32" s="6" t="s">
        <v>130</v>
      </c>
      <c r="E32" s="6" t="s">
        <v>54</v>
      </c>
      <c r="F32" s="6" t="s">
        <v>55</v>
      </c>
      <c r="G32" s="8">
        <v>115</v>
      </c>
      <c r="H32" s="7">
        <v>115</v>
      </c>
      <c r="I32" s="8">
        <v>169</v>
      </c>
      <c r="J32" s="7">
        <v>169</v>
      </c>
      <c r="K32" s="6" t="str">
        <f t="shared" si="0"/>
        <v>REVIEW</v>
      </c>
      <c r="L32" s="6" t="str">
        <f t="shared" si="1"/>
        <v>OK</v>
      </c>
      <c r="M32" s="6" t="str">
        <f>IF('Product Review'!U32="","MISSING","FOUND")</f>
        <v>FOUND</v>
      </c>
      <c r="N32" s="6"/>
    </row>
    <row r="33" spans="1:14" ht="29.25">
      <c r="A33" s="6" t="s">
        <v>131</v>
      </c>
      <c r="B33" s="9" t="str">
        <f>"105451106"</f>
        <v>105451106</v>
      </c>
      <c r="C33" s="6" t="s">
        <v>132</v>
      </c>
      <c r="D33" s="6" t="s">
        <v>84</v>
      </c>
      <c r="E33" s="6" t="s">
        <v>54</v>
      </c>
      <c r="F33" s="6" t="s">
        <v>55</v>
      </c>
      <c r="G33" s="8">
        <v>110</v>
      </c>
      <c r="H33" s="7">
        <v>110</v>
      </c>
      <c r="I33" s="8">
        <v>165</v>
      </c>
      <c r="J33" s="7">
        <v>165</v>
      </c>
      <c r="K33" s="6" t="str">
        <f t="shared" si="0"/>
        <v>REVIEW</v>
      </c>
      <c r="L33" s="6" t="str">
        <f t="shared" si="1"/>
        <v>OK</v>
      </c>
      <c r="M33" s="6" t="str">
        <f>IF('Product Review'!U33="","MISSING","FOUND")</f>
        <v>MISSING</v>
      </c>
      <c r="N33" s="6" t="s">
        <v>133</v>
      </c>
    </row>
    <row r="34" spans="1:14" ht="15">
      <c r="A34" s="6" t="s">
        <v>134</v>
      </c>
      <c r="B34" s="9" t="str">
        <f>"105121088"</f>
        <v>105121088</v>
      </c>
      <c r="C34" s="6" t="s">
        <v>135</v>
      </c>
      <c r="D34" s="6" t="s">
        <v>84</v>
      </c>
      <c r="E34" s="6" t="s">
        <v>54</v>
      </c>
      <c r="F34" s="6" t="s">
        <v>60</v>
      </c>
      <c r="G34" s="8">
        <v>40</v>
      </c>
      <c r="H34" s="7">
        <v>40</v>
      </c>
      <c r="I34" s="8">
        <v>79</v>
      </c>
      <c r="J34" s="7">
        <v>79</v>
      </c>
      <c r="K34" s="6" t="str">
        <f t="shared" ref="K34:K65" si="2">IF(H34&lt;=0,"MISSING","REVIEW")</f>
        <v>REVIEW</v>
      </c>
      <c r="L34" s="6" t="str">
        <f t="shared" ref="L34:L65" si="3">IF(OR(J34&lt;=0,J34&gt;100000),"CHECK","OK")</f>
        <v>OK</v>
      </c>
      <c r="M34" s="6" t="str">
        <f>IF('Product Review'!U34="","MISSING","FOUND")</f>
        <v>FOUND</v>
      </c>
      <c r="N34" s="6"/>
    </row>
    <row r="35" spans="1:14" ht="15">
      <c r="A35" s="6" t="s">
        <v>136</v>
      </c>
      <c r="B35" s="9" t="str">
        <f>"103200041029"</f>
        <v>103200041029</v>
      </c>
      <c r="C35" s="6" t="s">
        <v>137</v>
      </c>
      <c r="D35" s="6" t="s">
        <v>138</v>
      </c>
      <c r="E35" s="6" t="s">
        <v>54</v>
      </c>
      <c r="F35" s="6" t="s">
        <v>60</v>
      </c>
      <c r="G35" s="8">
        <v>3.9</v>
      </c>
      <c r="H35" s="7">
        <v>3.9</v>
      </c>
      <c r="I35" s="8">
        <v>15.99</v>
      </c>
      <c r="J35" s="7">
        <v>15.99</v>
      </c>
      <c r="K35" s="6" t="str">
        <f t="shared" si="2"/>
        <v>REVIEW</v>
      </c>
      <c r="L35" s="6" t="str">
        <f t="shared" si="3"/>
        <v>OK</v>
      </c>
      <c r="M35" s="6" t="str">
        <f>IF('Product Review'!U35="","MISSING","FOUND")</f>
        <v>FOUND</v>
      </c>
      <c r="N35" s="6" t="s">
        <v>139</v>
      </c>
    </row>
    <row r="36" spans="1:14" s="23" customFormat="1" ht="29.25">
      <c r="A36" s="19" t="s">
        <v>140</v>
      </c>
      <c r="B36" s="20" t="str">
        <f>"TM8-COMP-10319"</f>
        <v>TM8-COMP-10319</v>
      </c>
      <c r="C36" s="19" t="s">
        <v>141</v>
      </c>
      <c r="D36" s="19" t="s">
        <v>39</v>
      </c>
      <c r="E36" s="19" t="s">
        <v>54</v>
      </c>
      <c r="F36" s="19" t="s">
        <v>55</v>
      </c>
      <c r="G36" s="21">
        <v>0</v>
      </c>
      <c r="H36" s="22">
        <v>0</v>
      </c>
      <c r="I36" s="21">
        <v>0</v>
      </c>
      <c r="J36" s="22">
        <v>0</v>
      </c>
      <c r="K36" s="19" t="str">
        <f t="shared" si="2"/>
        <v>MISSING</v>
      </c>
      <c r="L36" s="19" t="str">
        <f t="shared" si="3"/>
        <v>CHECK</v>
      </c>
      <c r="M36" s="19" t="str">
        <f>IF('Product Review'!U36="","MISSING","FOUND")</f>
        <v>FOUND</v>
      </c>
      <c r="N36" s="19" t="s">
        <v>142</v>
      </c>
    </row>
    <row r="37" spans="1:14" s="23" customFormat="1" ht="29.25">
      <c r="A37" s="19" t="s">
        <v>143</v>
      </c>
      <c r="B37" s="20" t="str">
        <f>"TM8-COMP-10318"</f>
        <v>TM8-COMP-10318</v>
      </c>
      <c r="C37" s="19" t="s">
        <v>144</v>
      </c>
      <c r="D37" s="19" t="s">
        <v>39</v>
      </c>
      <c r="E37" s="19" t="s">
        <v>54</v>
      </c>
      <c r="F37" s="19" t="s">
        <v>55</v>
      </c>
      <c r="G37" s="21">
        <v>0</v>
      </c>
      <c r="H37" s="22">
        <v>0</v>
      </c>
      <c r="I37" s="21">
        <v>0</v>
      </c>
      <c r="J37" s="22">
        <v>0</v>
      </c>
      <c r="K37" s="19" t="str">
        <f t="shared" si="2"/>
        <v>MISSING</v>
      </c>
      <c r="L37" s="19" t="str">
        <f t="shared" si="3"/>
        <v>CHECK</v>
      </c>
      <c r="M37" s="19" t="str">
        <f>IF('Product Review'!U37="","MISSING","FOUND")</f>
        <v>FOUND</v>
      </c>
      <c r="N37" s="19" t="s">
        <v>142</v>
      </c>
    </row>
    <row r="38" spans="1:14" s="23" customFormat="1" ht="29.25">
      <c r="A38" s="19" t="s">
        <v>145</v>
      </c>
      <c r="B38" s="20" t="str">
        <f>"TM8-COMP-10317"</f>
        <v>TM8-COMP-10317</v>
      </c>
      <c r="C38" s="19" t="s">
        <v>146</v>
      </c>
      <c r="D38" s="19" t="s">
        <v>39</v>
      </c>
      <c r="E38" s="19" t="s">
        <v>54</v>
      </c>
      <c r="F38" s="19" t="s">
        <v>55</v>
      </c>
      <c r="G38" s="21">
        <v>0</v>
      </c>
      <c r="H38" s="22">
        <v>0</v>
      </c>
      <c r="I38" s="21">
        <v>0</v>
      </c>
      <c r="J38" s="22">
        <v>0</v>
      </c>
      <c r="K38" s="19" t="str">
        <f t="shared" si="2"/>
        <v>MISSING</v>
      </c>
      <c r="L38" s="19" t="str">
        <f t="shared" si="3"/>
        <v>CHECK</v>
      </c>
      <c r="M38" s="19" t="str">
        <f>IF('Product Review'!U38="","MISSING","FOUND")</f>
        <v>FOUND</v>
      </c>
      <c r="N38" s="19" t="s">
        <v>142</v>
      </c>
    </row>
    <row r="39" spans="1:14" s="23" customFormat="1" ht="15">
      <c r="A39" s="19" t="s">
        <v>147</v>
      </c>
      <c r="B39" s="20" t="str">
        <f>"TM8-COMP-10300"</f>
        <v>TM8-COMP-10300</v>
      </c>
      <c r="C39" s="19" t="s">
        <v>148</v>
      </c>
      <c r="D39" s="19" t="s">
        <v>149</v>
      </c>
      <c r="E39" s="19" t="s">
        <v>54</v>
      </c>
      <c r="F39" s="19" t="s">
        <v>55</v>
      </c>
      <c r="G39" s="21">
        <v>39.5</v>
      </c>
      <c r="H39" s="22">
        <v>39.5</v>
      </c>
      <c r="I39" s="21">
        <v>25</v>
      </c>
      <c r="J39" s="22">
        <v>25</v>
      </c>
      <c r="K39" s="19" t="str">
        <f t="shared" si="2"/>
        <v>REVIEW</v>
      </c>
      <c r="L39" s="19" t="str">
        <f t="shared" si="3"/>
        <v>OK</v>
      </c>
      <c r="M39" s="19" t="str">
        <f>IF('Product Review'!U39="","MISSING","FOUND")</f>
        <v>FOUND</v>
      </c>
      <c r="N39" s="19"/>
    </row>
    <row r="40" spans="1:14" ht="15">
      <c r="A40" s="6" t="s">
        <v>150</v>
      </c>
      <c r="B40" s="9" t="str">
        <f>"TM8-COMP-10299"</f>
        <v>TM8-COMP-10299</v>
      </c>
      <c r="C40" s="6" t="s">
        <v>151</v>
      </c>
      <c r="D40" s="6" t="s">
        <v>39</v>
      </c>
      <c r="E40" s="6" t="s">
        <v>54</v>
      </c>
      <c r="F40" s="6" t="s">
        <v>60</v>
      </c>
      <c r="G40" s="8">
        <v>35</v>
      </c>
      <c r="H40" s="7">
        <v>35</v>
      </c>
      <c r="I40" s="8">
        <v>109</v>
      </c>
      <c r="J40" s="7">
        <v>109</v>
      </c>
      <c r="K40" s="6" t="str">
        <f t="shared" si="2"/>
        <v>REVIEW</v>
      </c>
      <c r="L40" s="6" t="str">
        <f t="shared" si="3"/>
        <v>OK</v>
      </c>
      <c r="M40" s="6" t="str">
        <f>IF('Product Review'!U40="","MISSING","FOUND")</f>
        <v>FOUND</v>
      </c>
      <c r="N40" s="6"/>
    </row>
    <row r="41" spans="1:14" ht="29.25">
      <c r="A41" s="6" t="s">
        <v>152</v>
      </c>
      <c r="B41" s="9" t="str">
        <f>"TM8-COMP-10298"</f>
        <v>TM8-COMP-10298</v>
      </c>
      <c r="C41" s="6" t="s">
        <v>153</v>
      </c>
      <c r="D41" s="6" t="s">
        <v>149</v>
      </c>
      <c r="E41" s="6" t="s">
        <v>54</v>
      </c>
      <c r="F41" s="6" t="s">
        <v>55</v>
      </c>
      <c r="G41" s="8">
        <v>70</v>
      </c>
      <c r="H41" s="7">
        <v>70</v>
      </c>
      <c r="I41" s="8">
        <v>129</v>
      </c>
      <c r="J41" s="7">
        <v>129</v>
      </c>
      <c r="K41" s="6" t="str">
        <f t="shared" si="2"/>
        <v>REVIEW</v>
      </c>
      <c r="L41" s="6" t="str">
        <f t="shared" si="3"/>
        <v>OK</v>
      </c>
      <c r="M41" s="6" t="str">
        <f>IF('Product Review'!U41="","MISSING","FOUND")</f>
        <v>FOUND</v>
      </c>
      <c r="N41" s="6" t="s">
        <v>75</v>
      </c>
    </row>
    <row r="42" spans="1:14" ht="29.25">
      <c r="A42" s="6" t="s">
        <v>154</v>
      </c>
      <c r="B42" s="9" t="str">
        <f>"TM8-COMP-10297"</f>
        <v>TM8-COMP-10297</v>
      </c>
      <c r="C42" s="6" t="s">
        <v>155</v>
      </c>
      <c r="D42" s="6" t="s">
        <v>149</v>
      </c>
      <c r="E42" s="6" t="s">
        <v>54</v>
      </c>
      <c r="F42" s="6" t="s">
        <v>55</v>
      </c>
      <c r="G42" s="8">
        <v>60</v>
      </c>
      <c r="H42" s="7">
        <v>60</v>
      </c>
      <c r="I42" s="8">
        <v>99</v>
      </c>
      <c r="J42" s="7">
        <v>99</v>
      </c>
      <c r="K42" s="6" t="str">
        <f t="shared" si="2"/>
        <v>REVIEW</v>
      </c>
      <c r="L42" s="6" t="str">
        <f t="shared" si="3"/>
        <v>OK</v>
      </c>
      <c r="M42" s="6" t="str">
        <f>IF('Product Review'!U42="","MISSING","FOUND")</f>
        <v>FOUND</v>
      </c>
      <c r="N42" s="6"/>
    </row>
    <row r="43" spans="1:14" ht="29.25">
      <c r="A43" s="6" t="s">
        <v>156</v>
      </c>
      <c r="B43" s="9" t="str">
        <f>"TM8-COMP-10296"</f>
        <v>TM8-COMP-10296</v>
      </c>
      <c r="C43" s="6" t="s">
        <v>157</v>
      </c>
      <c r="D43" s="6" t="s">
        <v>149</v>
      </c>
      <c r="E43" s="6" t="s">
        <v>54</v>
      </c>
      <c r="F43" s="6" t="s">
        <v>55</v>
      </c>
      <c r="G43" s="8">
        <v>70</v>
      </c>
      <c r="H43" s="7">
        <v>70</v>
      </c>
      <c r="I43" s="8">
        <v>129</v>
      </c>
      <c r="J43" s="7">
        <v>129</v>
      </c>
      <c r="K43" s="6" t="str">
        <f t="shared" si="2"/>
        <v>REVIEW</v>
      </c>
      <c r="L43" s="6" t="str">
        <f t="shared" si="3"/>
        <v>OK</v>
      </c>
      <c r="M43" s="6" t="str">
        <f>IF('Product Review'!U43="","MISSING","FOUND")</f>
        <v>FOUND</v>
      </c>
      <c r="N43" s="6" t="s">
        <v>75</v>
      </c>
    </row>
    <row r="44" spans="1:14" ht="29.25">
      <c r="A44" s="6" t="s">
        <v>158</v>
      </c>
      <c r="B44" s="9" t="str">
        <f>"TM8-COMP-10295"</f>
        <v>TM8-COMP-10295</v>
      </c>
      <c r="C44" s="6" t="s">
        <v>159</v>
      </c>
      <c r="D44" s="6" t="s">
        <v>160</v>
      </c>
      <c r="E44" s="6" t="s">
        <v>54</v>
      </c>
      <c r="F44" s="6" t="s">
        <v>55</v>
      </c>
      <c r="G44" s="8">
        <v>3</v>
      </c>
      <c r="H44" s="7">
        <v>3</v>
      </c>
      <c r="I44" s="8">
        <v>12.99</v>
      </c>
      <c r="J44" s="7">
        <v>12.99</v>
      </c>
      <c r="K44" s="6" t="str">
        <f t="shared" si="2"/>
        <v>REVIEW</v>
      </c>
      <c r="L44" s="6" t="str">
        <f t="shared" si="3"/>
        <v>OK</v>
      </c>
      <c r="M44" s="6" t="str">
        <f>IF('Product Review'!U44="","MISSING","FOUND")</f>
        <v>FOUND</v>
      </c>
      <c r="N44" s="6" t="s">
        <v>161</v>
      </c>
    </row>
    <row r="45" spans="1:14" s="23" customFormat="1" ht="15">
      <c r="A45" s="19" t="s">
        <v>162</v>
      </c>
      <c r="B45" s="20" t="str">
        <f>"TM8-COMP-10294"</f>
        <v>TM8-COMP-10294</v>
      </c>
      <c r="C45" s="19" t="s">
        <v>163</v>
      </c>
      <c r="D45" s="19" t="s">
        <v>164</v>
      </c>
      <c r="E45" s="19" t="s">
        <v>54</v>
      </c>
      <c r="F45" s="19" t="s">
        <v>165</v>
      </c>
      <c r="G45" s="21">
        <v>460</v>
      </c>
      <c r="H45" s="22">
        <v>460</v>
      </c>
      <c r="I45" s="21">
        <v>729</v>
      </c>
      <c r="J45" s="22">
        <v>729</v>
      </c>
      <c r="K45" s="19" t="str">
        <f t="shared" si="2"/>
        <v>REVIEW</v>
      </c>
      <c r="L45" s="19" t="str">
        <f t="shared" si="3"/>
        <v>OK</v>
      </c>
      <c r="M45" s="19" t="str">
        <f>IF('Product Review'!U45="","MISSING","FOUND")</f>
        <v>FOUND</v>
      </c>
      <c r="N45" s="19" t="s">
        <v>75</v>
      </c>
    </row>
    <row r="46" spans="1:14" ht="15">
      <c r="A46" s="6" t="s">
        <v>166</v>
      </c>
      <c r="B46" s="9" t="str">
        <f>"TM8-COMP-10293"</f>
        <v>TM8-COMP-10293</v>
      </c>
      <c r="C46" s="6" t="s">
        <v>167</v>
      </c>
      <c r="D46" s="6" t="s">
        <v>164</v>
      </c>
      <c r="E46" s="6" t="s">
        <v>54</v>
      </c>
      <c r="F46" s="6" t="s">
        <v>165</v>
      </c>
      <c r="G46" s="8">
        <v>150</v>
      </c>
      <c r="H46" s="7">
        <v>150</v>
      </c>
      <c r="I46" s="8">
        <v>299</v>
      </c>
      <c r="J46" s="7">
        <v>299</v>
      </c>
      <c r="K46" s="6" t="str">
        <f t="shared" si="2"/>
        <v>REVIEW</v>
      </c>
      <c r="L46" s="6" t="str">
        <f t="shared" si="3"/>
        <v>OK</v>
      </c>
      <c r="M46" s="6" t="str">
        <f>IF('Product Review'!U46="","MISSING","FOUND")</f>
        <v>FOUND</v>
      </c>
      <c r="N46" s="6"/>
    </row>
    <row r="47" spans="1:14" s="23" customFormat="1" ht="15">
      <c r="A47" s="19" t="s">
        <v>168</v>
      </c>
      <c r="B47" s="20" t="str">
        <f>"TM8-COMP-10292"</f>
        <v>TM8-COMP-10292</v>
      </c>
      <c r="C47" s="19" t="s">
        <v>169</v>
      </c>
      <c r="D47" s="19" t="s">
        <v>164</v>
      </c>
      <c r="E47" s="19" t="s">
        <v>54</v>
      </c>
      <c r="F47" s="19" t="s">
        <v>165</v>
      </c>
      <c r="G47" s="21">
        <v>600</v>
      </c>
      <c r="H47" s="22">
        <v>600</v>
      </c>
      <c r="I47" s="21">
        <v>999999999</v>
      </c>
      <c r="J47" s="22">
        <v>999999999</v>
      </c>
      <c r="K47" s="19" t="str">
        <f t="shared" si="2"/>
        <v>REVIEW</v>
      </c>
      <c r="L47" s="19" t="str">
        <f t="shared" si="3"/>
        <v>CHECK</v>
      </c>
      <c r="M47" s="19" t="str">
        <f>IF('Product Review'!U47="","MISSING","FOUND")</f>
        <v>FOUND</v>
      </c>
      <c r="N47" s="19" t="s">
        <v>170</v>
      </c>
    </row>
    <row r="48" spans="1:14" s="23" customFormat="1" ht="15">
      <c r="A48" s="19" t="s">
        <v>171</v>
      </c>
      <c r="B48" s="20" t="str">
        <f>"TM8-COMP-10290"</f>
        <v>TM8-COMP-10290</v>
      </c>
      <c r="C48" s="19" t="s">
        <v>172</v>
      </c>
      <c r="D48" s="19" t="s">
        <v>164</v>
      </c>
      <c r="E48" s="19" t="s">
        <v>54</v>
      </c>
      <c r="F48" s="19" t="s">
        <v>165</v>
      </c>
      <c r="G48" s="21">
        <v>600</v>
      </c>
      <c r="H48" s="22">
        <v>600</v>
      </c>
      <c r="I48" s="21">
        <v>899</v>
      </c>
      <c r="J48" s="22">
        <v>899</v>
      </c>
      <c r="K48" s="19" t="str">
        <f t="shared" si="2"/>
        <v>REVIEW</v>
      </c>
      <c r="L48" s="19" t="str">
        <f t="shared" si="3"/>
        <v>OK</v>
      </c>
      <c r="M48" s="19" t="str">
        <f>IF('Product Review'!U48="","MISSING","FOUND")</f>
        <v>FOUND</v>
      </c>
      <c r="N48" s="19"/>
    </row>
    <row r="49" spans="1:14" s="23" customFormat="1" ht="15">
      <c r="A49" s="19" t="s">
        <v>173</v>
      </c>
      <c r="B49" s="20" t="str">
        <f>"TM8-COMP-10289"</f>
        <v>TM8-COMP-10289</v>
      </c>
      <c r="C49" s="19" t="s">
        <v>174</v>
      </c>
      <c r="D49" s="19" t="s">
        <v>164</v>
      </c>
      <c r="E49" s="19" t="s">
        <v>54</v>
      </c>
      <c r="F49" s="19" t="s">
        <v>165</v>
      </c>
      <c r="G49" s="21">
        <v>476.82</v>
      </c>
      <c r="H49" s="22">
        <v>476.82</v>
      </c>
      <c r="I49" s="21">
        <v>729</v>
      </c>
      <c r="J49" s="22">
        <v>729</v>
      </c>
      <c r="K49" s="19" t="str">
        <f t="shared" si="2"/>
        <v>REVIEW</v>
      </c>
      <c r="L49" s="19" t="str">
        <f t="shared" si="3"/>
        <v>OK</v>
      </c>
      <c r="M49" s="19" t="str">
        <f>IF('Product Review'!U49="","MISSING","FOUND")</f>
        <v>FOUND</v>
      </c>
      <c r="N49" s="19"/>
    </row>
    <row r="50" spans="1:14" s="23" customFormat="1" ht="15">
      <c r="A50" s="19" t="s">
        <v>175</v>
      </c>
      <c r="B50" s="20" t="str">
        <f>"TM8-COMP-10288"</f>
        <v>TM8-COMP-10288</v>
      </c>
      <c r="C50" s="19" t="s">
        <v>176</v>
      </c>
      <c r="D50" s="19" t="s">
        <v>164</v>
      </c>
      <c r="E50" s="19" t="s">
        <v>54</v>
      </c>
      <c r="F50" s="19" t="s">
        <v>165</v>
      </c>
      <c r="G50" s="21">
        <v>434.15</v>
      </c>
      <c r="H50" s="22">
        <v>434.15</v>
      </c>
      <c r="I50" s="21">
        <v>799</v>
      </c>
      <c r="J50" s="22">
        <v>799</v>
      </c>
      <c r="K50" s="19" t="str">
        <f t="shared" si="2"/>
        <v>REVIEW</v>
      </c>
      <c r="L50" s="19" t="str">
        <f t="shared" si="3"/>
        <v>OK</v>
      </c>
      <c r="M50" s="19" t="str">
        <f>IF('Product Review'!U50="","MISSING","FOUND")</f>
        <v>FOUND</v>
      </c>
      <c r="N50" s="19"/>
    </row>
    <row r="51" spans="1:14" s="23" customFormat="1" ht="15">
      <c r="A51" s="19" t="s">
        <v>177</v>
      </c>
      <c r="B51" s="20" t="str">
        <f>"TM8-COMP-10287"</f>
        <v>TM8-COMP-10287</v>
      </c>
      <c r="C51" s="19" t="s">
        <v>178</v>
      </c>
      <c r="D51" s="19" t="s">
        <v>164</v>
      </c>
      <c r="E51" s="19" t="s">
        <v>54</v>
      </c>
      <c r="F51" s="19" t="s">
        <v>165</v>
      </c>
      <c r="G51" s="21">
        <v>544.03</v>
      </c>
      <c r="H51" s="22">
        <v>544.03</v>
      </c>
      <c r="I51" s="21">
        <v>799</v>
      </c>
      <c r="J51" s="22">
        <v>799</v>
      </c>
      <c r="K51" s="19" t="str">
        <f t="shared" si="2"/>
        <v>REVIEW</v>
      </c>
      <c r="L51" s="19" t="str">
        <f t="shared" si="3"/>
        <v>OK</v>
      </c>
      <c r="M51" s="19" t="str">
        <f>IF('Product Review'!U51="","MISSING","FOUND")</f>
        <v>FOUND</v>
      </c>
      <c r="N51" s="19"/>
    </row>
    <row r="52" spans="1:14" s="23" customFormat="1" ht="15">
      <c r="A52" s="19" t="s">
        <v>179</v>
      </c>
      <c r="B52" s="20" t="str">
        <f>"TM8-COMP-10268"</f>
        <v>TM8-COMP-10268</v>
      </c>
      <c r="C52" s="19" t="s">
        <v>180</v>
      </c>
      <c r="D52" s="19" t="s">
        <v>39</v>
      </c>
      <c r="E52" s="19" t="s">
        <v>54</v>
      </c>
      <c r="F52" s="19" t="s">
        <v>55</v>
      </c>
      <c r="G52" s="21">
        <v>79</v>
      </c>
      <c r="H52" s="22">
        <v>79</v>
      </c>
      <c r="I52" s="21">
        <v>399</v>
      </c>
      <c r="J52" s="22">
        <v>399</v>
      </c>
      <c r="K52" s="19" t="str">
        <f t="shared" si="2"/>
        <v>REVIEW</v>
      </c>
      <c r="L52" s="19" t="str">
        <f t="shared" si="3"/>
        <v>OK</v>
      </c>
      <c r="M52" s="19" t="str">
        <f>IF('Product Review'!U52="","MISSING","FOUND")</f>
        <v>FOUND</v>
      </c>
      <c r="N52" s="19"/>
    </row>
    <row r="53" spans="1:14" ht="15">
      <c r="A53" s="6" t="s">
        <v>181</v>
      </c>
      <c r="B53" s="9" t="str">
        <f>"TM8-COMP-10203"</f>
        <v>TM8-COMP-10203</v>
      </c>
      <c r="C53" s="6" t="s">
        <v>182</v>
      </c>
      <c r="D53" s="6" t="s">
        <v>39</v>
      </c>
      <c r="E53" s="6" t="s">
        <v>40</v>
      </c>
      <c r="F53" s="6" t="s">
        <v>41</v>
      </c>
      <c r="G53" s="8">
        <v>6</v>
      </c>
      <c r="H53" s="7">
        <v>6</v>
      </c>
      <c r="I53" s="8">
        <v>35</v>
      </c>
      <c r="J53" s="7">
        <v>35</v>
      </c>
      <c r="K53" s="6" t="str">
        <f t="shared" si="2"/>
        <v>REVIEW</v>
      </c>
      <c r="L53" s="6" t="str">
        <f t="shared" si="3"/>
        <v>OK</v>
      </c>
      <c r="M53" s="6" t="str">
        <f>IF('Product Review'!U53="","MISSING","FOUND")</f>
        <v>FOUND</v>
      </c>
      <c r="N53" s="6" t="s">
        <v>75</v>
      </c>
    </row>
    <row r="54" spans="1:14" ht="15">
      <c r="A54" s="6" t="s">
        <v>183</v>
      </c>
      <c r="B54" s="9" t="str">
        <f>"TM8-COMP-10202"</f>
        <v>TM8-COMP-10202</v>
      </c>
      <c r="C54" s="6" t="s">
        <v>184</v>
      </c>
      <c r="D54" s="6" t="s">
        <v>185</v>
      </c>
      <c r="E54" s="6" t="s">
        <v>54</v>
      </c>
      <c r="F54" s="6" t="s">
        <v>55</v>
      </c>
      <c r="G54" s="8">
        <v>3</v>
      </c>
      <c r="H54" s="7">
        <v>3</v>
      </c>
      <c r="I54" s="8">
        <v>19</v>
      </c>
      <c r="J54" s="7">
        <v>19</v>
      </c>
      <c r="K54" s="6" t="str">
        <f t="shared" si="2"/>
        <v>REVIEW</v>
      </c>
      <c r="L54" s="6" t="str">
        <f t="shared" si="3"/>
        <v>OK</v>
      </c>
      <c r="M54" s="6" t="str">
        <f>IF('Product Review'!U54="","MISSING","FOUND")</f>
        <v>FOUND</v>
      </c>
      <c r="N54" s="6"/>
    </row>
    <row r="55" spans="1:14" ht="15">
      <c r="A55" s="6" t="s">
        <v>186</v>
      </c>
      <c r="B55" s="9" t="str">
        <f>"TM8-COMP-10201"</f>
        <v>TM8-COMP-10201</v>
      </c>
      <c r="C55" s="6" t="s">
        <v>187</v>
      </c>
      <c r="D55" s="6" t="s">
        <v>185</v>
      </c>
      <c r="E55" s="6" t="s">
        <v>54</v>
      </c>
      <c r="F55" s="6" t="s">
        <v>55</v>
      </c>
      <c r="G55" s="8">
        <v>3</v>
      </c>
      <c r="H55" s="7">
        <v>3</v>
      </c>
      <c r="I55" s="8">
        <v>19</v>
      </c>
      <c r="J55" s="7">
        <v>19</v>
      </c>
      <c r="K55" s="6" t="str">
        <f t="shared" si="2"/>
        <v>REVIEW</v>
      </c>
      <c r="L55" s="6" t="str">
        <f t="shared" si="3"/>
        <v>OK</v>
      </c>
      <c r="M55" s="6" t="str">
        <f>IF('Product Review'!U55="","MISSING","FOUND")</f>
        <v>FOUND</v>
      </c>
      <c r="N55" s="6"/>
    </row>
    <row r="56" spans="1:14" ht="15">
      <c r="A56" s="6" t="s">
        <v>188</v>
      </c>
      <c r="B56" s="9" t="str">
        <f>"TM8-COMP-10200"</f>
        <v>TM8-COMP-10200</v>
      </c>
      <c r="C56" s="6" t="s">
        <v>189</v>
      </c>
      <c r="D56" s="6" t="s">
        <v>185</v>
      </c>
      <c r="E56" s="6" t="s">
        <v>54</v>
      </c>
      <c r="F56" s="6" t="s">
        <v>55</v>
      </c>
      <c r="G56" s="8">
        <v>10</v>
      </c>
      <c r="H56" s="7">
        <v>10</v>
      </c>
      <c r="I56" s="8">
        <v>49</v>
      </c>
      <c r="J56" s="7">
        <v>49</v>
      </c>
      <c r="K56" s="6" t="str">
        <f t="shared" si="2"/>
        <v>REVIEW</v>
      </c>
      <c r="L56" s="6" t="str">
        <f t="shared" si="3"/>
        <v>OK</v>
      </c>
      <c r="M56" s="6" t="str">
        <f>IF('Product Review'!U56="","MISSING","FOUND")</f>
        <v>FOUND</v>
      </c>
      <c r="N56" s="6"/>
    </row>
    <row r="57" spans="1:14" ht="15">
      <c r="A57" s="6" t="s">
        <v>190</v>
      </c>
      <c r="B57" s="9" t="str">
        <f>"TM8-COMP-10199"</f>
        <v>TM8-COMP-10199</v>
      </c>
      <c r="C57" s="6" t="s">
        <v>191</v>
      </c>
      <c r="D57" s="6" t="s">
        <v>185</v>
      </c>
      <c r="E57" s="6" t="s">
        <v>54</v>
      </c>
      <c r="F57" s="6" t="s">
        <v>55</v>
      </c>
      <c r="G57" s="8">
        <v>10</v>
      </c>
      <c r="H57" s="7">
        <v>10</v>
      </c>
      <c r="I57" s="8">
        <v>49</v>
      </c>
      <c r="J57" s="7">
        <v>49</v>
      </c>
      <c r="K57" s="6" t="str">
        <f t="shared" si="2"/>
        <v>REVIEW</v>
      </c>
      <c r="L57" s="6" t="str">
        <f t="shared" si="3"/>
        <v>OK</v>
      </c>
      <c r="M57" s="6" t="str">
        <f>IF('Product Review'!U57="","MISSING","FOUND")</f>
        <v>FOUND</v>
      </c>
      <c r="N57" s="6"/>
    </row>
    <row r="58" spans="1:14" ht="15">
      <c r="A58" s="6" t="s">
        <v>192</v>
      </c>
      <c r="B58" s="9" t="str">
        <f>"TM8-COMP-10196"</f>
        <v>TM8-COMP-10196</v>
      </c>
      <c r="C58" s="6" t="s">
        <v>193</v>
      </c>
      <c r="D58" s="6" t="s">
        <v>164</v>
      </c>
      <c r="E58" s="6" t="s">
        <v>54</v>
      </c>
      <c r="F58" s="6" t="s">
        <v>165</v>
      </c>
      <c r="G58" s="8">
        <v>218.15</v>
      </c>
      <c r="H58" s="7">
        <v>218.15</v>
      </c>
      <c r="I58" s="8">
        <v>299</v>
      </c>
      <c r="J58" s="7">
        <v>299</v>
      </c>
      <c r="K58" s="6" t="str">
        <f t="shared" si="2"/>
        <v>REVIEW</v>
      </c>
      <c r="L58" s="6" t="str">
        <f t="shared" si="3"/>
        <v>OK</v>
      </c>
      <c r="M58" s="6" t="str">
        <f>IF('Product Review'!U58="","MISSING","FOUND")</f>
        <v>FOUND</v>
      </c>
      <c r="N58" s="6" t="s">
        <v>75</v>
      </c>
    </row>
    <row r="59" spans="1:14" ht="15">
      <c r="A59" s="6" t="s">
        <v>194</v>
      </c>
      <c r="B59" s="9" t="str">
        <f>"TM8-COMP-10194"</f>
        <v>TM8-COMP-10194</v>
      </c>
      <c r="C59" s="6" t="s">
        <v>195</v>
      </c>
      <c r="D59" s="6" t="s">
        <v>164</v>
      </c>
      <c r="E59" s="6" t="s">
        <v>54</v>
      </c>
      <c r="F59" s="6" t="s">
        <v>165</v>
      </c>
      <c r="G59" s="8">
        <v>68.150000000000006</v>
      </c>
      <c r="H59" s="7">
        <v>68.150000000000006</v>
      </c>
      <c r="I59" s="8">
        <v>99.95</v>
      </c>
      <c r="J59" s="7">
        <v>99.95</v>
      </c>
      <c r="K59" s="6" t="str">
        <f t="shared" si="2"/>
        <v>REVIEW</v>
      </c>
      <c r="L59" s="6" t="str">
        <f t="shared" si="3"/>
        <v>OK</v>
      </c>
      <c r="M59" s="6" t="str">
        <f>IF('Product Review'!U59="","MISSING","FOUND")</f>
        <v>FOUND</v>
      </c>
      <c r="N59" s="6"/>
    </row>
    <row r="60" spans="1:14" s="23" customFormat="1" ht="15">
      <c r="A60" s="19" t="s">
        <v>196</v>
      </c>
      <c r="B60" s="20" t="str">
        <f>"TM8-COMP-10193"</f>
        <v>TM8-COMP-10193</v>
      </c>
      <c r="C60" s="19" t="s">
        <v>197</v>
      </c>
      <c r="D60" s="19" t="s">
        <v>164</v>
      </c>
      <c r="E60" s="19" t="s">
        <v>54</v>
      </c>
      <c r="F60" s="19" t="s">
        <v>165</v>
      </c>
      <c r="G60" s="21">
        <v>270.42</v>
      </c>
      <c r="H60" s="22">
        <v>270.42</v>
      </c>
      <c r="I60" s="21">
        <v>349</v>
      </c>
      <c r="J60" s="22">
        <v>349</v>
      </c>
      <c r="K60" s="19" t="str">
        <f t="shared" si="2"/>
        <v>REVIEW</v>
      </c>
      <c r="L60" s="19" t="str">
        <f t="shared" si="3"/>
        <v>OK</v>
      </c>
      <c r="M60" s="19" t="str">
        <f>IF('Product Review'!U60="","MISSING","FOUND")</f>
        <v>FOUND</v>
      </c>
      <c r="N60" s="19"/>
    </row>
    <row r="61" spans="1:14" s="23" customFormat="1" ht="15">
      <c r="A61" s="19" t="s">
        <v>198</v>
      </c>
      <c r="B61" s="20" t="str">
        <f>"TM8-COMP-10192"</f>
        <v>TM8-COMP-10192</v>
      </c>
      <c r="C61" s="19" t="s">
        <v>199</v>
      </c>
      <c r="D61" s="19" t="s">
        <v>164</v>
      </c>
      <c r="E61" s="19" t="s">
        <v>54</v>
      </c>
      <c r="F61" s="19" t="s">
        <v>165</v>
      </c>
      <c r="G61" s="21">
        <v>136.33000000000001</v>
      </c>
      <c r="H61" s="22">
        <v>136.33000000000001</v>
      </c>
      <c r="I61" s="21">
        <v>199</v>
      </c>
      <c r="J61" s="22">
        <v>199</v>
      </c>
      <c r="K61" s="19" t="str">
        <f t="shared" si="2"/>
        <v>REVIEW</v>
      </c>
      <c r="L61" s="19" t="str">
        <f t="shared" si="3"/>
        <v>OK</v>
      </c>
      <c r="M61" s="19" t="str">
        <f>IF('Product Review'!U61="","MISSING","FOUND")</f>
        <v>FOUND</v>
      </c>
      <c r="N61" s="19" t="s">
        <v>75</v>
      </c>
    </row>
    <row r="62" spans="1:14" s="23" customFormat="1" ht="15">
      <c r="A62" s="19" t="s">
        <v>200</v>
      </c>
      <c r="B62" s="20" t="str">
        <f>"TM8-COMP-10191"</f>
        <v>TM8-COMP-10191</v>
      </c>
      <c r="C62" s="19" t="s">
        <v>763</v>
      </c>
      <c r="D62" s="19" t="s">
        <v>164</v>
      </c>
      <c r="E62" s="19" t="s">
        <v>54</v>
      </c>
      <c r="F62" s="19" t="s">
        <v>165</v>
      </c>
      <c r="G62" s="21">
        <v>30</v>
      </c>
      <c r="H62" s="22">
        <v>30</v>
      </c>
      <c r="I62" s="21">
        <v>59</v>
      </c>
      <c r="J62" s="22">
        <v>59</v>
      </c>
      <c r="K62" s="19" t="str">
        <f t="shared" si="2"/>
        <v>REVIEW</v>
      </c>
      <c r="L62" s="19" t="str">
        <f t="shared" si="3"/>
        <v>OK</v>
      </c>
      <c r="M62" s="19" t="str">
        <f>IF('Product Review'!U62="","MISSING","FOUND")</f>
        <v>FOUND</v>
      </c>
      <c r="N62" s="19"/>
    </row>
    <row r="63" spans="1:14" s="23" customFormat="1" ht="15">
      <c r="A63" s="19" t="s">
        <v>202</v>
      </c>
      <c r="B63" s="20" t="str">
        <f>"TM8-COMP-10190"</f>
        <v>TM8-COMP-10190</v>
      </c>
      <c r="C63" s="19" t="s">
        <v>203</v>
      </c>
      <c r="D63" s="19" t="s">
        <v>164</v>
      </c>
      <c r="E63" s="19" t="s">
        <v>54</v>
      </c>
      <c r="F63" s="19" t="s">
        <v>165</v>
      </c>
      <c r="G63" s="21">
        <v>181.78</v>
      </c>
      <c r="H63" s="22">
        <v>181.78</v>
      </c>
      <c r="I63" s="21">
        <v>249.95</v>
      </c>
      <c r="J63" s="22">
        <v>249.95</v>
      </c>
      <c r="K63" s="19" t="str">
        <f t="shared" si="2"/>
        <v>REVIEW</v>
      </c>
      <c r="L63" s="19" t="str">
        <f t="shared" si="3"/>
        <v>OK</v>
      </c>
      <c r="M63" s="19" t="str">
        <f>IF('Product Review'!U63="","MISSING","FOUND")</f>
        <v>FOUND</v>
      </c>
      <c r="N63" s="19" t="s">
        <v>75</v>
      </c>
    </row>
    <row r="64" spans="1:14" s="23" customFormat="1" ht="15">
      <c r="A64" s="19" t="s">
        <v>204</v>
      </c>
      <c r="B64" s="20" t="str">
        <f>"TM8-COMP-10189"</f>
        <v>TM8-COMP-10189</v>
      </c>
      <c r="C64" s="19" t="s">
        <v>205</v>
      </c>
      <c r="D64" s="19" t="s">
        <v>164</v>
      </c>
      <c r="E64" s="19" t="s">
        <v>54</v>
      </c>
      <c r="F64" s="19" t="s">
        <v>165</v>
      </c>
      <c r="G64" s="21">
        <v>603.6</v>
      </c>
      <c r="H64" s="22">
        <v>603.6</v>
      </c>
      <c r="I64" s="21">
        <v>829</v>
      </c>
      <c r="J64" s="22">
        <v>829</v>
      </c>
      <c r="K64" s="19" t="str">
        <f t="shared" si="2"/>
        <v>REVIEW</v>
      </c>
      <c r="L64" s="19" t="str">
        <f t="shared" si="3"/>
        <v>OK</v>
      </c>
      <c r="M64" s="19" t="str">
        <f>IF('Product Review'!U64="","MISSING","FOUND")</f>
        <v>FOUND</v>
      </c>
      <c r="N64" s="19" t="s">
        <v>75</v>
      </c>
    </row>
    <row r="65" spans="1:14" ht="15">
      <c r="A65" s="6" t="s">
        <v>206</v>
      </c>
      <c r="B65" s="9" t="str">
        <f>"1016052"</f>
        <v>1016052</v>
      </c>
      <c r="C65" s="6" t="s">
        <v>207</v>
      </c>
      <c r="D65" s="6" t="s">
        <v>208</v>
      </c>
      <c r="E65" s="6" t="s">
        <v>54</v>
      </c>
      <c r="F65" s="6" t="s">
        <v>55</v>
      </c>
      <c r="G65" s="8">
        <v>56</v>
      </c>
      <c r="H65" s="7">
        <v>56</v>
      </c>
      <c r="I65" s="8">
        <v>69</v>
      </c>
      <c r="J65" s="7">
        <v>69</v>
      </c>
      <c r="K65" s="6" t="str">
        <f t="shared" si="2"/>
        <v>REVIEW</v>
      </c>
      <c r="L65" s="6" t="str">
        <f t="shared" si="3"/>
        <v>OK</v>
      </c>
      <c r="M65" s="6" t="str">
        <f>IF('Product Review'!U65="","MISSING","FOUND")</f>
        <v>FOUND</v>
      </c>
      <c r="N65" s="6"/>
    </row>
    <row r="66" spans="1:14" ht="29.25">
      <c r="A66" s="6" t="s">
        <v>209</v>
      </c>
      <c r="B66" s="9" t="str">
        <f>"TM8-COMP-10156"</f>
        <v>TM8-COMP-10156</v>
      </c>
      <c r="C66" s="6" t="s">
        <v>210</v>
      </c>
      <c r="D66" s="6" t="s">
        <v>84</v>
      </c>
      <c r="E66" s="6" t="s">
        <v>54</v>
      </c>
      <c r="F66" s="6" t="s">
        <v>55</v>
      </c>
      <c r="G66" s="8">
        <v>95</v>
      </c>
      <c r="H66" s="7">
        <v>95</v>
      </c>
      <c r="I66" s="8">
        <v>149</v>
      </c>
      <c r="J66" s="7">
        <v>149</v>
      </c>
      <c r="K66" s="6" t="str">
        <f t="shared" ref="K66:K97" si="4">IF(H66&lt;=0,"MISSING","REVIEW")</f>
        <v>REVIEW</v>
      </c>
      <c r="L66" s="6" t="str">
        <f t="shared" ref="L66:L97" si="5">IF(OR(J66&lt;=0,J66&gt;100000),"CHECK","OK")</f>
        <v>OK</v>
      </c>
      <c r="M66" s="6" t="str">
        <f>IF('Product Review'!U66="","MISSING","FOUND")</f>
        <v>FOUND</v>
      </c>
      <c r="N66" s="6" t="s">
        <v>66</v>
      </c>
    </row>
    <row r="67" spans="1:14" ht="15">
      <c r="A67" s="6" t="s">
        <v>211</v>
      </c>
      <c r="B67" s="9" t="str">
        <f>"TM8-COMP-10155"</f>
        <v>TM8-COMP-10155</v>
      </c>
      <c r="C67" s="6" t="s">
        <v>212</v>
      </c>
      <c r="D67" s="6" t="s">
        <v>84</v>
      </c>
      <c r="E67" s="6" t="s">
        <v>54</v>
      </c>
      <c r="F67" s="6" t="s">
        <v>55</v>
      </c>
      <c r="G67" s="8">
        <v>80</v>
      </c>
      <c r="H67" s="7">
        <v>80</v>
      </c>
      <c r="I67" s="8">
        <v>139</v>
      </c>
      <c r="J67" s="7">
        <v>139</v>
      </c>
      <c r="K67" s="6" t="str">
        <f t="shared" si="4"/>
        <v>REVIEW</v>
      </c>
      <c r="L67" s="6" t="str">
        <f t="shared" si="5"/>
        <v>OK</v>
      </c>
      <c r="M67" s="6" t="str">
        <f>IF('Product Review'!U67="","MISSING","FOUND")</f>
        <v>FOUND</v>
      </c>
      <c r="N67" s="6" t="s">
        <v>213</v>
      </c>
    </row>
    <row r="68" spans="1:14" ht="15">
      <c r="A68" s="6" t="s">
        <v>214</v>
      </c>
      <c r="B68" s="9" t="str">
        <f>"TM8-COMP-10154"</f>
        <v>TM8-COMP-10154</v>
      </c>
      <c r="C68" s="6" t="s">
        <v>215</v>
      </c>
      <c r="D68" s="6" t="s">
        <v>39</v>
      </c>
      <c r="E68" s="6" t="s">
        <v>54</v>
      </c>
      <c r="F68" s="6" t="s">
        <v>216</v>
      </c>
      <c r="G68" s="8">
        <v>43</v>
      </c>
      <c r="H68" s="7">
        <v>43</v>
      </c>
      <c r="I68" s="8">
        <v>64</v>
      </c>
      <c r="J68" s="7">
        <v>64</v>
      </c>
      <c r="K68" s="6" t="str">
        <f t="shared" si="4"/>
        <v>REVIEW</v>
      </c>
      <c r="L68" s="6" t="str">
        <f t="shared" si="5"/>
        <v>OK</v>
      </c>
      <c r="M68" s="6" t="str">
        <f>IF('Product Review'!U68="","MISSING","FOUND")</f>
        <v>FOUND</v>
      </c>
      <c r="N68" s="6"/>
    </row>
    <row r="69" spans="1:14" ht="15">
      <c r="A69" s="6" t="s">
        <v>217</v>
      </c>
      <c r="B69" s="9" t="str">
        <f>"TM8-COMP-10153"</f>
        <v>TM8-COMP-10153</v>
      </c>
      <c r="C69" s="6" t="s">
        <v>218</v>
      </c>
      <c r="D69" s="6" t="s">
        <v>39</v>
      </c>
      <c r="E69" s="6" t="s">
        <v>54</v>
      </c>
      <c r="F69" s="6" t="s">
        <v>216</v>
      </c>
      <c r="G69" s="8">
        <v>40</v>
      </c>
      <c r="H69" s="7">
        <v>40</v>
      </c>
      <c r="I69" s="8">
        <v>59</v>
      </c>
      <c r="J69" s="7">
        <v>59</v>
      </c>
      <c r="K69" s="6" t="str">
        <f t="shared" si="4"/>
        <v>REVIEW</v>
      </c>
      <c r="L69" s="6" t="str">
        <f t="shared" si="5"/>
        <v>OK</v>
      </c>
      <c r="M69" s="6" t="str">
        <f>IF('Product Review'!U69="","MISSING","FOUND")</f>
        <v>FOUND</v>
      </c>
      <c r="N69" s="6" t="s">
        <v>56</v>
      </c>
    </row>
    <row r="70" spans="1:14" ht="29.25">
      <c r="A70" s="6" t="s">
        <v>219</v>
      </c>
      <c r="B70" s="9" t="str">
        <f>"TM8-COMP-10122"</f>
        <v>TM8-COMP-10122</v>
      </c>
      <c r="C70" s="6" t="s">
        <v>220</v>
      </c>
      <c r="D70" s="6" t="s">
        <v>84</v>
      </c>
      <c r="E70" s="6" t="s">
        <v>54</v>
      </c>
      <c r="F70" s="6" t="s">
        <v>216</v>
      </c>
      <c r="G70" s="8">
        <v>52</v>
      </c>
      <c r="H70" s="7">
        <v>52</v>
      </c>
      <c r="I70" s="8">
        <v>99</v>
      </c>
      <c r="J70" s="7">
        <v>99</v>
      </c>
      <c r="K70" s="6" t="str">
        <f t="shared" si="4"/>
        <v>REVIEW</v>
      </c>
      <c r="L70" s="6" t="str">
        <f t="shared" si="5"/>
        <v>OK</v>
      </c>
      <c r="M70" s="6" t="str">
        <f>IF('Product Review'!U70="","MISSING","FOUND")</f>
        <v>FOUND</v>
      </c>
      <c r="N70" s="6" t="s">
        <v>75</v>
      </c>
    </row>
    <row r="71" spans="1:14" ht="15">
      <c r="A71" s="6" t="s">
        <v>221</v>
      </c>
      <c r="B71" s="9" t="str">
        <f>"1010943"</f>
        <v>1010943</v>
      </c>
      <c r="C71" s="6" t="s">
        <v>222</v>
      </c>
      <c r="D71" s="6" t="s">
        <v>39</v>
      </c>
      <c r="E71" s="6" t="s">
        <v>54</v>
      </c>
      <c r="F71" s="6" t="s">
        <v>55</v>
      </c>
      <c r="G71" s="8">
        <v>0</v>
      </c>
      <c r="H71" s="7">
        <v>5</v>
      </c>
      <c r="I71" s="8">
        <v>35</v>
      </c>
      <c r="J71" s="7">
        <v>35</v>
      </c>
      <c r="K71" s="6" t="str">
        <f t="shared" si="4"/>
        <v>REVIEW</v>
      </c>
      <c r="L71" s="6" t="str">
        <f t="shared" si="5"/>
        <v>OK</v>
      </c>
      <c r="M71" s="6" t="str">
        <f>IF('Product Review'!U71="","MISSING","FOUND")</f>
        <v>FOUND</v>
      </c>
      <c r="N71" s="6" t="s">
        <v>223</v>
      </c>
    </row>
    <row r="72" spans="1:14" s="23" customFormat="1" ht="29.25">
      <c r="A72" s="19" t="s">
        <v>224</v>
      </c>
      <c r="B72" s="20" t="str">
        <f>"TM8-COMP-10041"</f>
        <v>TM8-COMP-10041</v>
      </c>
      <c r="C72" s="19" t="s">
        <v>225</v>
      </c>
      <c r="D72" s="19" t="s">
        <v>226</v>
      </c>
      <c r="E72" s="19" t="s">
        <v>54</v>
      </c>
      <c r="F72" s="19" t="s">
        <v>55</v>
      </c>
      <c r="G72" s="21">
        <v>0</v>
      </c>
      <c r="H72" s="22">
        <v>0</v>
      </c>
      <c r="I72" s="21">
        <v>159</v>
      </c>
      <c r="J72" s="22">
        <v>159</v>
      </c>
      <c r="K72" s="19" t="str">
        <f t="shared" si="4"/>
        <v>MISSING</v>
      </c>
      <c r="L72" s="19" t="str">
        <f t="shared" si="5"/>
        <v>OK</v>
      </c>
      <c r="M72" s="19" t="str">
        <f>IF('Product Review'!U77="","MISSING","FOUND")</f>
        <v>MISSING</v>
      </c>
      <c r="N72" s="19" t="s">
        <v>227</v>
      </c>
    </row>
    <row r="73" spans="1:14" s="23" customFormat="1" ht="29.25">
      <c r="A73" s="19" t="s">
        <v>228</v>
      </c>
      <c r="B73" s="20" t="str">
        <f>"9984985"</f>
        <v>9984985</v>
      </c>
      <c r="C73" s="19" t="s">
        <v>229</v>
      </c>
      <c r="D73" s="19" t="s">
        <v>84</v>
      </c>
      <c r="E73" s="19" t="s">
        <v>54</v>
      </c>
      <c r="F73" s="19" t="s">
        <v>216</v>
      </c>
      <c r="G73" s="21">
        <v>57.2</v>
      </c>
      <c r="H73" s="22">
        <v>57.2</v>
      </c>
      <c r="I73" s="21">
        <v>79</v>
      </c>
      <c r="J73" s="22">
        <v>79</v>
      </c>
      <c r="K73" s="19" t="str">
        <f t="shared" si="4"/>
        <v>REVIEW</v>
      </c>
      <c r="L73" s="19" t="str">
        <f t="shared" si="5"/>
        <v>OK</v>
      </c>
      <c r="M73" s="19" t="str">
        <f>IF('Product Review'!U78="","MISSING","FOUND")</f>
        <v>MISSING</v>
      </c>
      <c r="N73" s="19" t="s">
        <v>230</v>
      </c>
    </row>
    <row r="74" spans="1:14" ht="29.25">
      <c r="A74" s="6" t="s">
        <v>231</v>
      </c>
      <c r="B74" s="9" t="str">
        <f>"998326"</f>
        <v>998326</v>
      </c>
      <c r="C74" s="6" t="s">
        <v>232</v>
      </c>
      <c r="D74" s="6" t="s">
        <v>226</v>
      </c>
      <c r="E74" s="6" t="s">
        <v>54</v>
      </c>
      <c r="F74" s="6" t="s">
        <v>55</v>
      </c>
      <c r="G74" s="8">
        <v>0</v>
      </c>
      <c r="H74" s="7">
        <v>70</v>
      </c>
      <c r="I74" s="8">
        <v>85</v>
      </c>
      <c r="J74" s="7">
        <v>85</v>
      </c>
      <c r="K74" s="6" t="str">
        <f t="shared" si="4"/>
        <v>REVIEW</v>
      </c>
      <c r="L74" s="6" t="str">
        <f t="shared" si="5"/>
        <v>OK</v>
      </c>
      <c r="M74" s="6" t="str">
        <f>IF('Product Review'!U79="","MISSING","FOUND")</f>
        <v>MISSING</v>
      </c>
      <c r="N74" s="6" t="s">
        <v>227</v>
      </c>
    </row>
    <row r="75" spans="1:14" ht="29.25">
      <c r="A75" s="6" t="s">
        <v>233</v>
      </c>
      <c r="B75" s="9" t="str">
        <f>"997824"</f>
        <v>997824</v>
      </c>
      <c r="C75" s="6" t="s">
        <v>234</v>
      </c>
      <c r="D75" s="6" t="s">
        <v>226</v>
      </c>
      <c r="E75" s="6" t="s">
        <v>54</v>
      </c>
      <c r="F75" s="6" t="s">
        <v>55</v>
      </c>
      <c r="G75" s="8">
        <v>0</v>
      </c>
      <c r="H75" s="7">
        <v>50</v>
      </c>
      <c r="I75" s="8">
        <v>69</v>
      </c>
      <c r="J75" s="7">
        <v>69</v>
      </c>
      <c r="K75" s="6" t="str">
        <f t="shared" si="4"/>
        <v>REVIEW</v>
      </c>
      <c r="L75" s="6" t="str">
        <f t="shared" si="5"/>
        <v>OK</v>
      </c>
      <c r="M75" s="6" t="str">
        <f>IF('Product Review'!U80="","MISSING","FOUND")</f>
        <v>MISSING</v>
      </c>
      <c r="N75" s="6" t="s">
        <v>227</v>
      </c>
    </row>
    <row r="76" spans="1:14" s="23" customFormat="1" ht="15">
      <c r="A76" s="19" t="s">
        <v>235</v>
      </c>
      <c r="B76" s="20" t="str">
        <f>"TM8-COMP-9672"</f>
        <v>TM8-COMP-9672</v>
      </c>
      <c r="C76" s="19" t="s">
        <v>236</v>
      </c>
      <c r="D76" s="19" t="s">
        <v>237</v>
      </c>
      <c r="E76" s="19" t="s">
        <v>54</v>
      </c>
      <c r="F76" s="19" t="s">
        <v>55</v>
      </c>
      <c r="G76" s="21">
        <v>2.5</v>
      </c>
      <c r="H76" s="22">
        <v>2.5</v>
      </c>
      <c r="I76" s="21">
        <v>9.99</v>
      </c>
      <c r="J76" s="22">
        <v>9.99</v>
      </c>
      <c r="K76" s="19" t="str">
        <f t="shared" si="4"/>
        <v>REVIEW</v>
      </c>
      <c r="L76" s="19" t="str">
        <f t="shared" si="5"/>
        <v>OK</v>
      </c>
      <c r="M76" s="19" t="str">
        <f>IF('Product Review'!U81="","MISSING","FOUND")</f>
        <v>FOUND</v>
      </c>
      <c r="N76" s="19" t="s">
        <v>238</v>
      </c>
    </row>
    <row r="77" spans="1:14" s="23" customFormat="1" ht="29.25">
      <c r="A77" s="19" t="s">
        <v>239</v>
      </c>
      <c r="B77" s="20" t="str">
        <f>"TM8-COMP-9671"</f>
        <v>TM8-COMP-9671</v>
      </c>
      <c r="C77" s="19" t="s">
        <v>240</v>
      </c>
      <c r="D77" s="19" t="s">
        <v>241</v>
      </c>
      <c r="E77" s="19" t="s">
        <v>54</v>
      </c>
      <c r="F77" s="19" t="s">
        <v>55</v>
      </c>
      <c r="G77" s="21">
        <v>12</v>
      </c>
      <c r="H77" s="22">
        <v>12</v>
      </c>
      <c r="I77" s="21">
        <v>19</v>
      </c>
      <c r="J77" s="22">
        <v>19</v>
      </c>
      <c r="K77" s="19" t="str">
        <f t="shared" si="4"/>
        <v>REVIEW</v>
      </c>
      <c r="L77" s="19" t="str">
        <f t="shared" si="5"/>
        <v>OK</v>
      </c>
      <c r="M77" s="19" t="str">
        <f>IF('Product Review'!U82="","MISSING","FOUND")</f>
        <v>FOUND</v>
      </c>
      <c r="N77" s="19"/>
    </row>
    <row r="78" spans="1:14" s="23" customFormat="1" ht="29.25">
      <c r="A78" s="19" t="s">
        <v>242</v>
      </c>
      <c r="B78" s="20" t="str">
        <f>"966019"</f>
        <v>966019</v>
      </c>
      <c r="C78" s="19" t="s">
        <v>243</v>
      </c>
      <c r="D78" s="19" t="s">
        <v>88</v>
      </c>
      <c r="E78" s="19" t="s">
        <v>89</v>
      </c>
      <c r="F78" s="19" t="s">
        <v>90</v>
      </c>
      <c r="G78" s="21">
        <v>54</v>
      </c>
      <c r="H78" s="22">
        <v>54</v>
      </c>
      <c r="I78" s="21">
        <v>99</v>
      </c>
      <c r="J78" s="22">
        <v>99</v>
      </c>
      <c r="K78" s="19" t="str">
        <f t="shared" si="4"/>
        <v>REVIEW</v>
      </c>
      <c r="L78" s="19" t="str">
        <f t="shared" si="5"/>
        <v>OK</v>
      </c>
      <c r="M78" s="19" t="str">
        <f>IF('Product Review'!U83="","MISSING","FOUND")</f>
        <v>FOUND</v>
      </c>
      <c r="N78" s="19"/>
    </row>
    <row r="79" spans="1:14" s="23" customFormat="1" ht="15">
      <c r="A79" s="19" t="s">
        <v>244</v>
      </c>
      <c r="B79" s="20" t="str">
        <f>"965988818"</f>
        <v>965988818</v>
      </c>
      <c r="C79" s="19" t="s">
        <v>245</v>
      </c>
      <c r="D79" s="19" t="s">
        <v>88</v>
      </c>
      <c r="E79" s="19" t="s">
        <v>89</v>
      </c>
      <c r="F79" s="19" t="s">
        <v>90</v>
      </c>
      <c r="G79" s="21">
        <v>54</v>
      </c>
      <c r="H79" s="22">
        <v>54</v>
      </c>
      <c r="I79" s="21">
        <v>149</v>
      </c>
      <c r="J79" s="22">
        <v>149</v>
      </c>
      <c r="K79" s="19" t="str">
        <f t="shared" si="4"/>
        <v>REVIEW</v>
      </c>
      <c r="L79" s="19" t="str">
        <f t="shared" si="5"/>
        <v>OK</v>
      </c>
      <c r="M79" s="19" t="str">
        <f>IF('Product Review'!U84="","MISSING","FOUND")</f>
        <v>FOUND</v>
      </c>
      <c r="N79" s="19"/>
    </row>
    <row r="80" spans="1:14" ht="15">
      <c r="A80" s="6" t="s">
        <v>246</v>
      </c>
      <c r="B80" s="9" t="str">
        <f>"TM8-COMP-9658"</f>
        <v>TM8-COMP-9658</v>
      </c>
      <c r="C80" s="6" t="s">
        <v>247</v>
      </c>
      <c r="D80" s="6" t="s">
        <v>138</v>
      </c>
      <c r="E80" s="6" t="s">
        <v>54</v>
      </c>
      <c r="F80" s="6" t="s">
        <v>60</v>
      </c>
      <c r="G80" s="8">
        <v>7</v>
      </c>
      <c r="H80" s="7">
        <v>7</v>
      </c>
      <c r="I80" s="8">
        <v>49.95</v>
      </c>
      <c r="J80" s="7">
        <v>49.95</v>
      </c>
      <c r="K80" s="6" t="str">
        <f t="shared" si="4"/>
        <v>REVIEW</v>
      </c>
      <c r="L80" s="6" t="str">
        <f t="shared" si="5"/>
        <v>OK</v>
      </c>
      <c r="M80" s="6" t="str">
        <f>IF('Product Review'!U85="","MISSING","FOUND")</f>
        <v>FOUND</v>
      </c>
      <c r="N80" s="6" t="s">
        <v>248</v>
      </c>
    </row>
    <row r="81" spans="1:14" ht="29.25">
      <c r="A81" s="6" t="s">
        <v>249</v>
      </c>
      <c r="B81" s="9" t="str">
        <f>"TM8-COMP-9657"</f>
        <v>TM8-COMP-9657</v>
      </c>
      <c r="C81" s="6" t="s">
        <v>250</v>
      </c>
      <c r="D81" s="6" t="s">
        <v>138</v>
      </c>
      <c r="E81" s="6" t="s">
        <v>54</v>
      </c>
      <c r="F81" s="6" t="s">
        <v>60</v>
      </c>
      <c r="G81" s="8">
        <v>7</v>
      </c>
      <c r="H81" s="7">
        <v>7</v>
      </c>
      <c r="I81" s="8">
        <v>49.95</v>
      </c>
      <c r="J81" s="7">
        <v>49.95</v>
      </c>
      <c r="K81" s="6" t="str">
        <f t="shared" si="4"/>
        <v>REVIEW</v>
      </c>
      <c r="L81" s="6" t="str">
        <f t="shared" si="5"/>
        <v>OK</v>
      </c>
      <c r="M81" s="6" t="str">
        <f>IF('Product Review'!U86="","MISSING","FOUND")</f>
        <v>FOUND</v>
      </c>
      <c r="N81" s="6"/>
    </row>
    <row r="82" spans="1:14" ht="15">
      <c r="A82" s="6" t="s">
        <v>251</v>
      </c>
      <c r="B82" s="9" t="str">
        <f>"965616"</f>
        <v>965616</v>
      </c>
      <c r="C82" s="6" t="s">
        <v>252</v>
      </c>
      <c r="D82" s="6" t="s">
        <v>39</v>
      </c>
      <c r="E82" s="6" t="s">
        <v>54</v>
      </c>
      <c r="F82" s="6" t="s">
        <v>60</v>
      </c>
      <c r="G82" s="8">
        <v>20</v>
      </c>
      <c r="H82" s="7">
        <v>20</v>
      </c>
      <c r="I82" s="8">
        <v>99</v>
      </c>
      <c r="J82" s="7">
        <v>99</v>
      </c>
      <c r="K82" s="6" t="str">
        <f t="shared" si="4"/>
        <v>REVIEW</v>
      </c>
      <c r="L82" s="6" t="str">
        <f t="shared" si="5"/>
        <v>OK</v>
      </c>
      <c r="M82" s="6" t="str">
        <f>IF('Product Review'!U87="","MISSING","FOUND")</f>
        <v>FOUND</v>
      </c>
      <c r="N82" s="6" t="s">
        <v>253</v>
      </c>
    </row>
    <row r="83" spans="1:14" ht="15">
      <c r="A83" s="6" t="s">
        <v>254</v>
      </c>
      <c r="B83" s="9" t="str">
        <f>"965515"</f>
        <v>965515</v>
      </c>
      <c r="C83" s="6" t="s">
        <v>255</v>
      </c>
      <c r="D83" s="6" t="s">
        <v>138</v>
      </c>
      <c r="E83" s="6" t="s">
        <v>54</v>
      </c>
      <c r="F83" s="6" t="s">
        <v>60</v>
      </c>
      <c r="G83" s="8">
        <v>20</v>
      </c>
      <c r="H83" s="7">
        <v>20</v>
      </c>
      <c r="I83" s="8">
        <v>79</v>
      </c>
      <c r="J83" s="7">
        <v>79</v>
      </c>
      <c r="K83" s="6" t="str">
        <f t="shared" si="4"/>
        <v>REVIEW</v>
      </c>
      <c r="L83" s="6" t="str">
        <f t="shared" si="5"/>
        <v>OK</v>
      </c>
      <c r="M83" s="6" t="str">
        <f>IF('Product Review'!U88="","MISSING","FOUND")</f>
        <v>FOUND</v>
      </c>
      <c r="N83" s="6" t="s">
        <v>75</v>
      </c>
    </row>
    <row r="84" spans="1:14" ht="15">
      <c r="A84" s="6" t="s">
        <v>256</v>
      </c>
      <c r="B84" s="9" t="str">
        <f>"965414"</f>
        <v>965414</v>
      </c>
      <c r="C84" s="6" t="s">
        <v>257</v>
      </c>
      <c r="D84" s="6" t="s">
        <v>138</v>
      </c>
      <c r="E84" s="6" t="s">
        <v>54</v>
      </c>
      <c r="F84" s="6" t="s">
        <v>60</v>
      </c>
      <c r="G84" s="8">
        <v>25</v>
      </c>
      <c r="H84" s="7">
        <v>25</v>
      </c>
      <c r="I84" s="8">
        <v>99</v>
      </c>
      <c r="J84" s="7">
        <v>99</v>
      </c>
      <c r="K84" s="6" t="str">
        <f t="shared" si="4"/>
        <v>REVIEW</v>
      </c>
      <c r="L84" s="6" t="str">
        <f t="shared" si="5"/>
        <v>OK</v>
      </c>
      <c r="M84" s="6" t="str">
        <f>IF('Product Review'!U89="","MISSING","FOUND")</f>
        <v>FOUND</v>
      </c>
      <c r="N84" s="6" t="s">
        <v>258</v>
      </c>
    </row>
    <row r="85" spans="1:14" ht="29.25">
      <c r="A85" s="6" t="s">
        <v>259</v>
      </c>
      <c r="B85" s="9" t="str">
        <f>"965313"</f>
        <v>965313</v>
      </c>
      <c r="C85" s="6" t="s">
        <v>260</v>
      </c>
      <c r="D85" s="6" t="s">
        <v>261</v>
      </c>
      <c r="E85" s="6" t="s">
        <v>54</v>
      </c>
      <c r="F85" s="6" t="s">
        <v>60</v>
      </c>
      <c r="G85" s="8">
        <v>45</v>
      </c>
      <c r="H85" s="7">
        <v>45</v>
      </c>
      <c r="I85" s="8">
        <v>69</v>
      </c>
      <c r="J85" s="7">
        <v>69</v>
      </c>
      <c r="K85" s="6" t="str">
        <f t="shared" si="4"/>
        <v>REVIEW</v>
      </c>
      <c r="L85" s="6" t="str">
        <f t="shared" si="5"/>
        <v>OK</v>
      </c>
      <c r="M85" s="6" t="str">
        <f>IF('Product Review'!U90="","MISSING","FOUND")</f>
        <v>FOUND</v>
      </c>
      <c r="N85" s="6"/>
    </row>
    <row r="86" spans="1:14" s="23" customFormat="1" ht="29.25">
      <c r="A86" s="19" t="s">
        <v>262</v>
      </c>
      <c r="B86" s="20" t="str">
        <f>"TM8-COMP-9649"</f>
        <v>TM8-COMP-9649</v>
      </c>
      <c r="C86" s="19" t="s">
        <v>263</v>
      </c>
      <c r="D86" s="19" t="s">
        <v>226</v>
      </c>
      <c r="E86" s="19" t="s">
        <v>54</v>
      </c>
      <c r="F86" s="19" t="s">
        <v>55</v>
      </c>
      <c r="G86" s="21">
        <v>0</v>
      </c>
      <c r="H86" s="22">
        <v>0</v>
      </c>
      <c r="I86" s="21">
        <v>119</v>
      </c>
      <c r="J86" s="22">
        <v>119</v>
      </c>
      <c r="K86" s="19" t="str">
        <f t="shared" si="4"/>
        <v>MISSING</v>
      </c>
      <c r="L86" s="19" t="str">
        <f t="shared" si="5"/>
        <v>OK</v>
      </c>
      <c r="M86" s="19" t="str">
        <f>IF('Product Review'!U91="","MISSING","FOUND")</f>
        <v>FOUND</v>
      </c>
      <c r="N86" s="19" t="s">
        <v>223</v>
      </c>
    </row>
    <row r="87" spans="1:14" ht="15">
      <c r="A87" s="6" t="s">
        <v>264</v>
      </c>
      <c r="B87" s="9" t="str">
        <f>"964710"</f>
        <v>964710</v>
      </c>
      <c r="C87" s="6" t="s">
        <v>265</v>
      </c>
      <c r="D87" s="6" t="s">
        <v>138</v>
      </c>
      <c r="E87" s="6" t="s">
        <v>69</v>
      </c>
      <c r="F87" s="6" t="s">
        <v>93</v>
      </c>
      <c r="G87" s="8">
        <v>7</v>
      </c>
      <c r="H87" s="7">
        <v>7</v>
      </c>
      <c r="I87" s="8">
        <v>29</v>
      </c>
      <c r="J87" s="7">
        <v>29</v>
      </c>
      <c r="K87" s="6" t="str">
        <f t="shared" si="4"/>
        <v>REVIEW</v>
      </c>
      <c r="L87" s="6" t="str">
        <f t="shared" si="5"/>
        <v>OK</v>
      </c>
      <c r="M87" s="6" t="str">
        <f>IF('Product Review'!U92="","MISSING","FOUND")</f>
        <v>FOUND</v>
      </c>
      <c r="N87" s="6" t="s">
        <v>266</v>
      </c>
    </row>
    <row r="88" spans="1:14" ht="15">
      <c r="A88" s="6" t="s">
        <v>267</v>
      </c>
      <c r="B88" s="9" t="str">
        <f>"96469"</f>
        <v>96469</v>
      </c>
      <c r="C88" s="6" t="s">
        <v>268</v>
      </c>
      <c r="D88" s="6" t="s">
        <v>269</v>
      </c>
      <c r="E88" s="6" t="s">
        <v>69</v>
      </c>
      <c r="F88" s="6" t="s">
        <v>93</v>
      </c>
      <c r="G88" s="8">
        <v>91</v>
      </c>
      <c r="H88" s="7">
        <v>91</v>
      </c>
      <c r="I88" s="8">
        <v>159</v>
      </c>
      <c r="J88" s="7">
        <v>159</v>
      </c>
      <c r="K88" s="6" t="str">
        <f t="shared" si="4"/>
        <v>REVIEW</v>
      </c>
      <c r="L88" s="6" t="str">
        <f t="shared" si="5"/>
        <v>OK</v>
      </c>
      <c r="M88" s="6" t="str">
        <f>IF('Product Review'!U93="","MISSING","FOUND")</f>
        <v>FOUND</v>
      </c>
      <c r="N88" s="6" t="s">
        <v>238</v>
      </c>
    </row>
    <row r="89" spans="1:14" ht="15">
      <c r="A89" s="6" t="s">
        <v>270</v>
      </c>
      <c r="B89" s="9" t="str">
        <f>"96458"</f>
        <v>96458</v>
      </c>
      <c r="C89" s="6" t="s">
        <v>271</v>
      </c>
      <c r="D89" s="6" t="s">
        <v>269</v>
      </c>
      <c r="E89" s="6" t="s">
        <v>69</v>
      </c>
      <c r="F89" s="6" t="s">
        <v>93</v>
      </c>
      <c r="G89" s="8">
        <v>180</v>
      </c>
      <c r="H89" s="7">
        <v>180</v>
      </c>
      <c r="I89" s="8">
        <v>269</v>
      </c>
      <c r="J89" s="7">
        <v>269</v>
      </c>
      <c r="K89" s="6" t="str">
        <f t="shared" si="4"/>
        <v>REVIEW</v>
      </c>
      <c r="L89" s="6" t="str">
        <f t="shared" si="5"/>
        <v>OK</v>
      </c>
      <c r="M89" s="6" t="str">
        <f>IF('Product Review'!U94="","MISSING","FOUND")</f>
        <v>FOUND</v>
      </c>
      <c r="N89" s="6"/>
    </row>
    <row r="90" spans="1:14" ht="15">
      <c r="A90" s="6" t="s">
        <v>272</v>
      </c>
      <c r="B90" s="9" t="str">
        <f>"96447"</f>
        <v>96447</v>
      </c>
      <c r="C90" s="6" t="s">
        <v>273</v>
      </c>
      <c r="D90" s="6" t="s">
        <v>269</v>
      </c>
      <c r="E90" s="6" t="s">
        <v>69</v>
      </c>
      <c r="F90" s="6" t="s">
        <v>93</v>
      </c>
      <c r="G90" s="8">
        <v>110</v>
      </c>
      <c r="H90" s="7">
        <v>110</v>
      </c>
      <c r="I90" s="8">
        <v>149</v>
      </c>
      <c r="J90" s="7">
        <v>149</v>
      </c>
      <c r="K90" s="6" t="str">
        <f t="shared" si="4"/>
        <v>REVIEW</v>
      </c>
      <c r="L90" s="6" t="str">
        <f t="shared" si="5"/>
        <v>OK</v>
      </c>
      <c r="M90" s="6" t="str">
        <f>IF('Product Review'!U95="","MISSING","FOUND")</f>
        <v>FOUND</v>
      </c>
      <c r="N90" s="6"/>
    </row>
    <row r="91" spans="1:14" ht="15">
      <c r="A91" s="6" t="s">
        <v>274</v>
      </c>
      <c r="B91" s="9" t="str">
        <f>"96392"</f>
        <v>96392</v>
      </c>
      <c r="C91" s="6" t="s">
        <v>275</v>
      </c>
      <c r="D91" s="6" t="s">
        <v>269</v>
      </c>
      <c r="E91" s="6" t="s">
        <v>69</v>
      </c>
      <c r="F91" s="6" t="s">
        <v>93</v>
      </c>
      <c r="G91" s="8">
        <v>0</v>
      </c>
      <c r="H91" s="7">
        <v>170</v>
      </c>
      <c r="I91" s="8">
        <v>319</v>
      </c>
      <c r="J91" s="7">
        <v>319</v>
      </c>
      <c r="K91" s="6" t="str">
        <f t="shared" si="4"/>
        <v>REVIEW</v>
      </c>
      <c r="L91" s="6" t="str">
        <f t="shared" si="5"/>
        <v>OK</v>
      </c>
      <c r="M91" s="6" t="str">
        <f>IF('Product Review'!U96="","MISSING","FOUND")</f>
        <v>FOUND</v>
      </c>
      <c r="N91" s="6" t="s">
        <v>223</v>
      </c>
    </row>
    <row r="92" spans="1:14" ht="29.25">
      <c r="A92" s="6" t="s">
        <v>276</v>
      </c>
      <c r="B92" s="9" t="str">
        <f>"6920377913779"</f>
        <v>6920377913779</v>
      </c>
      <c r="C92" s="6" t="s">
        <v>277</v>
      </c>
      <c r="D92" s="6" t="s">
        <v>261</v>
      </c>
      <c r="E92" s="6" t="s">
        <v>54</v>
      </c>
      <c r="F92" s="6" t="s">
        <v>60</v>
      </c>
      <c r="G92" s="8">
        <v>102</v>
      </c>
      <c r="H92" s="7">
        <v>102</v>
      </c>
      <c r="I92" s="8">
        <v>249</v>
      </c>
      <c r="J92" s="7">
        <v>249</v>
      </c>
      <c r="K92" s="6" t="str">
        <f t="shared" si="4"/>
        <v>REVIEW</v>
      </c>
      <c r="L92" s="6" t="str">
        <f t="shared" si="5"/>
        <v>OK</v>
      </c>
      <c r="M92" s="6" t="str">
        <f>IF('Product Review'!U97="","MISSING","FOUND")</f>
        <v>FOUND</v>
      </c>
      <c r="N92" s="6"/>
    </row>
    <row r="93" spans="1:14" ht="29.25">
      <c r="A93" s="6" t="s">
        <v>278</v>
      </c>
      <c r="B93" s="9" t="str">
        <f>"6920377913786"</f>
        <v>6920377913786</v>
      </c>
      <c r="C93" s="6" t="s">
        <v>279</v>
      </c>
      <c r="D93" s="6" t="s">
        <v>261</v>
      </c>
      <c r="E93" s="6" t="s">
        <v>54</v>
      </c>
      <c r="F93" s="6" t="s">
        <v>60</v>
      </c>
      <c r="G93" s="8">
        <v>102</v>
      </c>
      <c r="H93" s="7">
        <v>102</v>
      </c>
      <c r="I93" s="8">
        <v>249</v>
      </c>
      <c r="J93" s="7">
        <v>249</v>
      </c>
      <c r="K93" s="6" t="str">
        <f t="shared" si="4"/>
        <v>REVIEW</v>
      </c>
      <c r="L93" s="6" t="str">
        <f t="shared" si="5"/>
        <v>OK</v>
      </c>
      <c r="M93" s="6" t="str">
        <f>IF('Product Review'!U98="","MISSING","FOUND")</f>
        <v>FOUND</v>
      </c>
      <c r="N93" s="6"/>
    </row>
    <row r="94" spans="1:14" ht="15">
      <c r="A94" s="6" t="s">
        <v>280</v>
      </c>
      <c r="B94" s="9" t="str">
        <f>"6920377913748"</f>
        <v>6920377913748</v>
      </c>
      <c r="C94" s="6" t="s">
        <v>281</v>
      </c>
      <c r="D94" s="6" t="s">
        <v>261</v>
      </c>
      <c r="E94" s="6" t="s">
        <v>54</v>
      </c>
      <c r="F94" s="6" t="s">
        <v>60</v>
      </c>
      <c r="G94" s="8">
        <v>65</v>
      </c>
      <c r="H94" s="7">
        <v>65</v>
      </c>
      <c r="I94" s="8">
        <v>149</v>
      </c>
      <c r="J94" s="7">
        <v>149</v>
      </c>
      <c r="K94" s="6" t="str">
        <f t="shared" si="4"/>
        <v>REVIEW</v>
      </c>
      <c r="L94" s="6" t="str">
        <f t="shared" si="5"/>
        <v>OK</v>
      </c>
      <c r="M94" s="6" t="str">
        <f>IF('Product Review'!U99="","MISSING","FOUND")</f>
        <v>FOUND</v>
      </c>
      <c r="N94" s="6"/>
    </row>
    <row r="95" spans="1:14" ht="15">
      <c r="A95" s="6" t="s">
        <v>282</v>
      </c>
      <c r="B95" s="9" t="str">
        <f>"6920377913731"</f>
        <v>6920377913731</v>
      </c>
      <c r="C95" s="6" t="s">
        <v>283</v>
      </c>
      <c r="D95" s="6" t="s">
        <v>261</v>
      </c>
      <c r="E95" s="6" t="s">
        <v>54</v>
      </c>
      <c r="F95" s="6" t="s">
        <v>60</v>
      </c>
      <c r="G95" s="8">
        <v>65</v>
      </c>
      <c r="H95" s="7">
        <v>65</v>
      </c>
      <c r="I95" s="8">
        <v>149</v>
      </c>
      <c r="J95" s="7">
        <v>149</v>
      </c>
      <c r="K95" s="6" t="str">
        <f t="shared" si="4"/>
        <v>REVIEW</v>
      </c>
      <c r="L95" s="6" t="str">
        <f t="shared" si="5"/>
        <v>OK</v>
      </c>
      <c r="M95" s="6" t="str">
        <f>IF('Product Review'!U100="","MISSING","FOUND")</f>
        <v>FOUND</v>
      </c>
      <c r="N95" s="6"/>
    </row>
    <row r="96" spans="1:14" ht="15">
      <c r="A96" s="6" t="s">
        <v>284</v>
      </c>
      <c r="B96" s="9" t="str">
        <f>"097855078001"</f>
        <v>097855078001</v>
      </c>
      <c r="C96" s="6" t="s">
        <v>285</v>
      </c>
      <c r="D96" s="6" t="s">
        <v>261</v>
      </c>
      <c r="E96" s="6" t="s">
        <v>54</v>
      </c>
      <c r="F96" s="6" t="s">
        <v>60</v>
      </c>
      <c r="G96" s="8">
        <v>20</v>
      </c>
      <c r="H96" s="7">
        <v>20</v>
      </c>
      <c r="I96" s="8">
        <v>54.99</v>
      </c>
      <c r="J96" s="7">
        <v>54.99</v>
      </c>
      <c r="K96" s="6" t="str">
        <f t="shared" si="4"/>
        <v>REVIEW</v>
      </c>
      <c r="L96" s="6" t="str">
        <f t="shared" si="5"/>
        <v>OK</v>
      </c>
      <c r="M96" s="6" t="str">
        <f>IF('Product Review'!U101="","MISSING","FOUND")</f>
        <v>FOUND</v>
      </c>
      <c r="N96" s="6" t="s">
        <v>75</v>
      </c>
    </row>
    <row r="97" spans="1:14" ht="29.25">
      <c r="A97" s="6" t="s">
        <v>286</v>
      </c>
      <c r="B97" s="9" t="str">
        <f>"097855067067"</f>
        <v>097855067067</v>
      </c>
      <c r="C97" s="6" t="s">
        <v>287</v>
      </c>
      <c r="D97" s="6" t="s">
        <v>261</v>
      </c>
      <c r="E97" s="6" t="s">
        <v>54</v>
      </c>
      <c r="F97" s="6" t="s">
        <v>60</v>
      </c>
      <c r="G97" s="8">
        <v>20</v>
      </c>
      <c r="H97" s="7">
        <v>20</v>
      </c>
      <c r="I97" s="8">
        <v>39</v>
      </c>
      <c r="J97" s="7">
        <v>39</v>
      </c>
      <c r="K97" s="6" t="str">
        <f t="shared" si="4"/>
        <v>REVIEW</v>
      </c>
      <c r="L97" s="6" t="str">
        <f t="shared" si="5"/>
        <v>OK</v>
      </c>
      <c r="M97" s="6" t="str">
        <f>IF('Product Review'!U102="","MISSING","FOUND")</f>
        <v>FOUND</v>
      </c>
      <c r="N97" s="6" t="s">
        <v>45</v>
      </c>
    </row>
    <row r="98" spans="1:14" ht="29.25">
      <c r="A98" s="6" t="s">
        <v>288</v>
      </c>
      <c r="B98" s="9" t="str">
        <f>"196188049273"</f>
        <v>196188049273</v>
      </c>
      <c r="C98" s="6" t="s">
        <v>289</v>
      </c>
      <c r="D98" s="6" t="s">
        <v>269</v>
      </c>
      <c r="E98" s="6" t="s">
        <v>54</v>
      </c>
      <c r="F98" s="6" t="s">
        <v>60</v>
      </c>
      <c r="G98" s="8">
        <v>90</v>
      </c>
      <c r="H98" s="7">
        <v>90</v>
      </c>
      <c r="I98" s="8">
        <v>179</v>
      </c>
      <c r="J98" s="7">
        <v>179</v>
      </c>
      <c r="K98" s="6" t="str">
        <f t="shared" ref="K98:K129" si="6">IF(H98&lt;=0,"MISSING","REVIEW")</f>
        <v>REVIEW</v>
      </c>
      <c r="L98" s="6" t="str">
        <f t="shared" ref="L98:L129" si="7">IF(OR(J98&lt;=0,J98&gt;100000),"CHECK","OK")</f>
        <v>OK</v>
      </c>
      <c r="M98" s="6" t="str">
        <f>IF('Product Review'!U103="","MISSING","FOUND")</f>
        <v>FOUND</v>
      </c>
      <c r="N98" s="6" t="s">
        <v>75</v>
      </c>
    </row>
    <row r="99" spans="1:14" ht="29.25">
      <c r="A99" s="6" t="s">
        <v>290</v>
      </c>
      <c r="B99" s="9" t="str">
        <f>"196188046074"</f>
        <v>196188046074</v>
      </c>
      <c r="C99" s="6" t="s">
        <v>291</v>
      </c>
      <c r="D99" s="6" t="s">
        <v>269</v>
      </c>
      <c r="E99" s="6" t="s">
        <v>54</v>
      </c>
      <c r="F99" s="6" t="s">
        <v>60</v>
      </c>
      <c r="G99" s="8">
        <v>90</v>
      </c>
      <c r="H99" s="7">
        <v>90</v>
      </c>
      <c r="I99" s="8">
        <v>179</v>
      </c>
      <c r="J99" s="7">
        <v>179</v>
      </c>
      <c r="K99" s="6" t="str">
        <f t="shared" si="6"/>
        <v>REVIEW</v>
      </c>
      <c r="L99" s="6" t="str">
        <f t="shared" si="7"/>
        <v>OK</v>
      </c>
      <c r="M99" s="6" t="str">
        <f>IF('Product Review'!U104="","MISSING","FOUND")</f>
        <v>FOUND</v>
      </c>
      <c r="N99" s="6" t="s">
        <v>75</v>
      </c>
    </row>
    <row r="100" spans="1:14" ht="29.25">
      <c r="A100" s="6" t="s">
        <v>292</v>
      </c>
      <c r="B100" s="9" t="str">
        <f>"196188048948"</f>
        <v>196188048948</v>
      </c>
      <c r="C100" s="6" t="s">
        <v>293</v>
      </c>
      <c r="D100" s="6" t="s">
        <v>269</v>
      </c>
      <c r="E100" s="6" t="s">
        <v>54</v>
      </c>
      <c r="F100" s="6" t="s">
        <v>60</v>
      </c>
      <c r="G100" s="8">
        <v>90</v>
      </c>
      <c r="H100" s="7">
        <v>90</v>
      </c>
      <c r="I100" s="8">
        <v>179</v>
      </c>
      <c r="J100" s="7">
        <v>179</v>
      </c>
      <c r="K100" s="6" t="str">
        <f t="shared" si="6"/>
        <v>REVIEW</v>
      </c>
      <c r="L100" s="6" t="str">
        <f t="shared" si="7"/>
        <v>OK</v>
      </c>
      <c r="M100" s="6" t="str">
        <f>IF('Product Review'!U105="","MISSING","FOUND")</f>
        <v>FOUND</v>
      </c>
      <c r="N100" s="6"/>
    </row>
    <row r="101" spans="1:14" ht="29.25">
      <c r="A101" s="6" t="s">
        <v>294</v>
      </c>
      <c r="B101" s="9" t="str">
        <f>"196188042779"</f>
        <v>196188042779</v>
      </c>
      <c r="C101" s="6" t="s">
        <v>295</v>
      </c>
      <c r="D101" s="6" t="s">
        <v>269</v>
      </c>
      <c r="E101" s="6" t="s">
        <v>54</v>
      </c>
      <c r="F101" s="6" t="s">
        <v>60</v>
      </c>
      <c r="G101" s="8">
        <v>90</v>
      </c>
      <c r="H101" s="7">
        <v>90</v>
      </c>
      <c r="I101" s="8">
        <v>179</v>
      </c>
      <c r="J101" s="7">
        <v>179</v>
      </c>
      <c r="K101" s="6" t="str">
        <f t="shared" si="6"/>
        <v>REVIEW</v>
      </c>
      <c r="L101" s="6" t="str">
        <f t="shared" si="7"/>
        <v>OK</v>
      </c>
      <c r="M101" s="6" t="str">
        <f>IF('Product Review'!U106="","MISSING","FOUND")</f>
        <v>FOUND</v>
      </c>
      <c r="N101" s="6" t="s">
        <v>75</v>
      </c>
    </row>
    <row r="102" spans="1:14" ht="15">
      <c r="A102" s="6" t="s">
        <v>296</v>
      </c>
      <c r="B102" s="9" t="str">
        <f>"302949478033"</f>
        <v>302949478033</v>
      </c>
      <c r="C102" s="6" t="s">
        <v>764</v>
      </c>
      <c r="D102" s="6" t="s">
        <v>39</v>
      </c>
      <c r="E102" s="6" t="s">
        <v>54</v>
      </c>
      <c r="F102" s="6" t="s">
        <v>60</v>
      </c>
      <c r="G102" s="8">
        <v>10</v>
      </c>
      <c r="H102" s="7">
        <v>15</v>
      </c>
      <c r="I102" s="8">
        <v>69</v>
      </c>
      <c r="J102" s="7">
        <v>69</v>
      </c>
      <c r="K102" s="6" t="str">
        <f t="shared" si="6"/>
        <v>REVIEW</v>
      </c>
      <c r="L102" s="6" t="str">
        <f t="shared" si="7"/>
        <v>OK</v>
      </c>
      <c r="M102" s="6" t="str">
        <f>IF('Product Review'!U107="","MISSING","FOUND")</f>
        <v>FOUND</v>
      </c>
      <c r="N102" s="6" t="s">
        <v>56</v>
      </c>
    </row>
    <row r="103" spans="1:14" s="23" customFormat="1" ht="15">
      <c r="A103" s="19" t="s">
        <v>298</v>
      </c>
      <c r="B103" s="20" t="str">
        <f>"384483204910"</f>
        <v>384483204910</v>
      </c>
      <c r="C103" s="19" t="s">
        <v>299</v>
      </c>
      <c r="D103" s="19" t="s">
        <v>39</v>
      </c>
      <c r="E103" s="19" t="s">
        <v>54</v>
      </c>
      <c r="F103" s="19" t="s">
        <v>60</v>
      </c>
      <c r="G103" s="21">
        <v>20</v>
      </c>
      <c r="H103" s="22">
        <v>20</v>
      </c>
      <c r="I103" s="21">
        <v>69</v>
      </c>
      <c r="J103" s="22">
        <v>69</v>
      </c>
      <c r="K103" s="19" t="str">
        <f t="shared" si="6"/>
        <v>REVIEW</v>
      </c>
      <c r="L103" s="19" t="str">
        <f t="shared" si="7"/>
        <v>OK</v>
      </c>
      <c r="M103" s="19" t="str">
        <f>IF('Product Review'!U108="","MISSING","FOUND")</f>
        <v>FOUND</v>
      </c>
      <c r="N103" s="19"/>
    </row>
    <row r="104" spans="1:14" s="23" customFormat="1" ht="15">
      <c r="A104" s="19" t="s">
        <v>300</v>
      </c>
      <c r="B104" s="20" t="str">
        <f>"6941592742128"</f>
        <v>6941592742128</v>
      </c>
      <c r="C104" s="19" t="s">
        <v>301</v>
      </c>
      <c r="D104" s="19" t="s">
        <v>39</v>
      </c>
      <c r="E104" s="19" t="s">
        <v>54</v>
      </c>
      <c r="F104" s="19" t="s">
        <v>60</v>
      </c>
      <c r="G104" s="21">
        <v>10</v>
      </c>
      <c r="H104" s="22">
        <v>10</v>
      </c>
      <c r="I104" s="21">
        <v>69</v>
      </c>
      <c r="J104" s="22">
        <v>69</v>
      </c>
      <c r="K104" s="19" t="str">
        <f t="shared" si="6"/>
        <v>REVIEW</v>
      </c>
      <c r="L104" s="19" t="str">
        <f t="shared" si="7"/>
        <v>OK</v>
      </c>
      <c r="M104" s="19" t="str">
        <f>IF('Product Review'!U109="","MISSING","FOUND")</f>
        <v>FOUND</v>
      </c>
      <c r="N104" s="19" t="s">
        <v>75</v>
      </c>
    </row>
    <row r="105" spans="1:14" ht="15">
      <c r="A105" s="6" t="s">
        <v>302</v>
      </c>
      <c r="B105" s="9" t="str">
        <f>"TM8-COMP-9198"</f>
        <v>TM8-COMP-9198</v>
      </c>
      <c r="C105" s="6" t="s">
        <v>303</v>
      </c>
      <c r="D105" s="6" t="s">
        <v>39</v>
      </c>
      <c r="E105" s="6" t="s">
        <v>54</v>
      </c>
      <c r="F105" s="6" t="s">
        <v>60</v>
      </c>
      <c r="G105" s="8">
        <v>4</v>
      </c>
      <c r="H105" s="7">
        <v>4</v>
      </c>
      <c r="I105" s="8">
        <v>24.99</v>
      </c>
      <c r="J105" s="7">
        <v>24.99</v>
      </c>
      <c r="K105" s="6" t="str">
        <f t="shared" si="6"/>
        <v>REVIEW</v>
      </c>
      <c r="L105" s="6" t="str">
        <f t="shared" si="7"/>
        <v>OK</v>
      </c>
      <c r="M105" s="6" t="str">
        <f>IF('Product Review'!U110="","MISSING","FOUND")</f>
        <v>FOUND</v>
      </c>
      <c r="N105" s="6"/>
    </row>
    <row r="106" spans="1:14" ht="15">
      <c r="A106" s="6" t="s">
        <v>304</v>
      </c>
      <c r="B106" s="9" t="str">
        <f>"281783162660"</f>
        <v>281783162660</v>
      </c>
      <c r="C106" s="6" t="s">
        <v>305</v>
      </c>
      <c r="D106" s="6" t="s">
        <v>39</v>
      </c>
      <c r="E106" s="6" t="s">
        <v>54</v>
      </c>
      <c r="F106" s="6" t="s">
        <v>125</v>
      </c>
      <c r="G106" s="8">
        <v>5</v>
      </c>
      <c r="H106" s="7">
        <v>5</v>
      </c>
      <c r="I106" s="8">
        <v>15.99</v>
      </c>
      <c r="J106" s="7">
        <v>15.99</v>
      </c>
      <c r="K106" s="6" t="str">
        <f t="shared" si="6"/>
        <v>REVIEW</v>
      </c>
      <c r="L106" s="6" t="str">
        <f t="shared" si="7"/>
        <v>OK</v>
      </c>
      <c r="M106" s="6" t="str">
        <f>IF('Product Review'!U111="","MISSING","FOUND")</f>
        <v>FOUND</v>
      </c>
      <c r="N106" s="6"/>
    </row>
    <row r="107" spans="1:14" ht="15">
      <c r="A107" s="6" t="s">
        <v>306</v>
      </c>
      <c r="B107" s="9" t="str">
        <f>"6972989040367"</f>
        <v>6972989040367</v>
      </c>
      <c r="C107" s="6" t="s">
        <v>307</v>
      </c>
      <c r="D107" s="6" t="s">
        <v>39</v>
      </c>
      <c r="E107" s="6" t="s">
        <v>54</v>
      </c>
      <c r="F107" s="6" t="s">
        <v>125</v>
      </c>
      <c r="G107" s="8">
        <v>9</v>
      </c>
      <c r="H107" s="7">
        <v>9</v>
      </c>
      <c r="I107" s="8">
        <v>39.950000000000003</v>
      </c>
      <c r="J107" s="7">
        <v>39.950000000000003</v>
      </c>
      <c r="K107" s="6" t="str">
        <f t="shared" si="6"/>
        <v>REVIEW</v>
      </c>
      <c r="L107" s="6" t="str">
        <f t="shared" si="7"/>
        <v>OK</v>
      </c>
      <c r="M107" s="6" t="str">
        <f>IF('Product Review'!U112="","MISSING","FOUND")</f>
        <v>FOUND</v>
      </c>
      <c r="N107" s="6" t="s">
        <v>45</v>
      </c>
    </row>
    <row r="108" spans="1:14" ht="29.25">
      <c r="A108" s="6" t="s">
        <v>308</v>
      </c>
      <c r="B108" s="9" t="str">
        <f>"6972989041326"</f>
        <v>6972989041326</v>
      </c>
      <c r="C108" s="6" t="s">
        <v>309</v>
      </c>
      <c r="D108" s="6" t="s">
        <v>39</v>
      </c>
      <c r="E108" s="6" t="s">
        <v>54</v>
      </c>
      <c r="F108" s="6" t="s">
        <v>125</v>
      </c>
      <c r="G108" s="8">
        <v>17</v>
      </c>
      <c r="H108" s="7">
        <v>17</v>
      </c>
      <c r="I108" s="8">
        <v>39.950000000000003</v>
      </c>
      <c r="J108" s="7">
        <v>39.950000000000003</v>
      </c>
      <c r="K108" s="6" t="str">
        <f t="shared" si="6"/>
        <v>REVIEW</v>
      </c>
      <c r="L108" s="6" t="str">
        <f t="shared" si="7"/>
        <v>OK</v>
      </c>
      <c r="M108" s="6" t="str">
        <f>IF('Product Review'!U113="","MISSING","FOUND")</f>
        <v>FOUND</v>
      </c>
      <c r="N108" s="6" t="s">
        <v>75</v>
      </c>
    </row>
    <row r="109" spans="1:14" ht="15">
      <c r="A109" s="6" t="s">
        <v>310</v>
      </c>
      <c r="B109" s="9" t="str">
        <f>"9166454"</f>
        <v>9166454</v>
      </c>
      <c r="C109" s="6" t="s">
        <v>311</v>
      </c>
      <c r="D109" s="6" t="s">
        <v>124</v>
      </c>
      <c r="E109" s="6" t="s">
        <v>54</v>
      </c>
      <c r="F109" s="6" t="s">
        <v>125</v>
      </c>
      <c r="G109" s="8">
        <v>7</v>
      </c>
      <c r="H109" s="7">
        <v>7</v>
      </c>
      <c r="I109" s="8">
        <v>25</v>
      </c>
      <c r="J109" s="7">
        <v>25</v>
      </c>
      <c r="K109" s="6" t="str">
        <f t="shared" si="6"/>
        <v>REVIEW</v>
      </c>
      <c r="L109" s="6" t="str">
        <f t="shared" si="7"/>
        <v>OK</v>
      </c>
      <c r="M109" s="6" t="str">
        <f>IF('Product Review'!U114="","MISSING","FOUND")</f>
        <v>FOUND</v>
      </c>
      <c r="N109" s="6" t="s">
        <v>71</v>
      </c>
    </row>
    <row r="110" spans="1:14" s="23" customFormat="1" ht="29.25">
      <c r="A110" s="19" t="s">
        <v>312</v>
      </c>
      <c r="B110" s="20" t="str">
        <f>"6935364088897"</f>
        <v>6935364088897</v>
      </c>
      <c r="C110" s="19" t="s">
        <v>313</v>
      </c>
      <c r="D110" s="19" t="s">
        <v>314</v>
      </c>
      <c r="E110" s="19" t="s">
        <v>54</v>
      </c>
      <c r="F110" s="19" t="s">
        <v>216</v>
      </c>
      <c r="G110" s="21">
        <v>0</v>
      </c>
      <c r="H110" s="22">
        <v>0</v>
      </c>
      <c r="I110" s="21">
        <v>99</v>
      </c>
      <c r="J110" s="22">
        <v>99</v>
      </c>
      <c r="K110" s="19" t="str">
        <f t="shared" si="6"/>
        <v>MISSING</v>
      </c>
      <c r="L110" s="19" t="str">
        <f t="shared" si="7"/>
        <v>OK</v>
      </c>
      <c r="M110" s="19" t="str">
        <f>IF('Product Review'!U115="","MISSING","FOUND")</f>
        <v>FOUND</v>
      </c>
      <c r="N110" s="19" t="s">
        <v>223</v>
      </c>
    </row>
    <row r="111" spans="1:14" s="23" customFormat="1" ht="29.25">
      <c r="A111" s="19" t="s">
        <v>315</v>
      </c>
      <c r="B111" s="20" t="str">
        <f>"6935364050368"</f>
        <v>6935364050368</v>
      </c>
      <c r="C111" s="19" t="s">
        <v>316</v>
      </c>
      <c r="D111" s="19" t="s">
        <v>314</v>
      </c>
      <c r="E111" s="19" t="s">
        <v>54</v>
      </c>
      <c r="F111" s="19" t="s">
        <v>216</v>
      </c>
      <c r="G111" s="21">
        <v>0</v>
      </c>
      <c r="H111" s="22">
        <v>0</v>
      </c>
      <c r="I111" s="21">
        <v>55</v>
      </c>
      <c r="J111" s="22">
        <v>55</v>
      </c>
      <c r="K111" s="19" t="str">
        <f t="shared" si="6"/>
        <v>MISSING</v>
      </c>
      <c r="L111" s="19" t="str">
        <f t="shared" si="7"/>
        <v>OK</v>
      </c>
      <c r="M111" s="19" t="str">
        <f>IF('Product Review'!U116="","MISSING","FOUND")</f>
        <v>FOUND</v>
      </c>
      <c r="N111" s="19" t="s">
        <v>317</v>
      </c>
    </row>
    <row r="112" spans="1:14" ht="29.25">
      <c r="A112" s="6" t="s">
        <v>318</v>
      </c>
      <c r="B112" s="9" t="str">
        <f>"TM8-COMP-8840"</f>
        <v>TM8-COMP-8840</v>
      </c>
      <c r="C112" s="6" t="s">
        <v>319</v>
      </c>
      <c r="D112" s="6" t="s">
        <v>39</v>
      </c>
      <c r="E112" s="6" t="s">
        <v>40</v>
      </c>
      <c r="F112" s="6" t="s">
        <v>41</v>
      </c>
      <c r="G112" s="8">
        <v>0</v>
      </c>
      <c r="H112" s="7">
        <v>8</v>
      </c>
      <c r="I112" s="8">
        <v>29</v>
      </c>
      <c r="J112" s="7">
        <v>29</v>
      </c>
      <c r="K112" s="6" t="str">
        <f t="shared" si="6"/>
        <v>REVIEW</v>
      </c>
      <c r="L112" s="6" t="str">
        <f t="shared" si="7"/>
        <v>OK</v>
      </c>
      <c r="M112" s="6" t="str">
        <f>IF('Product Review'!U117="","MISSING","FOUND")</f>
        <v>FOUND</v>
      </c>
      <c r="N112" s="6" t="s">
        <v>320</v>
      </c>
    </row>
    <row r="113" spans="1:14" s="23" customFormat="1" ht="29.25">
      <c r="A113" s="19" t="s">
        <v>321</v>
      </c>
      <c r="B113" s="20" t="str">
        <f>"030215178096"</f>
        <v>030215178096</v>
      </c>
      <c r="C113" s="19" t="s">
        <v>322</v>
      </c>
      <c r="D113" s="19" t="s">
        <v>39</v>
      </c>
      <c r="E113" s="19" t="s">
        <v>40</v>
      </c>
      <c r="F113" s="19" t="s">
        <v>41</v>
      </c>
      <c r="G113" s="21">
        <v>0</v>
      </c>
      <c r="H113" s="22">
        <v>0</v>
      </c>
      <c r="I113" s="21">
        <v>35</v>
      </c>
      <c r="J113" s="22">
        <v>35</v>
      </c>
      <c r="K113" s="19" t="str">
        <f t="shared" si="6"/>
        <v>MISSING</v>
      </c>
      <c r="L113" s="19" t="str">
        <f t="shared" si="7"/>
        <v>OK</v>
      </c>
      <c r="M113" s="19" t="str">
        <f>IF('Product Review'!U118="","MISSING","FOUND")</f>
        <v>FOUND</v>
      </c>
      <c r="N113" s="19" t="s">
        <v>317</v>
      </c>
    </row>
    <row r="114" spans="1:14" s="23" customFormat="1" ht="29.25">
      <c r="A114" s="19" t="s">
        <v>323</v>
      </c>
      <c r="B114" s="20" t="str">
        <f>"459668800598"</f>
        <v>459668800598</v>
      </c>
      <c r="C114" s="19" t="s">
        <v>324</v>
      </c>
      <c r="D114" s="19" t="s">
        <v>39</v>
      </c>
      <c r="E114" s="19" t="s">
        <v>40</v>
      </c>
      <c r="F114" s="19" t="s">
        <v>41</v>
      </c>
      <c r="G114" s="21">
        <v>0</v>
      </c>
      <c r="H114" s="22">
        <v>0</v>
      </c>
      <c r="I114" s="21">
        <v>35</v>
      </c>
      <c r="J114" s="22">
        <v>35</v>
      </c>
      <c r="K114" s="19" t="str">
        <f t="shared" si="6"/>
        <v>MISSING</v>
      </c>
      <c r="L114" s="19" t="str">
        <f t="shared" si="7"/>
        <v>OK</v>
      </c>
      <c r="M114" s="19" t="str">
        <f>IF('Product Review'!U119="","MISSING","FOUND")</f>
        <v>FOUND</v>
      </c>
      <c r="N114" s="19" t="s">
        <v>325</v>
      </c>
    </row>
    <row r="115" spans="1:14" s="23" customFormat="1" ht="29.25">
      <c r="A115" s="19" t="s">
        <v>326</v>
      </c>
      <c r="B115" s="20" t="str">
        <f>"057586534054"</f>
        <v>057586534054</v>
      </c>
      <c r="C115" s="19" t="s">
        <v>327</v>
      </c>
      <c r="D115" s="19" t="s">
        <v>39</v>
      </c>
      <c r="E115" s="19" t="s">
        <v>40</v>
      </c>
      <c r="F115" s="19" t="s">
        <v>41</v>
      </c>
      <c r="G115" s="21">
        <v>0</v>
      </c>
      <c r="H115" s="22">
        <v>0</v>
      </c>
      <c r="I115" s="21">
        <v>25</v>
      </c>
      <c r="J115" s="22">
        <v>25</v>
      </c>
      <c r="K115" s="19" t="str">
        <f t="shared" si="6"/>
        <v>MISSING</v>
      </c>
      <c r="L115" s="19" t="str">
        <f t="shared" si="7"/>
        <v>OK</v>
      </c>
      <c r="M115" s="19" t="str">
        <f>IF('Product Review'!U120="","MISSING","FOUND")</f>
        <v>FOUND</v>
      </c>
      <c r="N115" s="19" t="s">
        <v>328</v>
      </c>
    </row>
    <row r="116" spans="1:14" ht="29.25">
      <c r="A116" s="6" t="s">
        <v>329</v>
      </c>
      <c r="B116" s="9" t="str">
        <f>"838286574782"</f>
        <v>838286574782</v>
      </c>
      <c r="C116" s="6" t="s">
        <v>330</v>
      </c>
      <c r="D116" s="6" t="s">
        <v>39</v>
      </c>
      <c r="E116" s="6" t="s">
        <v>40</v>
      </c>
      <c r="F116" s="6" t="s">
        <v>41</v>
      </c>
      <c r="G116" s="8">
        <v>0</v>
      </c>
      <c r="H116" s="7">
        <v>3.8</v>
      </c>
      <c r="I116" s="8">
        <v>15</v>
      </c>
      <c r="J116" s="7">
        <v>15</v>
      </c>
      <c r="K116" s="6" t="str">
        <f t="shared" si="6"/>
        <v>REVIEW</v>
      </c>
      <c r="L116" s="6" t="str">
        <f t="shared" si="7"/>
        <v>OK</v>
      </c>
      <c r="M116" s="6" t="str">
        <f>IF('Product Review'!U121="","MISSING","FOUND")</f>
        <v>FOUND</v>
      </c>
      <c r="N116" s="6" t="s">
        <v>331</v>
      </c>
    </row>
    <row r="117" spans="1:14" ht="29.25">
      <c r="A117" s="6" t="s">
        <v>332</v>
      </c>
      <c r="B117" s="9" t="str">
        <f>"6970344732841"</f>
        <v>6970344732841</v>
      </c>
      <c r="C117" s="6" t="s">
        <v>333</v>
      </c>
      <c r="D117" s="6" t="s">
        <v>138</v>
      </c>
      <c r="E117" s="6" t="s">
        <v>69</v>
      </c>
      <c r="F117" s="6" t="s">
        <v>334</v>
      </c>
      <c r="G117" s="8">
        <v>0</v>
      </c>
      <c r="H117" s="7">
        <v>20</v>
      </c>
      <c r="I117" s="8">
        <v>49.99</v>
      </c>
      <c r="J117" s="7">
        <v>49.99</v>
      </c>
      <c r="K117" s="6" t="str">
        <f t="shared" si="6"/>
        <v>REVIEW</v>
      </c>
      <c r="L117" s="6" t="str">
        <f t="shared" si="7"/>
        <v>OK</v>
      </c>
      <c r="M117" s="6" t="str">
        <f>IF('Product Review'!U122="","MISSING","FOUND")</f>
        <v>FOUND</v>
      </c>
      <c r="N117" s="6" t="s">
        <v>317</v>
      </c>
    </row>
    <row r="118" spans="1:14" ht="29.25">
      <c r="A118" s="6" t="s">
        <v>335</v>
      </c>
      <c r="B118" s="9" t="str">
        <f>"155422166039"</f>
        <v>155422166039</v>
      </c>
      <c r="C118" s="6" t="s">
        <v>336</v>
      </c>
      <c r="D118" s="6" t="s">
        <v>39</v>
      </c>
      <c r="E118" s="6" t="s">
        <v>54</v>
      </c>
      <c r="F118" s="6" t="s">
        <v>60</v>
      </c>
      <c r="G118" s="8">
        <v>0</v>
      </c>
      <c r="H118" s="7">
        <v>3</v>
      </c>
      <c r="I118" s="8">
        <v>15</v>
      </c>
      <c r="J118" s="7">
        <v>15</v>
      </c>
      <c r="K118" s="6" t="str">
        <f t="shared" si="6"/>
        <v>REVIEW</v>
      </c>
      <c r="L118" s="6" t="str">
        <f t="shared" si="7"/>
        <v>OK</v>
      </c>
      <c r="M118" s="6" t="str">
        <f>IF('Product Review'!U123="","MISSING","FOUND")</f>
        <v>FOUND</v>
      </c>
      <c r="N118" s="6" t="s">
        <v>337</v>
      </c>
    </row>
    <row r="119" spans="1:14" ht="29.25">
      <c r="A119" s="6" t="s">
        <v>338</v>
      </c>
      <c r="B119" s="9" t="str">
        <f>"KB1356MT072000064"</f>
        <v>KB1356MT072000064</v>
      </c>
      <c r="C119" s="6" t="s">
        <v>339</v>
      </c>
      <c r="D119" s="6" t="s">
        <v>138</v>
      </c>
      <c r="E119" s="6" t="s">
        <v>54</v>
      </c>
      <c r="F119" s="6" t="s">
        <v>60</v>
      </c>
      <c r="G119" s="8">
        <v>0</v>
      </c>
      <c r="H119" s="7">
        <v>8</v>
      </c>
      <c r="I119" s="8">
        <v>24.99</v>
      </c>
      <c r="J119" s="7">
        <v>24.99</v>
      </c>
      <c r="K119" s="6" t="str">
        <f t="shared" si="6"/>
        <v>REVIEW</v>
      </c>
      <c r="L119" s="6" t="str">
        <f t="shared" si="7"/>
        <v>OK</v>
      </c>
      <c r="M119" s="6" t="str">
        <f>IF('Product Review'!U124="","MISSING","FOUND")</f>
        <v>FOUND</v>
      </c>
      <c r="N119" s="6" t="s">
        <v>340</v>
      </c>
    </row>
    <row r="120" spans="1:14" ht="15">
      <c r="A120" s="6" t="s">
        <v>341</v>
      </c>
      <c r="B120" s="9" t="str">
        <f>"6954851295891"</f>
        <v>6954851295891</v>
      </c>
      <c r="C120" s="6" t="s">
        <v>342</v>
      </c>
      <c r="D120" s="6" t="s">
        <v>39</v>
      </c>
      <c r="E120" s="6" t="s">
        <v>54</v>
      </c>
      <c r="F120" s="6" t="s">
        <v>74</v>
      </c>
      <c r="G120" s="8">
        <v>33.5</v>
      </c>
      <c r="H120" s="7">
        <v>33.5</v>
      </c>
      <c r="I120" s="8">
        <v>79</v>
      </c>
      <c r="J120" s="7">
        <v>79</v>
      </c>
      <c r="K120" s="6" t="str">
        <f t="shared" si="6"/>
        <v>REVIEW</v>
      </c>
      <c r="L120" s="6" t="str">
        <f t="shared" si="7"/>
        <v>OK</v>
      </c>
      <c r="M120" s="6" t="str">
        <f>IF('Product Review'!U125="","MISSING","FOUND")</f>
        <v>FOUND</v>
      </c>
      <c r="N120" s="6"/>
    </row>
    <row r="121" spans="1:14" ht="15">
      <c r="A121" s="6" t="s">
        <v>343</v>
      </c>
      <c r="B121" s="9" t="str">
        <f>"6954851252191"</f>
        <v>6954851252191</v>
      </c>
      <c r="C121" s="6" t="s">
        <v>344</v>
      </c>
      <c r="D121" s="6" t="s">
        <v>39</v>
      </c>
      <c r="E121" s="6" t="s">
        <v>54</v>
      </c>
      <c r="F121" s="6" t="s">
        <v>74</v>
      </c>
      <c r="G121" s="8">
        <v>18</v>
      </c>
      <c r="H121" s="7">
        <v>18</v>
      </c>
      <c r="I121" s="8">
        <v>39</v>
      </c>
      <c r="J121" s="7">
        <v>39</v>
      </c>
      <c r="K121" s="6" t="str">
        <f t="shared" si="6"/>
        <v>REVIEW</v>
      </c>
      <c r="L121" s="6" t="str">
        <f t="shared" si="7"/>
        <v>OK</v>
      </c>
      <c r="M121" s="6" t="str">
        <f>IF('Product Review'!U126="","MISSING","FOUND")</f>
        <v>FOUND</v>
      </c>
      <c r="N121" s="6" t="s">
        <v>238</v>
      </c>
    </row>
    <row r="122" spans="1:14" ht="15">
      <c r="A122" s="6" t="s">
        <v>345</v>
      </c>
      <c r="B122" s="9" t="str">
        <f>"6954851252092"</f>
        <v>6954851252092</v>
      </c>
      <c r="C122" s="6" t="s">
        <v>346</v>
      </c>
      <c r="D122" s="6" t="s">
        <v>39</v>
      </c>
      <c r="E122" s="6" t="s">
        <v>54</v>
      </c>
      <c r="F122" s="6" t="s">
        <v>74</v>
      </c>
      <c r="G122" s="8">
        <v>6.38</v>
      </c>
      <c r="H122" s="7">
        <v>6.38</v>
      </c>
      <c r="I122" s="8">
        <v>28</v>
      </c>
      <c r="J122" s="7">
        <v>28</v>
      </c>
      <c r="K122" s="6" t="str">
        <f t="shared" si="6"/>
        <v>REVIEW</v>
      </c>
      <c r="L122" s="6" t="str">
        <f t="shared" si="7"/>
        <v>OK</v>
      </c>
      <c r="M122" s="6" t="str">
        <f>IF('Product Review'!U127="","MISSING","FOUND")</f>
        <v>FOUND</v>
      </c>
      <c r="N122" s="6" t="s">
        <v>85</v>
      </c>
    </row>
    <row r="123" spans="1:14" ht="15">
      <c r="A123" s="6" t="s">
        <v>347</v>
      </c>
      <c r="B123" s="9" t="str">
        <f>"7812488"</f>
        <v>7812488</v>
      </c>
      <c r="C123" s="6" t="s">
        <v>348</v>
      </c>
      <c r="D123" s="6" t="s">
        <v>39</v>
      </c>
      <c r="E123" s="6" t="s">
        <v>54</v>
      </c>
      <c r="F123" s="6" t="s">
        <v>74</v>
      </c>
      <c r="G123" s="8">
        <v>4.5</v>
      </c>
      <c r="H123" s="7">
        <v>4.5</v>
      </c>
      <c r="I123" s="8">
        <v>19</v>
      </c>
      <c r="J123" s="7">
        <v>19</v>
      </c>
      <c r="K123" s="6" t="str">
        <f t="shared" si="6"/>
        <v>REVIEW</v>
      </c>
      <c r="L123" s="6" t="str">
        <f t="shared" si="7"/>
        <v>OK</v>
      </c>
      <c r="M123" s="6" t="str">
        <f>IF('Product Review'!U128="","MISSING","FOUND")</f>
        <v>FOUND</v>
      </c>
      <c r="N123" s="6"/>
    </row>
    <row r="124" spans="1:14" ht="29.25">
      <c r="A124" s="6" t="s">
        <v>349</v>
      </c>
      <c r="B124" s="9" t="str">
        <f>"6970344731646"</f>
        <v>6970344731646</v>
      </c>
      <c r="C124" s="6" t="s">
        <v>350</v>
      </c>
      <c r="D124" s="6" t="s">
        <v>39</v>
      </c>
      <c r="E124" s="6" t="s">
        <v>54</v>
      </c>
      <c r="F124" s="6" t="s">
        <v>60</v>
      </c>
      <c r="G124" s="8">
        <v>0</v>
      </c>
      <c r="H124" s="7">
        <v>19.84</v>
      </c>
      <c r="I124" s="8">
        <v>29.99</v>
      </c>
      <c r="J124" s="7">
        <v>29.99</v>
      </c>
      <c r="K124" s="6" t="str">
        <f t="shared" si="6"/>
        <v>REVIEW</v>
      </c>
      <c r="L124" s="6" t="str">
        <f t="shared" si="7"/>
        <v>OK</v>
      </c>
      <c r="M124" s="6" t="str">
        <f>IF('Product Review'!U129="","MISSING","FOUND")</f>
        <v>FOUND</v>
      </c>
      <c r="N124" s="6" t="s">
        <v>351</v>
      </c>
    </row>
    <row r="125" spans="1:14" ht="15">
      <c r="A125" s="6" t="s">
        <v>352</v>
      </c>
      <c r="B125" s="9" t="str">
        <f>"6972174159461"</f>
        <v>6972174159461</v>
      </c>
      <c r="C125" s="6" t="s">
        <v>353</v>
      </c>
      <c r="D125" s="6" t="s">
        <v>39</v>
      </c>
      <c r="E125" s="6" t="s">
        <v>69</v>
      </c>
      <c r="F125" s="6" t="s">
        <v>96</v>
      </c>
      <c r="G125" s="8">
        <v>0</v>
      </c>
      <c r="H125" s="7">
        <v>20</v>
      </c>
      <c r="I125" s="8">
        <v>129</v>
      </c>
      <c r="J125" s="7">
        <v>129</v>
      </c>
      <c r="K125" s="6" t="str">
        <f t="shared" si="6"/>
        <v>REVIEW</v>
      </c>
      <c r="L125" s="6" t="str">
        <f t="shared" si="7"/>
        <v>OK</v>
      </c>
      <c r="M125" s="6" t="str">
        <f>IF('Product Review'!U130="","MISSING","FOUND")</f>
        <v>FOUND</v>
      </c>
      <c r="N125" s="6" t="s">
        <v>223</v>
      </c>
    </row>
    <row r="126" spans="1:14" ht="29.25">
      <c r="A126" s="6" t="s">
        <v>354</v>
      </c>
      <c r="B126" s="9" t="str">
        <f>"6972174159454"</f>
        <v>6972174159454</v>
      </c>
      <c r="C126" s="6" t="s">
        <v>355</v>
      </c>
      <c r="D126" s="6" t="s">
        <v>39</v>
      </c>
      <c r="E126" s="6" t="s">
        <v>69</v>
      </c>
      <c r="F126" s="6" t="s">
        <v>96</v>
      </c>
      <c r="G126" s="8">
        <v>0</v>
      </c>
      <c r="H126" s="7">
        <v>20</v>
      </c>
      <c r="I126" s="8">
        <v>129</v>
      </c>
      <c r="J126" s="7">
        <v>129</v>
      </c>
      <c r="K126" s="6" t="str">
        <f t="shared" si="6"/>
        <v>REVIEW</v>
      </c>
      <c r="L126" s="6" t="str">
        <f t="shared" si="7"/>
        <v>OK</v>
      </c>
      <c r="M126" s="6" t="str">
        <f>IF('Product Review'!U131="","MISSING","FOUND")</f>
        <v>FOUND</v>
      </c>
      <c r="N126" s="6" t="s">
        <v>356</v>
      </c>
    </row>
    <row r="127" spans="1:14" s="23" customFormat="1" ht="29.25">
      <c r="A127" s="19" t="s">
        <v>357</v>
      </c>
      <c r="B127" s="20" t="str">
        <f>"6935364050573"</f>
        <v>6935364050573</v>
      </c>
      <c r="C127" s="19" t="s">
        <v>358</v>
      </c>
      <c r="D127" s="19" t="s">
        <v>314</v>
      </c>
      <c r="E127" s="19" t="s">
        <v>54</v>
      </c>
      <c r="F127" s="19" t="s">
        <v>216</v>
      </c>
      <c r="G127" s="21">
        <v>0</v>
      </c>
      <c r="H127" s="22">
        <v>0</v>
      </c>
      <c r="I127" s="21">
        <v>55</v>
      </c>
      <c r="J127" s="22">
        <v>55</v>
      </c>
      <c r="K127" s="19" t="str">
        <f t="shared" si="6"/>
        <v>MISSING</v>
      </c>
      <c r="L127" s="19" t="str">
        <f t="shared" si="7"/>
        <v>OK</v>
      </c>
      <c r="M127" s="19" t="str">
        <f>IF('Product Review'!U132="","MISSING","FOUND")</f>
        <v>FOUND</v>
      </c>
      <c r="N127" s="19" t="s">
        <v>325</v>
      </c>
    </row>
    <row r="128" spans="1:14" s="23" customFormat="1" ht="29.25">
      <c r="A128" s="19" t="s">
        <v>359</v>
      </c>
      <c r="B128" s="20" t="str">
        <f>"6845174"</f>
        <v>6845174</v>
      </c>
      <c r="C128" s="19" t="s">
        <v>360</v>
      </c>
      <c r="D128" s="19" t="s">
        <v>314</v>
      </c>
      <c r="E128" s="19" t="s">
        <v>54</v>
      </c>
      <c r="F128" s="19" t="s">
        <v>216</v>
      </c>
      <c r="G128" s="21">
        <v>0</v>
      </c>
      <c r="H128" s="22">
        <v>0</v>
      </c>
      <c r="I128" s="21">
        <v>45</v>
      </c>
      <c r="J128" s="22">
        <v>45</v>
      </c>
      <c r="K128" s="19" t="str">
        <f t="shared" si="6"/>
        <v>MISSING</v>
      </c>
      <c r="L128" s="19" t="str">
        <f t="shared" si="7"/>
        <v>OK</v>
      </c>
      <c r="M128" s="19" t="str">
        <f>IF('Product Review'!U133="","MISSING","FOUND")</f>
        <v>FOUND</v>
      </c>
      <c r="N128" s="19" t="s">
        <v>320</v>
      </c>
    </row>
    <row r="129" spans="1:14" s="23" customFormat="1" ht="29.25">
      <c r="A129" s="19" t="s">
        <v>361</v>
      </c>
      <c r="B129" s="20" t="str">
        <f>"2901353532461"</f>
        <v>2901353532461</v>
      </c>
      <c r="C129" s="19" t="s">
        <v>362</v>
      </c>
      <c r="D129" s="19" t="s">
        <v>39</v>
      </c>
      <c r="E129" s="19" t="s">
        <v>54</v>
      </c>
      <c r="F129" s="19" t="s">
        <v>65</v>
      </c>
      <c r="G129" s="21">
        <v>0</v>
      </c>
      <c r="H129" s="22">
        <v>0</v>
      </c>
      <c r="I129" s="21">
        <v>35</v>
      </c>
      <c r="J129" s="22">
        <v>35</v>
      </c>
      <c r="K129" s="19" t="str">
        <f t="shared" si="6"/>
        <v>MISSING</v>
      </c>
      <c r="L129" s="19" t="str">
        <f t="shared" si="7"/>
        <v>OK</v>
      </c>
      <c r="M129" s="19" t="str">
        <f>IF('Product Review'!U134="","MISSING","FOUND")</f>
        <v>FOUND</v>
      </c>
      <c r="N129" s="19" t="s">
        <v>363</v>
      </c>
    </row>
    <row r="130" spans="1:14" ht="29.25">
      <c r="A130" s="6" t="s">
        <v>364</v>
      </c>
      <c r="B130" s="9" t="str">
        <f>"593450563718"</f>
        <v>593450563718</v>
      </c>
      <c r="C130" s="6" t="s">
        <v>365</v>
      </c>
      <c r="D130" s="6" t="s">
        <v>39</v>
      </c>
      <c r="E130" s="6" t="s">
        <v>54</v>
      </c>
      <c r="F130" s="6" t="s">
        <v>65</v>
      </c>
      <c r="G130" s="8">
        <v>0</v>
      </c>
      <c r="H130" s="7">
        <v>15</v>
      </c>
      <c r="I130" s="8">
        <v>55</v>
      </c>
      <c r="J130" s="7">
        <v>55</v>
      </c>
      <c r="K130" s="6" t="str">
        <f t="shared" ref="K130:K161" si="8">IF(H130&lt;=0,"MISSING","REVIEW")</f>
        <v>REVIEW</v>
      </c>
      <c r="L130" s="6" t="str">
        <f t="shared" ref="L130:L161" si="9">IF(OR(J130&lt;=0,J130&gt;100000),"CHECK","OK")</f>
        <v>OK</v>
      </c>
      <c r="M130" s="6" t="str">
        <f>IF('Product Review'!U135="","MISSING","FOUND")</f>
        <v>FOUND</v>
      </c>
      <c r="N130" s="6" t="s">
        <v>325</v>
      </c>
    </row>
    <row r="131" spans="1:14" ht="15">
      <c r="A131" s="6" t="s">
        <v>366</v>
      </c>
      <c r="B131" s="9" t="str">
        <f>"89421783370"</f>
        <v>89421783370</v>
      </c>
      <c r="C131" s="6" t="s">
        <v>367</v>
      </c>
      <c r="D131" s="6" t="s">
        <v>39</v>
      </c>
      <c r="E131" s="6" t="s">
        <v>40</v>
      </c>
      <c r="F131" s="6" t="s">
        <v>368</v>
      </c>
      <c r="G131" s="8">
        <v>2</v>
      </c>
      <c r="H131" s="7">
        <v>2</v>
      </c>
      <c r="I131" s="8">
        <v>19.989999999999998</v>
      </c>
      <c r="J131" s="7">
        <v>19.989999999999998</v>
      </c>
      <c r="K131" s="6" t="str">
        <f t="shared" si="8"/>
        <v>REVIEW</v>
      </c>
      <c r="L131" s="6" t="str">
        <f t="shared" si="9"/>
        <v>OK</v>
      </c>
      <c r="M131" s="6" t="str">
        <f>IF('Product Review'!U136="","MISSING","FOUND")</f>
        <v>FOUND</v>
      </c>
      <c r="N131" s="6" t="s">
        <v>45</v>
      </c>
    </row>
    <row r="132" spans="1:14" ht="29.25">
      <c r="A132" s="6" t="s">
        <v>369</v>
      </c>
      <c r="B132" s="9" t="str">
        <f>"6970344732476"</f>
        <v>6970344732476</v>
      </c>
      <c r="C132" s="6" t="s">
        <v>370</v>
      </c>
      <c r="D132" s="6" t="s">
        <v>138</v>
      </c>
      <c r="E132" s="6" t="s">
        <v>54</v>
      </c>
      <c r="F132" s="6" t="s">
        <v>60</v>
      </c>
      <c r="G132" s="8">
        <v>0</v>
      </c>
      <c r="H132" s="7">
        <v>7.76</v>
      </c>
      <c r="I132" s="8">
        <v>24.99</v>
      </c>
      <c r="J132" s="7">
        <v>24.99</v>
      </c>
      <c r="K132" s="6" t="str">
        <f t="shared" si="8"/>
        <v>REVIEW</v>
      </c>
      <c r="L132" s="6" t="str">
        <f t="shared" si="9"/>
        <v>OK</v>
      </c>
      <c r="M132" s="6" t="str">
        <f>IF('Product Review'!U137="","MISSING","FOUND")</f>
        <v>FOUND</v>
      </c>
      <c r="N132" s="6" t="s">
        <v>325</v>
      </c>
    </row>
    <row r="133" spans="1:14" ht="29.25">
      <c r="A133" s="6" t="s">
        <v>371</v>
      </c>
      <c r="B133" s="9" t="str">
        <f>"011739479791"</f>
        <v>011739479791</v>
      </c>
      <c r="C133" s="6" t="s">
        <v>372</v>
      </c>
      <c r="D133" s="6" t="s">
        <v>39</v>
      </c>
      <c r="E133" s="6" t="s">
        <v>40</v>
      </c>
      <c r="F133" s="6" t="s">
        <v>41</v>
      </c>
      <c r="G133" s="8">
        <v>0</v>
      </c>
      <c r="H133" s="7">
        <v>5</v>
      </c>
      <c r="I133" s="8">
        <v>15</v>
      </c>
      <c r="J133" s="7">
        <v>15</v>
      </c>
      <c r="K133" s="6" t="str">
        <f t="shared" si="8"/>
        <v>REVIEW</v>
      </c>
      <c r="L133" s="6" t="str">
        <f t="shared" si="9"/>
        <v>OK</v>
      </c>
      <c r="M133" s="6" t="str">
        <f>IF('Product Review'!U138="","MISSING","FOUND")</f>
        <v>FOUND</v>
      </c>
      <c r="N133" s="6" t="s">
        <v>325</v>
      </c>
    </row>
    <row r="134" spans="1:14" ht="29.25">
      <c r="A134" s="6" t="s">
        <v>373</v>
      </c>
      <c r="B134" s="9" t="str">
        <f>"584665051299"</f>
        <v>584665051299</v>
      </c>
      <c r="C134" s="6" t="s">
        <v>374</v>
      </c>
      <c r="D134" s="6" t="s">
        <v>39</v>
      </c>
      <c r="E134" s="6" t="s">
        <v>40</v>
      </c>
      <c r="F134" s="6" t="s">
        <v>375</v>
      </c>
      <c r="G134" s="8">
        <v>0</v>
      </c>
      <c r="H134" s="7">
        <v>5</v>
      </c>
      <c r="I134" s="8">
        <v>20</v>
      </c>
      <c r="J134" s="7">
        <v>20</v>
      </c>
      <c r="K134" s="6" t="str">
        <f t="shared" si="8"/>
        <v>REVIEW</v>
      </c>
      <c r="L134" s="6" t="str">
        <f t="shared" si="9"/>
        <v>OK</v>
      </c>
      <c r="M134" s="6" t="str">
        <f>IF('Product Review'!U139="","MISSING","FOUND")</f>
        <v>FOUND</v>
      </c>
      <c r="N134" s="6" t="s">
        <v>331</v>
      </c>
    </row>
    <row r="135" spans="1:14" ht="29.25">
      <c r="A135" s="6" t="s">
        <v>376</v>
      </c>
      <c r="B135" s="9" t="str">
        <f>"313231346411"</f>
        <v>313231346411</v>
      </c>
      <c r="C135" s="6" t="s">
        <v>377</v>
      </c>
      <c r="D135" s="6" t="s">
        <v>39</v>
      </c>
      <c r="E135" s="6" t="s">
        <v>40</v>
      </c>
      <c r="F135" s="6" t="s">
        <v>41</v>
      </c>
      <c r="G135" s="8">
        <v>0</v>
      </c>
      <c r="H135" s="7">
        <v>5</v>
      </c>
      <c r="I135" s="8">
        <v>15</v>
      </c>
      <c r="J135" s="7">
        <v>15</v>
      </c>
      <c r="K135" s="6" t="str">
        <f t="shared" si="8"/>
        <v>REVIEW</v>
      </c>
      <c r="L135" s="6" t="str">
        <f t="shared" si="9"/>
        <v>OK</v>
      </c>
      <c r="M135" s="6" t="str">
        <f>IF('Product Review'!U140="","MISSING","FOUND")</f>
        <v>FOUND</v>
      </c>
      <c r="N135" s="6" t="s">
        <v>317</v>
      </c>
    </row>
    <row r="136" spans="1:14" ht="29.25">
      <c r="A136" s="6" t="s">
        <v>378</v>
      </c>
      <c r="B136" s="9" t="str">
        <f>"993835555152"</f>
        <v>993835555152</v>
      </c>
      <c r="C136" s="6" t="s">
        <v>379</v>
      </c>
      <c r="D136" s="6" t="s">
        <v>39</v>
      </c>
      <c r="E136" s="6" t="s">
        <v>40</v>
      </c>
      <c r="F136" s="6" t="s">
        <v>41</v>
      </c>
      <c r="G136" s="8">
        <v>0</v>
      </c>
      <c r="H136" s="7">
        <v>8</v>
      </c>
      <c r="I136" s="8">
        <v>30</v>
      </c>
      <c r="J136" s="7">
        <v>30</v>
      </c>
      <c r="K136" s="6" t="str">
        <f t="shared" si="8"/>
        <v>REVIEW</v>
      </c>
      <c r="L136" s="6" t="str">
        <f t="shared" si="9"/>
        <v>OK</v>
      </c>
      <c r="M136" s="6" t="str">
        <f>IF('Product Review'!U141="","MISSING","FOUND")</f>
        <v>FOUND</v>
      </c>
      <c r="N136" s="6" t="s">
        <v>331</v>
      </c>
    </row>
    <row r="137" spans="1:14" ht="29.25">
      <c r="A137" s="6" t="s">
        <v>380</v>
      </c>
      <c r="B137" s="9" t="str">
        <f>"154975388936"</f>
        <v>154975388936</v>
      </c>
      <c r="C137" s="6" t="s">
        <v>381</v>
      </c>
      <c r="D137" s="6" t="s">
        <v>39</v>
      </c>
      <c r="E137" s="6" t="s">
        <v>40</v>
      </c>
      <c r="F137" s="6" t="s">
        <v>41</v>
      </c>
      <c r="G137" s="8">
        <v>0</v>
      </c>
      <c r="H137" s="7">
        <v>5</v>
      </c>
      <c r="I137" s="8">
        <v>30</v>
      </c>
      <c r="J137" s="7">
        <v>30</v>
      </c>
      <c r="K137" s="6" t="str">
        <f t="shared" si="8"/>
        <v>REVIEW</v>
      </c>
      <c r="L137" s="6" t="str">
        <f t="shared" si="9"/>
        <v>OK</v>
      </c>
      <c r="M137" s="6" t="str">
        <f>IF('Product Review'!U142="","MISSING","FOUND")</f>
        <v>FOUND</v>
      </c>
      <c r="N137" s="6" t="s">
        <v>325</v>
      </c>
    </row>
    <row r="138" spans="1:14" ht="15">
      <c r="A138" s="6" t="s">
        <v>382</v>
      </c>
      <c r="B138" s="9" t="str">
        <f>"762992046694"</f>
        <v>762992046694</v>
      </c>
      <c r="C138" s="6" t="s">
        <v>383</v>
      </c>
      <c r="D138" s="6" t="s">
        <v>39</v>
      </c>
      <c r="E138" s="6" t="s">
        <v>40</v>
      </c>
      <c r="F138" s="6" t="s">
        <v>41</v>
      </c>
      <c r="G138" s="8">
        <v>0</v>
      </c>
      <c r="H138" s="7">
        <v>5</v>
      </c>
      <c r="I138" s="8">
        <v>20</v>
      </c>
      <c r="J138" s="7">
        <v>20</v>
      </c>
      <c r="K138" s="6" t="str">
        <f t="shared" si="8"/>
        <v>REVIEW</v>
      </c>
      <c r="L138" s="6" t="str">
        <f t="shared" si="9"/>
        <v>OK</v>
      </c>
      <c r="M138" s="6" t="str">
        <f>IF('Product Review'!U143="","MISSING","FOUND")</f>
        <v>FOUND</v>
      </c>
      <c r="N138" s="6" t="s">
        <v>223</v>
      </c>
    </row>
    <row r="139" spans="1:14" s="23" customFormat="1" ht="29.25">
      <c r="A139" s="19" t="s">
        <v>384</v>
      </c>
      <c r="B139" s="20" t="str">
        <f>"826584423956"</f>
        <v>826584423956</v>
      </c>
      <c r="C139" s="19" t="s">
        <v>385</v>
      </c>
      <c r="D139" s="19" t="s">
        <v>39</v>
      </c>
      <c r="E139" s="19" t="s">
        <v>40</v>
      </c>
      <c r="F139" s="19" t="s">
        <v>41</v>
      </c>
      <c r="G139" s="21">
        <v>0</v>
      </c>
      <c r="H139" s="22">
        <v>0</v>
      </c>
      <c r="I139" s="21">
        <v>30</v>
      </c>
      <c r="J139" s="22">
        <v>30</v>
      </c>
      <c r="K139" s="19" t="str">
        <f t="shared" si="8"/>
        <v>MISSING</v>
      </c>
      <c r="L139" s="19" t="str">
        <f t="shared" si="9"/>
        <v>OK</v>
      </c>
      <c r="M139" s="19" t="str">
        <f>IF('Product Review'!U144="","MISSING","FOUND")</f>
        <v>FOUND</v>
      </c>
      <c r="N139" s="19" t="s">
        <v>328</v>
      </c>
    </row>
    <row r="140" spans="1:14" ht="15">
      <c r="A140" s="6" t="s">
        <v>386</v>
      </c>
      <c r="B140" s="9" t="str">
        <f>"122836009092"</f>
        <v>122836009092</v>
      </c>
      <c r="C140" s="6" t="s">
        <v>387</v>
      </c>
      <c r="D140" s="6" t="s">
        <v>39</v>
      </c>
      <c r="E140" s="6" t="s">
        <v>40</v>
      </c>
      <c r="F140" s="6" t="s">
        <v>388</v>
      </c>
      <c r="G140" s="8">
        <v>5.5</v>
      </c>
      <c r="H140" s="7">
        <v>5.5</v>
      </c>
      <c r="I140" s="8">
        <v>30</v>
      </c>
      <c r="J140" s="7">
        <v>30</v>
      </c>
      <c r="K140" s="6" t="str">
        <f t="shared" si="8"/>
        <v>REVIEW</v>
      </c>
      <c r="L140" s="6" t="str">
        <f t="shared" si="9"/>
        <v>OK</v>
      </c>
      <c r="M140" s="6" t="str">
        <f>IF('Product Review'!U145="","MISSING","FOUND")</f>
        <v>FOUND</v>
      </c>
      <c r="N140" s="6" t="s">
        <v>42</v>
      </c>
    </row>
    <row r="141" spans="1:14" ht="15">
      <c r="A141" s="6" t="s">
        <v>389</v>
      </c>
      <c r="B141" s="9" t="str">
        <f>"294179874573"</f>
        <v>294179874573</v>
      </c>
      <c r="C141" s="6" t="s">
        <v>390</v>
      </c>
      <c r="D141" s="6" t="s">
        <v>39</v>
      </c>
      <c r="E141" s="6" t="s">
        <v>40</v>
      </c>
      <c r="F141" s="6" t="s">
        <v>388</v>
      </c>
      <c r="G141" s="8">
        <v>4.5</v>
      </c>
      <c r="H141" s="7">
        <v>4.5</v>
      </c>
      <c r="I141" s="8">
        <v>20</v>
      </c>
      <c r="J141" s="7">
        <v>20</v>
      </c>
      <c r="K141" s="6" t="str">
        <f t="shared" si="8"/>
        <v>REVIEW</v>
      </c>
      <c r="L141" s="6" t="str">
        <f t="shared" si="9"/>
        <v>OK</v>
      </c>
      <c r="M141" s="6" t="str">
        <f>IF('Product Review'!U146="","MISSING","FOUND")</f>
        <v>FOUND</v>
      </c>
      <c r="N141" s="6" t="s">
        <v>105</v>
      </c>
    </row>
    <row r="142" spans="1:14" ht="15">
      <c r="A142" s="6" t="s">
        <v>391</v>
      </c>
      <c r="B142" s="9" t="str">
        <f>"001532223639"</f>
        <v>001532223639</v>
      </c>
      <c r="C142" s="6" t="s">
        <v>392</v>
      </c>
      <c r="D142" s="6" t="s">
        <v>39</v>
      </c>
      <c r="E142" s="6" t="s">
        <v>40</v>
      </c>
      <c r="F142" s="6" t="s">
        <v>388</v>
      </c>
      <c r="G142" s="8">
        <v>3</v>
      </c>
      <c r="H142" s="7">
        <v>3</v>
      </c>
      <c r="I142" s="8">
        <v>15</v>
      </c>
      <c r="J142" s="7">
        <v>15</v>
      </c>
      <c r="K142" s="6" t="str">
        <f t="shared" si="8"/>
        <v>REVIEW</v>
      </c>
      <c r="L142" s="6" t="str">
        <f t="shared" si="9"/>
        <v>OK</v>
      </c>
      <c r="M142" s="6" t="str">
        <f>IF('Product Review'!U147="","MISSING","FOUND")</f>
        <v>FOUND</v>
      </c>
      <c r="N142" s="6" t="s">
        <v>105</v>
      </c>
    </row>
    <row r="143" spans="1:14" ht="15">
      <c r="A143" s="6" t="s">
        <v>393</v>
      </c>
      <c r="B143" s="9" t="str">
        <f>"32540161528"</f>
        <v>32540161528</v>
      </c>
      <c r="C143" s="6" t="s">
        <v>394</v>
      </c>
      <c r="D143" s="6" t="s">
        <v>39</v>
      </c>
      <c r="E143" s="6" t="s">
        <v>40</v>
      </c>
      <c r="F143" s="6" t="s">
        <v>388</v>
      </c>
      <c r="G143" s="8">
        <v>1.8</v>
      </c>
      <c r="H143" s="7">
        <v>1.8</v>
      </c>
      <c r="I143" s="8">
        <v>10</v>
      </c>
      <c r="J143" s="7">
        <v>10</v>
      </c>
      <c r="K143" s="6" t="str">
        <f t="shared" si="8"/>
        <v>REVIEW</v>
      </c>
      <c r="L143" s="6" t="str">
        <f t="shared" si="9"/>
        <v>OK</v>
      </c>
      <c r="M143" s="6" t="str">
        <f>IF('Product Review'!U148="","MISSING","FOUND")</f>
        <v>FOUND</v>
      </c>
      <c r="N143" s="6" t="s">
        <v>45</v>
      </c>
    </row>
    <row r="144" spans="1:14" ht="29.25">
      <c r="A144" s="6" t="s">
        <v>395</v>
      </c>
      <c r="B144" s="9" t="str">
        <f>"497716085689"</f>
        <v>497716085689</v>
      </c>
      <c r="C144" s="6" t="s">
        <v>396</v>
      </c>
      <c r="D144" s="6" t="s">
        <v>39</v>
      </c>
      <c r="E144" s="6" t="s">
        <v>40</v>
      </c>
      <c r="F144" s="6" t="s">
        <v>41</v>
      </c>
      <c r="G144" s="8">
        <v>0</v>
      </c>
      <c r="H144" s="7">
        <v>3.5</v>
      </c>
      <c r="I144" s="8">
        <v>15</v>
      </c>
      <c r="J144" s="7">
        <v>15</v>
      </c>
      <c r="K144" s="6" t="str">
        <f t="shared" si="8"/>
        <v>REVIEW</v>
      </c>
      <c r="L144" s="6" t="str">
        <f t="shared" si="9"/>
        <v>OK</v>
      </c>
      <c r="M144" s="6" t="str">
        <f>IF('Product Review'!U149="","MISSING","FOUND")</f>
        <v>FOUND</v>
      </c>
      <c r="N144" s="6" t="s">
        <v>397</v>
      </c>
    </row>
    <row r="145" spans="1:14" ht="29.25">
      <c r="A145" s="6" t="s">
        <v>398</v>
      </c>
      <c r="B145" s="9" t="str">
        <f>"397089842967"</f>
        <v>397089842967</v>
      </c>
      <c r="C145" s="6" t="s">
        <v>399</v>
      </c>
      <c r="D145" s="6" t="s">
        <v>39</v>
      </c>
      <c r="E145" s="6" t="s">
        <v>40</v>
      </c>
      <c r="F145" s="6" t="s">
        <v>41</v>
      </c>
      <c r="G145" s="8">
        <v>0</v>
      </c>
      <c r="H145" s="7">
        <v>3.5</v>
      </c>
      <c r="I145" s="8">
        <v>15</v>
      </c>
      <c r="J145" s="7">
        <v>15</v>
      </c>
      <c r="K145" s="6" t="str">
        <f t="shared" si="8"/>
        <v>REVIEW</v>
      </c>
      <c r="L145" s="6" t="str">
        <f t="shared" si="9"/>
        <v>OK</v>
      </c>
      <c r="M145" s="6" t="str">
        <f>IF('Product Review'!U150="","MISSING","FOUND")</f>
        <v>FOUND</v>
      </c>
      <c r="N145" s="6" t="s">
        <v>400</v>
      </c>
    </row>
    <row r="146" spans="1:14" ht="29.25">
      <c r="A146" s="6" t="s">
        <v>401</v>
      </c>
      <c r="B146" s="9" t="str">
        <f>"468709432902"</f>
        <v>468709432902</v>
      </c>
      <c r="C146" s="6" t="s">
        <v>402</v>
      </c>
      <c r="D146" s="6" t="s">
        <v>39</v>
      </c>
      <c r="E146" s="6" t="s">
        <v>40</v>
      </c>
      <c r="F146" s="6" t="s">
        <v>41</v>
      </c>
      <c r="G146" s="8">
        <v>0</v>
      </c>
      <c r="H146" s="7">
        <v>3.5</v>
      </c>
      <c r="I146" s="8">
        <v>15</v>
      </c>
      <c r="J146" s="7">
        <v>15</v>
      </c>
      <c r="K146" s="6" t="str">
        <f t="shared" si="8"/>
        <v>REVIEW</v>
      </c>
      <c r="L146" s="6" t="str">
        <f t="shared" si="9"/>
        <v>OK</v>
      </c>
      <c r="M146" s="6" t="str">
        <f>IF('Product Review'!U151="","MISSING","FOUND")</f>
        <v>FOUND</v>
      </c>
      <c r="N146" s="6" t="s">
        <v>317</v>
      </c>
    </row>
    <row r="147" spans="1:14" ht="15">
      <c r="A147" s="6" t="s">
        <v>403</v>
      </c>
      <c r="B147" s="9" t="str">
        <f>"565124307508"</f>
        <v>565124307508</v>
      </c>
      <c r="C147" s="6" t="s">
        <v>404</v>
      </c>
      <c r="D147" s="6" t="s">
        <v>39</v>
      </c>
      <c r="E147" s="6" t="s">
        <v>40</v>
      </c>
      <c r="F147" s="6" t="s">
        <v>41</v>
      </c>
      <c r="G147" s="8">
        <v>0</v>
      </c>
      <c r="H147" s="7">
        <v>5</v>
      </c>
      <c r="I147" s="8">
        <v>15</v>
      </c>
      <c r="J147" s="7">
        <v>15</v>
      </c>
      <c r="K147" s="6" t="str">
        <f t="shared" si="8"/>
        <v>REVIEW</v>
      </c>
      <c r="L147" s="6" t="str">
        <f t="shared" si="9"/>
        <v>OK</v>
      </c>
      <c r="M147" s="6" t="str">
        <f>IF('Product Review'!U152="","MISSING","FOUND")</f>
        <v>FOUND</v>
      </c>
      <c r="N147" s="6" t="s">
        <v>223</v>
      </c>
    </row>
    <row r="148" spans="1:14" s="23" customFormat="1" ht="29.25">
      <c r="A148" s="19" t="s">
        <v>405</v>
      </c>
      <c r="B148" s="20" t="str">
        <f>"860085245013"</f>
        <v>860085245013</v>
      </c>
      <c r="C148" s="19" t="s">
        <v>406</v>
      </c>
      <c r="D148" s="19" t="s">
        <v>39</v>
      </c>
      <c r="E148" s="19" t="s">
        <v>40</v>
      </c>
      <c r="F148" s="19" t="s">
        <v>41</v>
      </c>
      <c r="G148" s="21">
        <v>0</v>
      </c>
      <c r="H148" s="22">
        <v>0</v>
      </c>
      <c r="I148" s="21">
        <v>25</v>
      </c>
      <c r="J148" s="22">
        <v>25</v>
      </c>
      <c r="K148" s="19" t="str">
        <f t="shared" si="8"/>
        <v>MISSING</v>
      </c>
      <c r="L148" s="19" t="str">
        <f t="shared" si="9"/>
        <v>OK</v>
      </c>
      <c r="M148" s="19" t="str">
        <f>IF('Product Review'!U153="","MISSING","FOUND")</f>
        <v>FOUND</v>
      </c>
      <c r="N148" s="19" t="s">
        <v>320</v>
      </c>
    </row>
    <row r="149" spans="1:14" ht="15">
      <c r="A149" s="6" t="s">
        <v>407</v>
      </c>
      <c r="B149" s="9" t="str">
        <f>"981720708660"</f>
        <v>981720708660</v>
      </c>
      <c r="C149" s="6" t="s">
        <v>408</v>
      </c>
      <c r="D149" s="6" t="s">
        <v>39</v>
      </c>
      <c r="E149" s="6" t="s">
        <v>40</v>
      </c>
      <c r="F149" s="6" t="s">
        <v>41</v>
      </c>
      <c r="G149" s="8">
        <v>0</v>
      </c>
      <c r="H149" s="7">
        <v>5</v>
      </c>
      <c r="I149" s="8">
        <v>25</v>
      </c>
      <c r="J149" s="7">
        <v>25</v>
      </c>
      <c r="K149" s="6" t="str">
        <f t="shared" si="8"/>
        <v>REVIEW</v>
      </c>
      <c r="L149" s="6" t="str">
        <f t="shared" si="9"/>
        <v>OK</v>
      </c>
      <c r="M149" s="6" t="str">
        <f>IF('Product Review'!U154="","MISSING","FOUND")</f>
        <v>FOUND</v>
      </c>
      <c r="N149" s="6" t="s">
        <v>223</v>
      </c>
    </row>
    <row r="150" spans="1:14" ht="29.25">
      <c r="A150" s="6" t="s">
        <v>409</v>
      </c>
      <c r="B150" s="9" t="str">
        <f>"757521758919"</f>
        <v>757521758919</v>
      </c>
      <c r="C150" s="6" t="s">
        <v>410</v>
      </c>
      <c r="D150" s="6" t="s">
        <v>39</v>
      </c>
      <c r="E150" s="6" t="s">
        <v>40</v>
      </c>
      <c r="F150" s="6" t="s">
        <v>41</v>
      </c>
      <c r="G150" s="8">
        <v>0</v>
      </c>
      <c r="H150" s="7">
        <v>3.5</v>
      </c>
      <c r="I150" s="8">
        <v>15</v>
      </c>
      <c r="J150" s="7">
        <v>15</v>
      </c>
      <c r="K150" s="6" t="str">
        <f t="shared" si="8"/>
        <v>REVIEW</v>
      </c>
      <c r="L150" s="6" t="str">
        <f t="shared" si="9"/>
        <v>OK</v>
      </c>
      <c r="M150" s="6" t="str">
        <f>IF('Product Review'!U155="","MISSING","FOUND")</f>
        <v>FOUND</v>
      </c>
      <c r="N150" s="6" t="s">
        <v>328</v>
      </c>
    </row>
    <row r="151" spans="1:14" ht="15">
      <c r="A151" s="6" t="s">
        <v>411</v>
      </c>
      <c r="B151" s="9" t="str">
        <f>"983741083696"</f>
        <v>983741083696</v>
      </c>
      <c r="C151" s="6" t="s">
        <v>412</v>
      </c>
      <c r="D151" s="6" t="s">
        <v>39</v>
      </c>
      <c r="E151" s="6" t="s">
        <v>40</v>
      </c>
      <c r="F151" s="6" t="s">
        <v>41</v>
      </c>
      <c r="G151" s="8">
        <v>0</v>
      </c>
      <c r="H151" s="7">
        <v>5</v>
      </c>
      <c r="I151" s="8">
        <v>20</v>
      </c>
      <c r="J151" s="7">
        <v>20</v>
      </c>
      <c r="K151" s="6" t="str">
        <f t="shared" si="8"/>
        <v>REVIEW</v>
      </c>
      <c r="L151" s="6" t="str">
        <f t="shared" si="9"/>
        <v>OK</v>
      </c>
      <c r="M151" s="6" t="str">
        <f>IF('Product Review'!U156="","MISSING","FOUND")</f>
        <v>FOUND</v>
      </c>
      <c r="N151" s="6" t="s">
        <v>223</v>
      </c>
    </row>
    <row r="152" spans="1:14" ht="29.25">
      <c r="A152" s="6" t="s">
        <v>413</v>
      </c>
      <c r="B152" s="9" t="str">
        <f>"221824527775"</f>
        <v>221824527775</v>
      </c>
      <c r="C152" s="6" t="s">
        <v>414</v>
      </c>
      <c r="D152" s="6" t="s">
        <v>39</v>
      </c>
      <c r="E152" s="6" t="s">
        <v>40</v>
      </c>
      <c r="F152" s="6" t="s">
        <v>41</v>
      </c>
      <c r="G152" s="8">
        <v>0</v>
      </c>
      <c r="H152" s="7">
        <v>3.5</v>
      </c>
      <c r="I152" s="8">
        <v>15</v>
      </c>
      <c r="J152" s="7">
        <v>15</v>
      </c>
      <c r="K152" s="6" t="str">
        <f t="shared" si="8"/>
        <v>REVIEW</v>
      </c>
      <c r="L152" s="6" t="str">
        <f t="shared" si="9"/>
        <v>OK</v>
      </c>
      <c r="M152" s="6" t="str">
        <f>IF('Product Review'!U157="","MISSING","FOUND")</f>
        <v>FOUND</v>
      </c>
      <c r="N152" s="6" t="s">
        <v>328</v>
      </c>
    </row>
    <row r="153" spans="1:14" ht="29.25">
      <c r="A153" s="6" t="s">
        <v>415</v>
      </c>
      <c r="B153" s="9" t="str">
        <f>"213208711412"</f>
        <v>213208711412</v>
      </c>
      <c r="C153" s="6" t="s">
        <v>416</v>
      </c>
      <c r="D153" s="6" t="s">
        <v>39</v>
      </c>
      <c r="E153" s="6" t="s">
        <v>40</v>
      </c>
      <c r="F153" s="6" t="s">
        <v>375</v>
      </c>
      <c r="G153" s="8">
        <v>0</v>
      </c>
      <c r="H153" s="7">
        <v>3.5</v>
      </c>
      <c r="I153" s="8">
        <v>15</v>
      </c>
      <c r="J153" s="7">
        <v>15</v>
      </c>
      <c r="K153" s="6" t="str">
        <f t="shared" si="8"/>
        <v>REVIEW</v>
      </c>
      <c r="L153" s="6" t="str">
        <f t="shared" si="9"/>
        <v>OK</v>
      </c>
      <c r="M153" s="6" t="str">
        <f>IF('Product Review'!U158="","MISSING","FOUND")</f>
        <v>FOUND</v>
      </c>
      <c r="N153" s="6" t="s">
        <v>417</v>
      </c>
    </row>
    <row r="154" spans="1:14" s="23" customFormat="1" ht="29.25">
      <c r="A154" s="19" t="s">
        <v>418</v>
      </c>
      <c r="B154" s="20" t="str">
        <f>"297535793396"</f>
        <v>297535793396</v>
      </c>
      <c r="C154" s="19" t="s">
        <v>419</v>
      </c>
      <c r="D154" s="19" t="s">
        <v>39</v>
      </c>
      <c r="E154" s="19" t="s">
        <v>40</v>
      </c>
      <c r="F154" s="19" t="s">
        <v>41</v>
      </c>
      <c r="G154" s="21">
        <v>0</v>
      </c>
      <c r="H154" s="22">
        <v>0</v>
      </c>
      <c r="I154" s="21">
        <v>20</v>
      </c>
      <c r="J154" s="22">
        <v>20</v>
      </c>
      <c r="K154" s="19" t="str">
        <f t="shared" si="8"/>
        <v>MISSING</v>
      </c>
      <c r="L154" s="19" t="str">
        <f t="shared" si="9"/>
        <v>OK</v>
      </c>
      <c r="M154" s="19" t="str">
        <f>IF('Product Review'!U159="","MISSING","FOUND")</f>
        <v>FOUND</v>
      </c>
      <c r="N154" s="19" t="s">
        <v>325</v>
      </c>
    </row>
    <row r="155" spans="1:14" ht="29.25">
      <c r="A155" s="6" t="s">
        <v>420</v>
      </c>
      <c r="B155" s="9" t="str">
        <f>"619659115913"</f>
        <v>619659115913</v>
      </c>
      <c r="C155" s="6" t="s">
        <v>421</v>
      </c>
      <c r="D155" s="6" t="s">
        <v>39</v>
      </c>
      <c r="E155" s="6" t="s">
        <v>54</v>
      </c>
      <c r="F155" s="6" t="s">
        <v>74</v>
      </c>
      <c r="G155" s="8">
        <v>0</v>
      </c>
      <c r="H155" s="7">
        <v>35</v>
      </c>
      <c r="I155" s="8">
        <v>39</v>
      </c>
      <c r="J155" s="7">
        <v>39</v>
      </c>
      <c r="K155" s="6" t="str">
        <f t="shared" si="8"/>
        <v>REVIEW</v>
      </c>
      <c r="L155" s="6" t="str">
        <f t="shared" si="9"/>
        <v>OK</v>
      </c>
      <c r="M155" s="6" t="str">
        <f>IF('Product Review'!U160="","MISSING","FOUND")</f>
        <v>FOUND</v>
      </c>
      <c r="N155" s="6" t="s">
        <v>417</v>
      </c>
    </row>
    <row r="156" spans="1:14" ht="29.25">
      <c r="A156" s="6" t="s">
        <v>422</v>
      </c>
      <c r="B156" s="9" t="str">
        <f>"619659115906"</f>
        <v>619659115906</v>
      </c>
      <c r="C156" s="6" t="s">
        <v>423</v>
      </c>
      <c r="D156" s="6" t="s">
        <v>39</v>
      </c>
      <c r="E156" s="6" t="s">
        <v>54</v>
      </c>
      <c r="F156" s="6" t="s">
        <v>74</v>
      </c>
      <c r="G156" s="8">
        <v>0</v>
      </c>
      <c r="H156" s="7">
        <v>25</v>
      </c>
      <c r="I156" s="8">
        <v>28</v>
      </c>
      <c r="J156" s="7">
        <v>28</v>
      </c>
      <c r="K156" s="6" t="str">
        <f t="shared" si="8"/>
        <v>REVIEW</v>
      </c>
      <c r="L156" s="6" t="str">
        <f t="shared" si="9"/>
        <v>OK</v>
      </c>
      <c r="M156" s="6" t="str">
        <f>IF('Product Review'!U161="","MISSING","FOUND")</f>
        <v>FOUND</v>
      </c>
      <c r="N156" s="6" t="s">
        <v>417</v>
      </c>
    </row>
    <row r="157" spans="1:14" ht="29.25">
      <c r="A157" s="6" t="s">
        <v>424</v>
      </c>
      <c r="B157" s="9" t="str">
        <f>"619659102166"</f>
        <v>619659102166</v>
      </c>
      <c r="C157" s="6" t="s">
        <v>425</v>
      </c>
      <c r="D157" s="6" t="s">
        <v>39</v>
      </c>
      <c r="E157" s="6" t="s">
        <v>54</v>
      </c>
      <c r="F157" s="6" t="s">
        <v>74</v>
      </c>
      <c r="G157" s="8">
        <v>0</v>
      </c>
      <c r="H157" s="7">
        <v>15</v>
      </c>
      <c r="I157" s="8">
        <v>19</v>
      </c>
      <c r="J157" s="7">
        <v>19</v>
      </c>
      <c r="K157" s="6" t="str">
        <f t="shared" si="8"/>
        <v>REVIEW</v>
      </c>
      <c r="L157" s="6" t="str">
        <f t="shared" si="9"/>
        <v>OK</v>
      </c>
      <c r="M157" s="6" t="str">
        <f>IF('Product Review'!U162="","MISSING","FOUND")</f>
        <v>FOUND</v>
      </c>
      <c r="N157" s="6" t="s">
        <v>331</v>
      </c>
    </row>
    <row r="158" spans="1:14" ht="15">
      <c r="A158" s="6" t="s">
        <v>426</v>
      </c>
      <c r="B158" s="9" t="str">
        <f>"658817"</f>
        <v>658817</v>
      </c>
      <c r="C158" s="6" t="s">
        <v>427</v>
      </c>
      <c r="D158" s="6" t="s">
        <v>39</v>
      </c>
      <c r="E158" s="6" t="s">
        <v>54</v>
      </c>
      <c r="F158" s="6" t="s">
        <v>74</v>
      </c>
      <c r="G158" s="8">
        <v>0</v>
      </c>
      <c r="H158" s="7">
        <v>12</v>
      </c>
      <c r="I158" s="8">
        <v>15</v>
      </c>
      <c r="J158" s="7">
        <v>15</v>
      </c>
      <c r="K158" s="6" t="str">
        <f t="shared" si="8"/>
        <v>REVIEW</v>
      </c>
      <c r="L158" s="6" t="str">
        <f t="shared" si="9"/>
        <v>OK</v>
      </c>
      <c r="M158" s="6" t="str">
        <f>IF('Product Review'!U163="","MISSING","FOUND")</f>
        <v>FOUND</v>
      </c>
      <c r="N158" s="6" t="s">
        <v>223</v>
      </c>
    </row>
    <row r="159" spans="1:14" ht="15">
      <c r="A159" s="6" t="s">
        <v>428</v>
      </c>
      <c r="B159" s="9" t="str">
        <f>"658716"</f>
        <v>658716</v>
      </c>
      <c r="C159" s="6" t="s">
        <v>429</v>
      </c>
      <c r="D159" s="6" t="s">
        <v>39</v>
      </c>
      <c r="E159" s="6" t="s">
        <v>54</v>
      </c>
      <c r="F159" s="6" t="s">
        <v>74</v>
      </c>
      <c r="G159" s="8">
        <v>39</v>
      </c>
      <c r="H159" s="7">
        <v>39</v>
      </c>
      <c r="I159" s="8">
        <v>49</v>
      </c>
      <c r="J159" s="7">
        <v>49</v>
      </c>
      <c r="K159" s="6" t="str">
        <f t="shared" si="8"/>
        <v>REVIEW</v>
      </c>
      <c r="L159" s="6" t="str">
        <f t="shared" si="9"/>
        <v>OK</v>
      </c>
      <c r="M159" s="6" t="str">
        <f>IF('Product Review'!U164="","MISSING","FOUND")</f>
        <v>FOUND</v>
      </c>
      <c r="N159" s="6" t="s">
        <v>85</v>
      </c>
    </row>
    <row r="160" spans="1:14" ht="15">
      <c r="A160" s="6" t="s">
        <v>430</v>
      </c>
      <c r="B160" s="9" t="str">
        <f>"658615"</f>
        <v>658615</v>
      </c>
      <c r="C160" s="6" t="s">
        <v>431</v>
      </c>
      <c r="D160" s="6" t="s">
        <v>39</v>
      </c>
      <c r="E160" s="6" t="s">
        <v>54</v>
      </c>
      <c r="F160" s="6" t="s">
        <v>74</v>
      </c>
      <c r="G160" s="8">
        <v>28</v>
      </c>
      <c r="H160" s="7">
        <v>28</v>
      </c>
      <c r="I160" s="8">
        <v>38</v>
      </c>
      <c r="J160" s="7">
        <v>38</v>
      </c>
      <c r="K160" s="6" t="str">
        <f t="shared" si="8"/>
        <v>REVIEW</v>
      </c>
      <c r="L160" s="6" t="str">
        <f t="shared" si="9"/>
        <v>OK</v>
      </c>
      <c r="M160" s="6" t="str">
        <f>IF('Product Review'!U165="","MISSING","FOUND")</f>
        <v>FOUND</v>
      </c>
      <c r="N160" s="6" t="s">
        <v>75</v>
      </c>
    </row>
    <row r="161" spans="1:14" ht="15">
      <c r="A161" s="6" t="s">
        <v>432</v>
      </c>
      <c r="B161" s="9" t="str">
        <f>"658514"</f>
        <v>658514</v>
      </c>
      <c r="C161" s="6" t="s">
        <v>433</v>
      </c>
      <c r="D161" s="6" t="s">
        <v>39</v>
      </c>
      <c r="E161" s="6" t="s">
        <v>54</v>
      </c>
      <c r="F161" s="6" t="s">
        <v>74</v>
      </c>
      <c r="G161" s="8">
        <v>0</v>
      </c>
      <c r="H161" s="7">
        <v>15</v>
      </c>
      <c r="I161" s="8">
        <v>19</v>
      </c>
      <c r="J161" s="7">
        <v>19</v>
      </c>
      <c r="K161" s="6" t="str">
        <f t="shared" si="8"/>
        <v>REVIEW</v>
      </c>
      <c r="L161" s="6" t="str">
        <f t="shared" si="9"/>
        <v>OK</v>
      </c>
      <c r="M161" s="6" t="str">
        <f>IF('Product Review'!U166="","MISSING","FOUND")</f>
        <v>FOUND</v>
      </c>
      <c r="N161" s="6" t="s">
        <v>223</v>
      </c>
    </row>
    <row r="162" spans="1:14" ht="15">
      <c r="A162" s="6" t="s">
        <v>434</v>
      </c>
      <c r="B162" s="9" t="str">
        <f>"658413"</f>
        <v>658413</v>
      </c>
      <c r="C162" s="6" t="s">
        <v>435</v>
      </c>
      <c r="D162" s="6" t="s">
        <v>39</v>
      </c>
      <c r="E162" s="6" t="s">
        <v>54</v>
      </c>
      <c r="F162" s="6" t="s">
        <v>74</v>
      </c>
      <c r="G162" s="8">
        <v>0</v>
      </c>
      <c r="H162" s="7">
        <v>12</v>
      </c>
      <c r="I162" s="8">
        <v>15</v>
      </c>
      <c r="J162" s="7">
        <v>15</v>
      </c>
      <c r="K162" s="6" t="str">
        <f t="shared" ref="K162:K179" si="10">IF(H162&lt;=0,"MISSING","REVIEW")</f>
        <v>REVIEW</v>
      </c>
      <c r="L162" s="6" t="str">
        <f t="shared" ref="L162:L179" si="11">IF(OR(J162&lt;=0,J162&gt;100000),"CHECK","OK")</f>
        <v>OK</v>
      </c>
      <c r="M162" s="6" t="str">
        <f>IF('Product Review'!U167="","MISSING","FOUND")</f>
        <v>FOUND</v>
      </c>
      <c r="N162" s="6" t="s">
        <v>223</v>
      </c>
    </row>
    <row r="163" spans="1:14" ht="15">
      <c r="A163" s="6" t="s">
        <v>436</v>
      </c>
      <c r="B163" s="9" t="str">
        <f>"TM8-COMP-6497"</f>
        <v>TM8-COMP-6497</v>
      </c>
      <c r="C163" s="6" t="s">
        <v>437</v>
      </c>
      <c r="D163" s="6" t="s">
        <v>138</v>
      </c>
      <c r="E163" s="6" t="s">
        <v>54</v>
      </c>
      <c r="F163" s="6" t="s">
        <v>60</v>
      </c>
      <c r="G163" s="8">
        <v>7.76</v>
      </c>
      <c r="H163" s="7">
        <v>7.76</v>
      </c>
      <c r="I163" s="8">
        <v>24.99</v>
      </c>
      <c r="J163" s="7">
        <v>24.99</v>
      </c>
      <c r="K163" s="6" t="str">
        <f t="shared" si="10"/>
        <v>REVIEW</v>
      </c>
      <c r="L163" s="6" t="str">
        <f t="shared" si="11"/>
        <v>OK</v>
      </c>
      <c r="M163" s="6" t="str">
        <f>IF('Product Review'!U168="","MISSING","FOUND")</f>
        <v>FOUND</v>
      </c>
      <c r="N163" s="6" t="s">
        <v>438</v>
      </c>
    </row>
    <row r="164" spans="1:14" ht="15">
      <c r="A164" s="6" t="s">
        <v>439</v>
      </c>
      <c r="B164" s="9" t="str">
        <f>"6970344732575"</f>
        <v>6970344732575</v>
      </c>
      <c r="C164" s="6" t="s">
        <v>440</v>
      </c>
      <c r="D164" s="6" t="s">
        <v>138</v>
      </c>
      <c r="E164" s="6" t="s">
        <v>54</v>
      </c>
      <c r="F164" s="6" t="s">
        <v>60</v>
      </c>
      <c r="G164" s="8">
        <v>13.2</v>
      </c>
      <c r="H164" s="7">
        <v>13.2</v>
      </c>
      <c r="I164" s="8">
        <v>19.989999999999998</v>
      </c>
      <c r="J164" s="7">
        <v>19.989999999999998</v>
      </c>
      <c r="K164" s="6" t="str">
        <f t="shared" si="10"/>
        <v>REVIEW</v>
      </c>
      <c r="L164" s="6" t="str">
        <f t="shared" si="11"/>
        <v>OK</v>
      </c>
      <c r="M164" s="6" t="str">
        <f>IF('Product Review'!U169="","MISSING","FOUND")</f>
        <v>FOUND</v>
      </c>
      <c r="N164" s="6" t="s">
        <v>441</v>
      </c>
    </row>
    <row r="165" spans="1:14" ht="15">
      <c r="A165" s="6" t="s">
        <v>442</v>
      </c>
      <c r="B165" s="9" t="str">
        <f>"6970344731691"</f>
        <v>6970344731691</v>
      </c>
      <c r="C165" s="6" t="s">
        <v>443</v>
      </c>
      <c r="D165" s="6" t="s">
        <v>39</v>
      </c>
      <c r="E165" s="6" t="s">
        <v>54</v>
      </c>
      <c r="F165" s="6" t="s">
        <v>60</v>
      </c>
      <c r="G165" s="8">
        <v>19.84</v>
      </c>
      <c r="H165" s="7">
        <v>19.84</v>
      </c>
      <c r="I165" s="8">
        <v>29.99</v>
      </c>
      <c r="J165" s="7">
        <v>29.99</v>
      </c>
      <c r="K165" s="6" t="str">
        <f t="shared" si="10"/>
        <v>REVIEW</v>
      </c>
      <c r="L165" s="6" t="str">
        <f t="shared" si="11"/>
        <v>OK</v>
      </c>
      <c r="M165" s="6" t="str">
        <f>IF('Product Review'!U170="","MISSING","FOUND")</f>
        <v>FOUND</v>
      </c>
      <c r="N165" s="6"/>
    </row>
    <row r="166" spans="1:14" ht="15">
      <c r="A166" s="6" t="s">
        <v>444</v>
      </c>
      <c r="B166" s="9" t="str">
        <f>"6970344732520"</f>
        <v>6970344732520</v>
      </c>
      <c r="C166" s="6" t="s">
        <v>445</v>
      </c>
      <c r="D166" s="6" t="s">
        <v>138</v>
      </c>
      <c r="E166" s="6" t="s">
        <v>54</v>
      </c>
      <c r="F166" s="6" t="s">
        <v>60</v>
      </c>
      <c r="G166" s="8">
        <v>6.12</v>
      </c>
      <c r="H166" s="7">
        <v>6.12</v>
      </c>
      <c r="I166" s="8">
        <v>15.99</v>
      </c>
      <c r="J166" s="7">
        <v>15.99</v>
      </c>
      <c r="K166" s="6" t="str">
        <f t="shared" si="10"/>
        <v>REVIEW</v>
      </c>
      <c r="L166" s="6" t="str">
        <f t="shared" si="11"/>
        <v>OK</v>
      </c>
      <c r="M166" s="6" t="str">
        <f>IF('Product Review'!U171="","MISSING","FOUND")</f>
        <v>FOUND</v>
      </c>
      <c r="N166" s="6" t="s">
        <v>238</v>
      </c>
    </row>
    <row r="167" spans="1:14" ht="15">
      <c r="A167" s="6" t="s">
        <v>446</v>
      </c>
      <c r="B167" s="9" t="str">
        <f>"6970344732209"</f>
        <v>6970344732209</v>
      </c>
      <c r="C167" s="6" t="s">
        <v>447</v>
      </c>
      <c r="D167" s="6" t="s">
        <v>138</v>
      </c>
      <c r="E167" s="6" t="s">
        <v>54</v>
      </c>
      <c r="F167" s="6" t="s">
        <v>60</v>
      </c>
      <c r="G167" s="8">
        <v>18.16</v>
      </c>
      <c r="H167" s="7">
        <v>18.16</v>
      </c>
      <c r="I167" s="8">
        <v>54.99</v>
      </c>
      <c r="J167" s="7">
        <v>54.99</v>
      </c>
      <c r="K167" s="6" t="str">
        <f t="shared" si="10"/>
        <v>REVIEW</v>
      </c>
      <c r="L167" s="6" t="str">
        <f t="shared" si="11"/>
        <v>OK</v>
      </c>
      <c r="M167" s="6" t="str">
        <f>IF('Product Review'!U172="","MISSING","FOUND")</f>
        <v>FOUND</v>
      </c>
      <c r="N167" s="6" t="s">
        <v>213</v>
      </c>
    </row>
    <row r="168" spans="1:14" ht="15">
      <c r="A168" s="6" t="s">
        <v>448</v>
      </c>
      <c r="B168" s="9" t="str">
        <f>"6970344731974"</f>
        <v>6970344731974</v>
      </c>
      <c r="C168" s="6" t="s">
        <v>449</v>
      </c>
      <c r="D168" s="6" t="s">
        <v>138</v>
      </c>
      <c r="E168" s="6" t="s">
        <v>54</v>
      </c>
      <c r="F168" s="6" t="s">
        <v>60</v>
      </c>
      <c r="G168" s="8">
        <v>24.4</v>
      </c>
      <c r="H168" s="7">
        <v>24.4</v>
      </c>
      <c r="I168" s="8">
        <v>59.99</v>
      </c>
      <c r="J168" s="7">
        <v>59.99</v>
      </c>
      <c r="K168" s="6" t="str">
        <f t="shared" si="10"/>
        <v>REVIEW</v>
      </c>
      <c r="L168" s="6" t="str">
        <f t="shared" si="11"/>
        <v>OK</v>
      </c>
      <c r="M168" s="6" t="str">
        <f>IF('Product Review'!U173="","MISSING","FOUND")</f>
        <v>FOUND</v>
      </c>
      <c r="N168" s="6" t="s">
        <v>450</v>
      </c>
    </row>
    <row r="169" spans="1:14" ht="15">
      <c r="A169" s="6" t="s">
        <v>451</v>
      </c>
      <c r="B169" s="9" t="str">
        <f>"6970344731295"</f>
        <v>6970344731295</v>
      </c>
      <c r="C169" s="6" t="s">
        <v>452</v>
      </c>
      <c r="D169" s="6" t="s">
        <v>138</v>
      </c>
      <c r="E169" s="6" t="s">
        <v>54</v>
      </c>
      <c r="F169" s="6" t="s">
        <v>60</v>
      </c>
      <c r="G169" s="8">
        <v>95.36</v>
      </c>
      <c r="H169" s="7">
        <v>95.36</v>
      </c>
      <c r="I169" s="8">
        <v>219</v>
      </c>
      <c r="J169" s="7">
        <v>219</v>
      </c>
      <c r="K169" s="6" t="str">
        <f t="shared" si="10"/>
        <v>REVIEW</v>
      </c>
      <c r="L169" s="6" t="str">
        <f t="shared" si="11"/>
        <v>OK</v>
      </c>
      <c r="M169" s="6" t="str">
        <f>IF('Product Review'!U174="","MISSING","FOUND")</f>
        <v>FOUND</v>
      </c>
      <c r="N169" s="6" t="s">
        <v>56</v>
      </c>
    </row>
    <row r="170" spans="1:14" ht="15">
      <c r="A170" s="6" t="s">
        <v>453</v>
      </c>
      <c r="B170" s="9" t="str">
        <f>"6970344731561"</f>
        <v>6970344731561</v>
      </c>
      <c r="C170" s="6" t="s">
        <v>454</v>
      </c>
      <c r="D170" s="6" t="s">
        <v>138</v>
      </c>
      <c r="E170" s="6" t="s">
        <v>69</v>
      </c>
      <c r="F170" s="6" t="s">
        <v>93</v>
      </c>
      <c r="G170" s="8">
        <v>32.94</v>
      </c>
      <c r="H170" s="7">
        <v>32.94</v>
      </c>
      <c r="I170" s="8">
        <v>79.989999999999995</v>
      </c>
      <c r="J170" s="7">
        <v>79.989999999999995</v>
      </c>
      <c r="K170" s="6" t="str">
        <f t="shared" si="10"/>
        <v>REVIEW</v>
      </c>
      <c r="L170" s="6" t="str">
        <f t="shared" si="11"/>
        <v>OK</v>
      </c>
      <c r="M170" s="6" t="str">
        <f>IF('Product Review'!U175="","MISSING","FOUND")</f>
        <v>FOUND</v>
      </c>
      <c r="N170" s="6" t="s">
        <v>438</v>
      </c>
    </row>
    <row r="171" spans="1:14" ht="15">
      <c r="A171" s="6" t="s">
        <v>455</v>
      </c>
      <c r="B171" s="9" t="str">
        <f>"6970344731363"</f>
        <v>6970344731363</v>
      </c>
      <c r="C171" s="6" t="s">
        <v>456</v>
      </c>
      <c r="D171" s="6" t="s">
        <v>138</v>
      </c>
      <c r="E171" s="6" t="s">
        <v>69</v>
      </c>
      <c r="F171" s="6" t="s">
        <v>93</v>
      </c>
      <c r="G171" s="8">
        <v>19.8</v>
      </c>
      <c r="H171" s="7">
        <v>19.8</v>
      </c>
      <c r="I171" s="8">
        <v>49.99</v>
      </c>
      <c r="J171" s="7">
        <v>49.99</v>
      </c>
      <c r="K171" s="6" t="str">
        <f t="shared" si="10"/>
        <v>REVIEW</v>
      </c>
      <c r="L171" s="6" t="str">
        <f t="shared" si="11"/>
        <v>OK</v>
      </c>
      <c r="M171" s="6" t="str">
        <f>IF('Product Review'!U176="","MISSING","FOUND")</f>
        <v>FOUND</v>
      </c>
      <c r="N171" s="6" t="s">
        <v>105</v>
      </c>
    </row>
    <row r="172" spans="1:14" ht="15">
      <c r="A172" s="6" t="s">
        <v>457</v>
      </c>
      <c r="B172" s="9" t="str">
        <f>"328691755727"</f>
        <v>328691755727</v>
      </c>
      <c r="C172" s="6" t="s">
        <v>458</v>
      </c>
      <c r="D172" s="6" t="s">
        <v>39</v>
      </c>
      <c r="E172" s="6" t="s">
        <v>54</v>
      </c>
      <c r="F172" s="6" t="s">
        <v>459</v>
      </c>
      <c r="G172" s="8">
        <v>5</v>
      </c>
      <c r="H172" s="7">
        <v>5</v>
      </c>
      <c r="I172" s="8">
        <v>30</v>
      </c>
      <c r="J172" s="7">
        <v>30</v>
      </c>
      <c r="K172" s="6" t="str">
        <f t="shared" si="10"/>
        <v>REVIEW</v>
      </c>
      <c r="L172" s="6" t="str">
        <f t="shared" si="11"/>
        <v>OK</v>
      </c>
      <c r="M172" s="6" t="str">
        <f>IF('Product Review'!U177="","MISSING","FOUND")</f>
        <v>FOUND</v>
      </c>
      <c r="N172" s="6" t="s">
        <v>460</v>
      </c>
    </row>
    <row r="173" spans="1:14" ht="15">
      <c r="A173" s="6" t="s">
        <v>461</v>
      </c>
      <c r="B173" s="9" t="str">
        <f>"550472159749"</f>
        <v>550472159749</v>
      </c>
      <c r="C173" s="6" t="s">
        <v>462</v>
      </c>
      <c r="D173" s="6" t="s">
        <v>39</v>
      </c>
      <c r="E173" s="6" t="s">
        <v>54</v>
      </c>
      <c r="F173" s="6" t="s">
        <v>459</v>
      </c>
      <c r="G173" s="8">
        <v>5</v>
      </c>
      <c r="H173" s="7">
        <v>5</v>
      </c>
      <c r="I173" s="8">
        <v>30</v>
      </c>
      <c r="J173" s="7">
        <v>30</v>
      </c>
      <c r="K173" s="6" t="str">
        <f t="shared" si="10"/>
        <v>REVIEW</v>
      </c>
      <c r="L173" s="6" t="str">
        <f t="shared" si="11"/>
        <v>OK</v>
      </c>
      <c r="M173" s="6" t="str">
        <f>IF('Product Review'!U178="","MISSING","FOUND")</f>
        <v>FOUND</v>
      </c>
      <c r="N173" s="6" t="s">
        <v>460</v>
      </c>
    </row>
    <row r="174" spans="1:14" ht="15">
      <c r="A174" s="6" t="s">
        <v>463</v>
      </c>
      <c r="B174" s="9" t="str">
        <f>"914283473324"</f>
        <v>914283473324</v>
      </c>
      <c r="C174" s="6" t="s">
        <v>464</v>
      </c>
      <c r="D174" s="6" t="s">
        <v>39</v>
      </c>
      <c r="E174" s="6" t="s">
        <v>54</v>
      </c>
      <c r="F174" s="6" t="s">
        <v>459</v>
      </c>
      <c r="G174" s="8">
        <v>5</v>
      </c>
      <c r="H174" s="7">
        <v>5</v>
      </c>
      <c r="I174" s="8">
        <v>30</v>
      </c>
      <c r="J174" s="7">
        <v>30</v>
      </c>
      <c r="K174" s="6" t="str">
        <f t="shared" si="10"/>
        <v>REVIEW</v>
      </c>
      <c r="L174" s="6" t="str">
        <f t="shared" si="11"/>
        <v>OK</v>
      </c>
      <c r="M174" s="6" t="str">
        <f>IF('Product Review'!U179="","MISSING","FOUND")</f>
        <v>FOUND</v>
      </c>
      <c r="N174" s="6" t="s">
        <v>460</v>
      </c>
    </row>
    <row r="175" spans="1:14" ht="15">
      <c r="A175" s="6" t="s">
        <v>465</v>
      </c>
      <c r="B175" s="9" t="str">
        <f>"173359217846"</f>
        <v>173359217846</v>
      </c>
      <c r="C175" s="6" t="s">
        <v>466</v>
      </c>
      <c r="D175" s="6" t="s">
        <v>39</v>
      </c>
      <c r="E175" s="6" t="s">
        <v>54</v>
      </c>
      <c r="F175" s="6" t="s">
        <v>459</v>
      </c>
      <c r="G175" s="8">
        <v>5</v>
      </c>
      <c r="H175" s="7">
        <v>5</v>
      </c>
      <c r="I175" s="8">
        <v>30</v>
      </c>
      <c r="J175" s="7">
        <v>30</v>
      </c>
      <c r="K175" s="6" t="str">
        <f t="shared" si="10"/>
        <v>REVIEW</v>
      </c>
      <c r="L175" s="6" t="str">
        <f t="shared" si="11"/>
        <v>OK</v>
      </c>
      <c r="M175" s="6" t="str">
        <f>IF('Product Review'!U180="","MISSING","FOUND")</f>
        <v>FOUND</v>
      </c>
      <c r="N175" s="6" t="s">
        <v>460</v>
      </c>
    </row>
    <row r="176" spans="1:14" ht="29.25">
      <c r="A176" s="6" t="s">
        <v>467</v>
      </c>
      <c r="B176" s="9" t="str">
        <f>"320984572653"</f>
        <v>320984572653</v>
      </c>
      <c r="C176" s="6" t="s">
        <v>468</v>
      </c>
      <c r="D176" s="6" t="s">
        <v>39</v>
      </c>
      <c r="E176" s="6" t="s">
        <v>54</v>
      </c>
      <c r="F176" s="6" t="s">
        <v>459</v>
      </c>
      <c r="G176" s="8">
        <v>5</v>
      </c>
      <c r="H176" s="7">
        <v>5</v>
      </c>
      <c r="I176" s="8">
        <v>30</v>
      </c>
      <c r="J176" s="7">
        <v>30</v>
      </c>
      <c r="K176" s="6" t="str">
        <f t="shared" si="10"/>
        <v>REVIEW</v>
      </c>
      <c r="L176" s="6" t="str">
        <f t="shared" si="11"/>
        <v>OK</v>
      </c>
      <c r="M176" s="6" t="str">
        <f>IF('Product Review'!U181="","MISSING","FOUND")</f>
        <v>FOUND</v>
      </c>
      <c r="N176" s="6" t="s">
        <v>469</v>
      </c>
    </row>
    <row r="177" spans="1:14" ht="29.25">
      <c r="A177" s="6" t="s">
        <v>470</v>
      </c>
      <c r="B177" s="9" t="str">
        <f>"022541446321"</f>
        <v>022541446321</v>
      </c>
      <c r="C177" s="6" t="s">
        <v>471</v>
      </c>
      <c r="D177" s="6" t="s">
        <v>39</v>
      </c>
      <c r="E177" s="6" t="s">
        <v>54</v>
      </c>
      <c r="F177" s="6" t="s">
        <v>459</v>
      </c>
      <c r="G177" s="8">
        <v>5</v>
      </c>
      <c r="H177" s="7">
        <v>5</v>
      </c>
      <c r="I177" s="8">
        <v>30</v>
      </c>
      <c r="J177" s="7">
        <v>30</v>
      </c>
      <c r="K177" s="6" t="str">
        <f t="shared" si="10"/>
        <v>REVIEW</v>
      </c>
      <c r="L177" s="6" t="str">
        <f t="shared" si="11"/>
        <v>OK</v>
      </c>
      <c r="M177" s="6" t="str">
        <f>IF('Product Review'!U182="","MISSING","FOUND")</f>
        <v>FOUND</v>
      </c>
      <c r="N177" s="6" t="s">
        <v>472</v>
      </c>
    </row>
    <row r="178" spans="1:14" ht="43.5">
      <c r="A178" s="6" t="s">
        <v>473</v>
      </c>
      <c r="B178" s="9" t="str">
        <f>"504486006018"</f>
        <v>504486006018</v>
      </c>
      <c r="C178" s="6" t="s">
        <v>474</v>
      </c>
      <c r="D178" s="6" t="s">
        <v>39</v>
      </c>
      <c r="E178" s="6" t="s">
        <v>54</v>
      </c>
      <c r="F178" s="6" t="s">
        <v>459</v>
      </c>
      <c r="G178" s="8">
        <v>0</v>
      </c>
      <c r="H178" s="7">
        <v>5</v>
      </c>
      <c r="I178" s="8">
        <v>30</v>
      </c>
      <c r="J178" s="7">
        <v>30</v>
      </c>
      <c r="K178" s="6" t="str">
        <f t="shared" si="10"/>
        <v>REVIEW</v>
      </c>
      <c r="L178" s="6" t="str">
        <f t="shared" si="11"/>
        <v>OK</v>
      </c>
      <c r="M178" s="6" t="str">
        <f>IF('Product Review'!U183="","MISSING","FOUND")</f>
        <v>FOUND</v>
      </c>
      <c r="N178" s="6" t="s">
        <v>475</v>
      </c>
    </row>
    <row r="179" spans="1:14" ht="29.25">
      <c r="A179" s="6" t="s">
        <v>476</v>
      </c>
      <c r="B179" s="9" t="str">
        <f>"651918577018"</f>
        <v>651918577018</v>
      </c>
      <c r="C179" s="6" t="s">
        <v>477</v>
      </c>
      <c r="D179" s="6" t="s">
        <v>39</v>
      </c>
      <c r="E179" s="6" t="s">
        <v>54</v>
      </c>
      <c r="F179" s="6" t="s">
        <v>459</v>
      </c>
      <c r="G179" s="8">
        <v>5</v>
      </c>
      <c r="H179" s="7">
        <v>5</v>
      </c>
      <c r="I179" s="8">
        <v>30</v>
      </c>
      <c r="J179" s="7">
        <v>30</v>
      </c>
      <c r="K179" s="6" t="str">
        <f t="shared" si="10"/>
        <v>REVIEW</v>
      </c>
      <c r="L179" s="6" t="str">
        <f t="shared" si="11"/>
        <v>OK</v>
      </c>
      <c r="M179" s="6" t="str">
        <f>IF('Product Review'!U184="","MISSING","FOUND")</f>
        <v>FOUND</v>
      </c>
      <c r="N179" s="6" t="s">
        <v>478</v>
      </c>
    </row>
  </sheetData>
  <phoneticPr fontId="9" type="noConversion"/>
  <conditionalFormatting sqref="K2:K179">
    <cfRule type="containsText" dxfId="8" priority="1" operator="containsText" text="MISSING"/>
  </conditionalFormatting>
  <conditionalFormatting sqref="L2:L179">
    <cfRule type="containsText" dxfId="7" priority="2" operator="containsText" text="CHECK"/>
  </conditionalFormatting>
  <conditionalFormatting sqref="M2:M179">
    <cfRule type="containsText" dxfId="6" priority="3" operator="containsText" text="MISSING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84"/>
  <sheetViews>
    <sheetView showGridLines="0" workbookViewId="0"/>
  </sheetViews>
  <sheetFormatPr defaultRowHeight="14.25"/>
  <cols>
    <col min="1" max="4" width="18" customWidth="1"/>
    <col min="5" max="7" width="26" customWidth="1"/>
    <col min="8" max="9" width="38" customWidth="1"/>
    <col min="10" max="10" width="18" customWidth="1"/>
    <col min="11" max="13" width="24" customWidth="1"/>
    <col min="14" max="19" width="16" customWidth="1"/>
    <col min="20" max="20" width="20" customWidth="1"/>
    <col min="21" max="21" width="48" customWidth="1"/>
    <col min="22" max="25" width="18" customWidth="1"/>
    <col min="26" max="26" width="54" customWidth="1"/>
  </cols>
  <sheetData>
    <row r="1" spans="1:26" ht="45">
      <c r="A1" s="5" t="s">
        <v>23</v>
      </c>
      <c r="B1" s="5" t="s">
        <v>479</v>
      </c>
      <c r="C1" s="5" t="s">
        <v>480</v>
      </c>
      <c r="D1" s="5" t="s">
        <v>481</v>
      </c>
      <c r="E1" s="5" t="s">
        <v>482</v>
      </c>
      <c r="F1" s="5" t="s">
        <v>27</v>
      </c>
      <c r="G1" s="5" t="s">
        <v>28</v>
      </c>
      <c r="H1" s="5" t="s">
        <v>483</v>
      </c>
      <c r="I1" s="5" t="s">
        <v>25</v>
      </c>
      <c r="J1" s="5" t="s">
        <v>26</v>
      </c>
      <c r="K1" s="5" t="s">
        <v>484</v>
      </c>
      <c r="L1" s="5" t="s">
        <v>24</v>
      </c>
      <c r="M1" s="5" t="s">
        <v>485</v>
      </c>
      <c r="N1" s="5" t="s">
        <v>29</v>
      </c>
      <c r="O1" s="5" t="s">
        <v>486</v>
      </c>
      <c r="P1" s="5" t="s">
        <v>33</v>
      </c>
      <c r="Q1" s="5" t="s">
        <v>31</v>
      </c>
      <c r="R1" s="5" t="s">
        <v>487</v>
      </c>
      <c r="S1" s="5" t="s">
        <v>34</v>
      </c>
      <c r="T1" s="5" t="s">
        <v>488</v>
      </c>
      <c r="U1" s="5" t="s">
        <v>489</v>
      </c>
      <c r="V1" s="5" t="s">
        <v>35</v>
      </c>
      <c r="W1" s="5" t="s">
        <v>490</v>
      </c>
      <c r="X1" s="5" t="s">
        <v>491</v>
      </c>
      <c r="Y1" s="5" t="s">
        <v>492</v>
      </c>
      <c r="Z1" s="5" t="s">
        <v>493</v>
      </c>
    </row>
    <row r="2" spans="1:26" ht="29.25">
      <c r="A2" s="12" t="s">
        <v>37</v>
      </c>
      <c r="B2" s="6" t="s">
        <v>494</v>
      </c>
      <c r="C2" s="6"/>
      <c r="D2" s="6"/>
      <c r="E2" s="6" t="s">
        <v>495</v>
      </c>
      <c r="F2" s="6" t="s">
        <v>40</v>
      </c>
      <c r="G2" s="6" t="s">
        <v>41</v>
      </c>
      <c r="H2" s="6" t="s">
        <v>38</v>
      </c>
      <c r="I2" s="10" t="s">
        <v>38</v>
      </c>
      <c r="J2" s="10" t="s">
        <v>39</v>
      </c>
      <c r="K2" s="9" t="str">
        <f>"112700031780"</f>
        <v>112700031780</v>
      </c>
      <c r="L2" s="9" t="str">
        <f>"112700031780"</f>
        <v>112700031780</v>
      </c>
      <c r="M2" s="12" t="s">
        <v>496</v>
      </c>
      <c r="N2" s="8">
        <v>9</v>
      </c>
      <c r="O2" s="11">
        <f>IF(B2="KEEP EXISTING",N2,'Cost Review'!H2)</f>
        <v>9</v>
      </c>
      <c r="P2" s="8" t="str">
        <f t="shared" ref="P2:P33" si="0">IF(B2="KEEP EXISTING","Existing",IF(O2&lt;=0,"MISSING","REVIEW"))</f>
        <v>REVIEW</v>
      </c>
      <c r="Q2" s="8">
        <v>49.95</v>
      </c>
      <c r="R2" s="11">
        <f>IF(B2="KEEP EXISTING",Q2,'Cost Review'!J2)</f>
        <v>49.95</v>
      </c>
      <c r="S2" s="6" t="str">
        <f t="shared" ref="S2:S33" si="1">IF(B2="KEEP EXISTING","Existing",IF(OR(R2&lt;=0,R2&gt;100000),"CHECK","OK"))</f>
        <v>OK</v>
      </c>
      <c r="T2" s="9" t="str">
        <f>"112700031780"</f>
        <v>112700031780</v>
      </c>
      <c r="U2" s="10" t="s">
        <v>497</v>
      </c>
      <c r="V2" s="6" t="str">
        <f t="shared" ref="V2:V33" si="2">IF(B2="KEEP EXISTING","Existing",IF(U2="","MISSING","FOUND"))</f>
        <v>FOUND</v>
      </c>
      <c r="W2" s="9">
        <v>10</v>
      </c>
      <c r="X2" s="9">
        <v>0</v>
      </c>
      <c r="Y2" s="6" t="str">
        <f>IF(B2="KEEP EXISTING","Already in POS",IF(O2&lt;=0,"Blocked: cost",IF(OR(R2&lt;=0,R2&gt;100000),"Blocked: retail",IF(U2="","Blocked: image",IF(Summary!$B$3="APPROVED","READY","Pending approval")))))</f>
        <v>Pending approval</v>
      </c>
      <c r="Z2" s="6" t="s">
        <v>42</v>
      </c>
    </row>
    <row r="3" spans="1:26" ht="29.25">
      <c r="A3" s="12" t="s">
        <v>43</v>
      </c>
      <c r="B3" s="6" t="s">
        <v>494</v>
      </c>
      <c r="C3" s="6"/>
      <c r="D3" s="6"/>
      <c r="E3" s="6" t="s">
        <v>495</v>
      </c>
      <c r="F3" s="6" t="s">
        <v>40</v>
      </c>
      <c r="G3" s="6" t="s">
        <v>41</v>
      </c>
      <c r="H3" s="6" t="s">
        <v>44</v>
      </c>
      <c r="I3" s="10" t="s">
        <v>44</v>
      </c>
      <c r="J3" s="10" t="s">
        <v>39</v>
      </c>
      <c r="K3" s="9" t="str">
        <f>"112690031778"</f>
        <v>112690031778</v>
      </c>
      <c r="L3" s="9" t="str">
        <f>"112690031778"</f>
        <v>112690031778</v>
      </c>
      <c r="M3" s="12" t="s">
        <v>496</v>
      </c>
      <c r="N3" s="8">
        <v>4.5</v>
      </c>
      <c r="O3" s="11">
        <f>IF(B3="KEEP EXISTING",N3,'Cost Review'!H3)</f>
        <v>4.5</v>
      </c>
      <c r="P3" s="8" t="str">
        <f t="shared" si="0"/>
        <v>REVIEW</v>
      </c>
      <c r="Q3" s="8">
        <v>29.95</v>
      </c>
      <c r="R3" s="11">
        <f>IF(B3="KEEP EXISTING",Q3,'Cost Review'!J3)</f>
        <v>29.95</v>
      </c>
      <c r="S3" s="6" t="str">
        <f t="shared" si="1"/>
        <v>OK</v>
      </c>
      <c r="T3" s="9" t="str">
        <f>"112690031778"</f>
        <v>112690031778</v>
      </c>
      <c r="U3" s="10" t="s">
        <v>498</v>
      </c>
      <c r="V3" s="6" t="str">
        <f t="shared" si="2"/>
        <v>FOUND</v>
      </c>
      <c r="W3" s="9">
        <v>4</v>
      </c>
      <c r="X3" s="9">
        <v>0</v>
      </c>
      <c r="Y3" s="6" t="str">
        <f>IF(B3="KEEP EXISTING","Already in POS",IF(O3&lt;=0,"Blocked: cost",IF(OR(R3&lt;=0,R3&gt;100000),"Blocked: retail",IF(U3="","Blocked: image",IF(Summary!$B$3="APPROVED","READY","Pending approval")))))</f>
        <v>Pending approval</v>
      </c>
      <c r="Z3" s="6" t="s">
        <v>45</v>
      </c>
    </row>
    <row r="4" spans="1:26" ht="29.25">
      <c r="A4" s="12" t="s">
        <v>46</v>
      </c>
      <c r="B4" s="6" t="s">
        <v>494</v>
      </c>
      <c r="C4" s="6"/>
      <c r="D4" s="6"/>
      <c r="E4" s="6" t="s">
        <v>495</v>
      </c>
      <c r="F4" s="6" t="s">
        <v>40</v>
      </c>
      <c r="G4" s="6" t="s">
        <v>41</v>
      </c>
      <c r="H4" s="6" t="s">
        <v>47</v>
      </c>
      <c r="I4" s="10" t="s">
        <v>47</v>
      </c>
      <c r="J4" s="10" t="s">
        <v>39</v>
      </c>
      <c r="K4" s="9" t="str">
        <f>"112680031777"</f>
        <v>112680031777</v>
      </c>
      <c r="L4" s="9" t="str">
        <f>"112680031777"</f>
        <v>112680031777</v>
      </c>
      <c r="M4" s="12" t="s">
        <v>496</v>
      </c>
      <c r="N4" s="8">
        <v>5.5</v>
      </c>
      <c r="O4" s="11">
        <f>IF(B4="KEEP EXISTING",N4,'Cost Review'!H4)</f>
        <v>5.5</v>
      </c>
      <c r="P4" s="8" t="str">
        <f t="shared" si="0"/>
        <v>REVIEW</v>
      </c>
      <c r="Q4" s="8">
        <v>39.99</v>
      </c>
      <c r="R4" s="11">
        <f>IF(B4="KEEP EXISTING",Q4,'Cost Review'!J4)</f>
        <v>39.99</v>
      </c>
      <c r="S4" s="6" t="str">
        <f t="shared" si="1"/>
        <v>OK</v>
      </c>
      <c r="T4" s="9" t="str">
        <f>"112680031777"</f>
        <v>112680031777</v>
      </c>
      <c r="U4" s="10" t="s">
        <v>499</v>
      </c>
      <c r="V4" s="6" t="str">
        <f t="shared" si="2"/>
        <v>FOUND</v>
      </c>
      <c r="W4" s="9">
        <v>10</v>
      </c>
      <c r="X4" s="9">
        <v>0</v>
      </c>
      <c r="Y4" s="6" t="str">
        <f>IF(B4="KEEP EXISTING","Already in POS",IF(O4&lt;=0,"Blocked: cost",IF(OR(R4&lt;=0,R4&gt;100000),"Blocked: retail",IF(U4="","Blocked: image",IF(Summary!$B$3="APPROVED","READY","Pending approval")))))</f>
        <v>Pending approval</v>
      </c>
      <c r="Z4" s="6" t="s">
        <v>42</v>
      </c>
    </row>
    <row r="5" spans="1:26" ht="29.25">
      <c r="A5" s="12" t="s">
        <v>48</v>
      </c>
      <c r="B5" s="6" t="s">
        <v>494</v>
      </c>
      <c r="C5" s="6"/>
      <c r="D5" s="6"/>
      <c r="E5" s="6" t="s">
        <v>495</v>
      </c>
      <c r="F5" s="6" t="s">
        <v>40</v>
      </c>
      <c r="G5" s="6" t="s">
        <v>41</v>
      </c>
      <c r="H5" s="6" t="s">
        <v>49</v>
      </c>
      <c r="I5" s="10" t="s">
        <v>49</v>
      </c>
      <c r="J5" s="10" t="s">
        <v>39</v>
      </c>
      <c r="K5" s="9" t="str">
        <f>"112670031775"</f>
        <v>112670031775</v>
      </c>
      <c r="L5" s="9" t="str">
        <f>"112670031775"</f>
        <v>112670031775</v>
      </c>
      <c r="M5" s="12" t="s">
        <v>496</v>
      </c>
      <c r="N5" s="8">
        <v>4</v>
      </c>
      <c r="O5" s="11">
        <f>IF(B5="KEEP EXISTING",N5,'Cost Review'!H5)</f>
        <v>4</v>
      </c>
      <c r="P5" s="8" t="str">
        <f t="shared" si="0"/>
        <v>REVIEW</v>
      </c>
      <c r="Q5" s="8">
        <v>32.99</v>
      </c>
      <c r="R5" s="11">
        <f>IF(B5="KEEP EXISTING",Q5,'Cost Review'!J5)</f>
        <v>32.99</v>
      </c>
      <c r="S5" s="6" t="str">
        <f t="shared" si="1"/>
        <v>OK</v>
      </c>
      <c r="T5" s="9" t="str">
        <f>"112670031775"</f>
        <v>112670031775</v>
      </c>
      <c r="U5" s="10" t="s">
        <v>500</v>
      </c>
      <c r="V5" s="6" t="str">
        <f t="shared" si="2"/>
        <v>FOUND</v>
      </c>
      <c r="W5" s="9">
        <v>10</v>
      </c>
      <c r="X5" s="9">
        <v>0</v>
      </c>
      <c r="Y5" s="6" t="str">
        <f>IF(B5="KEEP EXISTING","Already in POS",IF(O5&lt;=0,"Blocked: cost",IF(OR(R5&lt;=0,R5&gt;100000),"Blocked: retail",IF(U5="","Blocked: image",IF(Summary!$B$3="APPROVED","READY","Pending approval")))))</f>
        <v>Pending approval</v>
      </c>
      <c r="Z5" s="6" t="s">
        <v>42</v>
      </c>
    </row>
    <row r="6" spans="1:26" ht="29.25">
      <c r="A6" s="12" t="s">
        <v>50</v>
      </c>
      <c r="B6" s="6" t="s">
        <v>494</v>
      </c>
      <c r="C6" s="6"/>
      <c r="D6" s="6"/>
      <c r="E6" s="6" t="s">
        <v>495</v>
      </c>
      <c r="F6" s="6" t="s">
        <v>40</v>
      </c>
      <c r="G6" s="6" t="s">
        <v>41</v>
      </c>
      <c r="H6" s="6" t="s">
        <v>51</v>
      </c>
      <c r="I6" s="10" t="s">
        <v>51</v>
      </c>
      <c r="J6" s="10" t="s">
        <v>39</v>
      </c>
      <c r="K6" s="9" t="str">
        <f>"112660031773"</f>
        <v>112660031773</v>
      </c>
      <c r="L6" s="9" t="str">
        <f>"112660031773"</f>
        <v>112660031773</v>
      </c>
      <c r="M6" s="12" t="s">
        <v>496</v>
      </c>
      <c r="N6" s="8">
        <v>2.2000000000000002</v>
      </c>
      <c r="O6" s="11">
        <f>IF(B6="KEEP EXISTING",N6,'Cost Review'!H6)</f>
        <v>2.2000000000000002</v>
      </c>
      <c r="P6" s="8" t="str">
        <f t="shared" si="0"/>
        <v>REVIEW</v>
      </c>
      <c r="Q6" s="8">
        <v>29.99</v>
      </c>
      <c r="R6" s="11">
        <f>IF(B6="KEEP EXISTING",Q6,'Cost Review'!J6)</f>
        <v>29.99</v>
      </c>
      <c r="S6" s="6" t="str">
        <f t="shared" si="1"/>
        <v>OK</v>
      </c>
      <c r="T6" s="9" t="str">
        <f>"112660031773"</f>
        <v>112660031773</v>
      </c>
      <c r="U6" s="10" t="s">
        <v>501</v>
      </c>
      <c r="V6" s="6" t="str">
        <f t="shared" si="2"/>
        <v>FOUND</v>
      </c>
      <c r="W6" s="9">
        <v>10</v>
      </c>
      <c r="X6" s="9">
        <v>0</v>
      </c>
      <c r="Y6" s="6" t="str">
        <f>IF(B6="KEEP EXISTING","Already in POS",IF(O6&lt;=0,"Blocked: cost",IF(OR(R6&lt;=0,R6&gt;100000),"Blocked: retail",IF(U6="","Blocked: image",IF(Summary!$B$3="APPROVED","READY","Pending approval")))))</f>
        <v>Pending approval</v>
      </c>
      <c r="Z6" s="6" t="s">
        <v>42</v>
      </c>
    </row>
    <row r="7" spans="1:26" ht="29.25">
      <c r="A7" s="12" t="s">
        <v>52</v>
      </c>
      <c r="B7" s="6" t="s">
        <v>494</v>
      </c>
      <c r="C7" s="6"/>
      <c r="D7" s="6"/>
      <c r="E7" s="6" t="s">
        <v>502</v>
      </c>
      <c r="F7" s="6" t="s">
        <v>54</v>
      </c>
      <c r="G7" s="6" t="s">
        <v>55</v>
      </c>
      <c r="H7" s="6" t="s">
        <v>53</v>
      </c>
      <c r="I7" s="10" t="s">
        <v>53</v>
      </c>
      <c r="J7" s="10" t="s">
        <v>39</v>
      </c>
      <c r="K7" s="9" t="str">
        <f>"110731644"</f>
        <v>110731644</v>
      </c>
      <c r="L7" s="9" t="str">
        <f>"110731644"</f>
        <v>110731644</v>
      </c>
      <c r="M7" s="12" t="s">
        <v>496</v>
      </c>
      <c r="N7" s="8">
        <v>8</v>
      </c>
      <c r="O7" s="11">
        <f>IF(B7="KEEP EXISTING",N7,'Cost Review'!H7)</f>
        <v>8</v>
      </c>
      <c r="P7" s="8" t="str">
        <f t="shared" si="0"/>
        <v>REVIEW</v>
      </c>
      <c r="Q7" s="8">
        <v>45</v>
      </c>
      <c r="R7" s="11">
        <f>IF(B7="KEEP EXISTING",Q7,'Cost Review'!J7)</f>
        <v>45</v>
      </c>
      <c r="S7" s="6" t="str">
        <f t="shared" si="1"/>
        <v>OK</v>
      </c>
      <c r="T7" s="9" t="str">
        <f>"110731644"</f>
        <v>110731644</v>
      </c>
      <c r="U7" s="10" t="s">
        <v>503</v>
      </c>
      <c r="V7" s="6" t="str">
        <f t="shared" si="2"/>
        <v>FOUND</v>
      </c>
      <c r="W7" s="9">
        <v>2</v>
      </c>
      <c r="X7" s="9">
        <v>0</v>
      </c>
      <c r="Y7" s="6" t="str">
        <f>IF(B7="KEEP EXISTING","Already in POS",IF(O7&lt;=0,"Blocked: cost",IF(OR(R7&lt;=0,R7&gt;100000),"Blocked: retail",IF(U7="","Blocked: image",IF(Summary!$B$3="APPROVED","READY","Pending approval")))))</f>
        <v>Pending approval</v>
      </c>
      <c r="Z7" s="6" t="s">
        <v>56</v>
      </c>
    </row>
    <row r="8" spans="1:26" ht="29.25">
      <c r="A8" s="12" t="s">
        <v>57</v>
      </c>
      <c r="B8" s="6" t="s">
        <v>494</v>
      </c>
      <c r="C8" s="6"/>
      <c r="D8" s="6"/>
      <c r="E8" s="6" t="s">
        <v>504</v>
      </c>
      <c r="F8" s="6" t="s">
        <v>54</v>
      </c>
      <c r="G8" s="6" t="s">
        <v>60</v>
      </c>
      <c r="H8" s="6" t="s">
        <v>58</v>
      </c>
      <c r="I8" s="10" t="s">
        <v>58</v>
      </c>
      <c r="J8" s="10" t="s">
        <v>59</v>
      </c>
      <c r="K8" s="9" t="str">
        <f>"110661636"</f>
        <v>110661636</v>
      </c>
      <c r="L8" s="9" t="str">
        <f>"110661636"</f>
        <v>110661636</v>
      </c>
      <c r="M8" s="12" t="s">
        <v>496</v>
      </c>
      <c r="N8" s="8">
        <v>13</v>
      </c>
      <c r="O8" s="11">
        <f>IF(B8="KEEP EXISTING",N8,'Cost Review'!H8)</f>
        <v>13</v>
      </c>
      <c r="P8" s="8" t="str">
        <f t="shared" si="0"/>
        <v>REVIEW</v>
      </c>
      <c r="Q8" s="8">
        <v>99</v>
      </c>
      <c r="R8" s="11">
        <f>IF(B8="KEEP EXISTING",Q8,'Cost Review'!J8)</f>
        <v>99</v>
      </c>
      <c r="S8" s="6" t="str">
        <f t="shared" si="1"/>
        <v>OK</v>
      </c>
      <c r="T8" s="9" t="str">
        <f>"6971252211657"</f>
        <v>6971252211657</v>
      </c>
      <c r="U8" s="10" t="s">
        <v>505</v>
      </c>
      <c r="V8" s="6" t="str">
        <f t="shared" si="2"/>
        <v>FOUND</v>
      </c>
      <c r="W8" s="9">
        <v>16</v>
      </c>
      <c r="X8" s="9">
        <v>0</v>
      </c>
      <c r="Y8" s="6" t="str">
        <f>IF(B8="KEEP EXISTING","Already in POS",IF(O8&lt;=0,"Blocked: cost",IF(OR(R8&lt;=0,R8&gt;100000),"Blocked: retail",IF(U8="","Blocked: image",IF(Summary!$B$3="APPROVED","READY","Pending approval")))))</f>
        <v>Pending approval</v>
      </c>
      <c r="Z8" s="6" t="s">
        <v>61</v>
      </c>
    </row>
    <row r="9" spans="1:26" ht="29.25">
      <c r="A9" s="12" t="s">
        <v>62</v>
      </c>
      <c r="B9" s="6" t="s">
        <v>494</v>
      </c>
      <c r="C9" s="6"/>
      <c r="D9" s="6"/>
      <c r="E9" s="6" t="s">
        <v>506</v>
      </c>
      <c r="F9" s="6" t="s">
        <v>54</v>
      </c>
      <c r="G9" s="6" t="s">
        <v>65</v>
      </c>
      <c r="H9" s="6" t="s">
        <v>63</v>
      </c>
      <c r="I9" s="10" t="s">
        <v>63</v>
      </c>
      <c r="J9" s="10" t="s">
        <v>64</v>
      </c>
      <c r="K9" s="9" t="str">
        <f>"110651635"</f>
        <v>110651635</v>
      </c>
      <c r="L9" s="9" t="str">
        <f>"110651635"</f>
        <v>110651635</v>
      </c>
      <c r="M9" s="12" t="s">
        <v>496</v>
      </c>
      <c r="N9" s="8">
        <v>3</v>
      </c>
      <c r="O9" s="11">
        <f>IF(B9="KEEP EXISTING",N9,'Cost Review'!H9)</f>
        <v>3</v>
      </c>
      <c r="P9" s="8" t="str">
        <f t="shared" si="0"/>
        <v>REVIEW</v>
      </c>
      <c r="Q9" s="8">
        <v>29.95</v>
      </c>
      <c r="R9" s="11">
        <f>IF(B9="KEEP EXISTING",Q9,'Cost Review'!J9)</f>
        <v>29.95</v>
      </c>
      <c r="S9" s="6" t="str">
        <f t="shared" si="1"/>
        <v>OK</v>
      </c>
      <c r="T9" s="9" t="str">
        <f>"6973687247058"</f>
        <v>6973687247058</v>
      </c>
      <c r="U9" s="10" t="s">
        <v>507</v>
      </c>
      <c r="V9" s="6" t="str">
        <f t="shared" si="2"/>
        <v>FOUND</v>
      </c>
      <c r="W9" s="9">
        <v>5</v>
      </c>
      <c r="X9" s="9">
        <v>0</v>
      </c>
      <c r="Y9" s="6" t="str">
        <f>IF(B9="KEEP EXISTING","Already in POS",IF(O9&lt;=0,"Blocked: cost",IF(OR(R9&lt;=0,R9&gt;100000),"Blocked: retail",IF(U9="","Blocked: image",IF(Summary!$B$3="APPROVED","READY","Pending approval")))))</f>
        <v>Pending approval</v>
      </c>
      <c r="Z9" s="6" t="s">
        <v>66</v>
      </c>
    </row>
    <row r="10" spans="1:26" ht="29.25">
      <c r="A10" s="12" t="s">
        <v>67</v>
      </c>
      <c r="B10" s="6" t="s">
        <v>494</v>
      </c>
      <c r="C10" s="6"/>
      <c r="D10" s="6"/>
      <c r="E10" s="6" t="s">
        <v>508</v>
      </c>
      <c r="F10" s="6" t="s">
        <v>69</v>
      </c>
      <c r="G10" s="6" t="s">
        <v>70</v>
      </c>
      <c r="H10" s="6" t="s">
        <v>68</v>
      </c>
      <c r="I10" s="10" t="s">
        <v>68</v>
      </c>
      <c r="J10" s="10" t="s">
        <v>59</v>
      </c>
      <c r="K10" s="9" t="str">
        <f>"110641634"</f>
        <v>110641634</v>
      </c>
      <c r="L10" s="9" t="str">
        <f>"110641634"</f>
        <v>110641634</v>
      </c>
      <c r="M10" s="12" t="s">
        <v>496</v>
      </c>
      <c r="N10" s="8">
        <v>5.0999999999999996</v>
      </c>
      <c r="O10" s="11">
        <f>IF(B10="KEEP EXISTING",N10,'Cost Review'!H10)</f>
        <v>5.0999999999999996</v>
      </c>
      <c r="P10" s="8" t="str">
        <f t="shared" si="0"/>
        <v>REVIEW</v>
      </c>
      <c r="Q10" s="8">
        <v>39</v>
      </c>
      <c r="R10" s="11">
        <f>IF(B10="KEEP EXISTING",Q10,'Cost Review'!J10)</f>
        <v>39</v>
      </c>
      <c r="S10" s="6" t="str">
        <f t="shared" si="1"/>
        <v>OK</v>
      </c>
      <c r="T10" s="9" t="str">
        <f>"6978950240224"</f>
        <v>6978950240224</v>
      </c>
      <c r="U10" s="10" t="s">
        <v>509</v>
      </c>
      <c r="V10" s="6" t="str">
        <f t="shared" si="2"/>
        <v>FOUND</v>
      </c>
      <c r="W10" s="9">
        <v>8</v>
      </c>
      <c r="X10" s="9">
        <v>0</v>
      </c>
      <c r="Y10" s="6" t="str">
        <f>IF(B10="KEEP EXISTING","Already in POS",IF(O10&lt;=0,"Blocked: cost",IF(OR(R10&lt;=0,R10&gt;100000),"Blocked: retail",IF(U10="","Blocked: image",IF(Summary!$B$3="APPROVED","READY","Pending approval")))))</f>
        <v>Pending approval</v>
      </c>
      <c r="Z10" s="6" t="s">
        <v>71</v>
      </c>
    </row>
    <row r="11" spans="1:26" ht="29.25">
      <c r="A11" s="12" t="s">
        <v>72</v>
      </c>
      <c r="B11" s="6" t="s">
        <v>494</v>
      </c>
      <c r="C11" s="6"/>
      <c r="D11" s="6"/>
      <c r="E11" s="6" t="s">
        <v>510</v>
      </c>
      <c r="F11" s="6" t="s">
        <v>54</v>
      </c>
      <c r="G11" s="6" t="s">
        <v>74</v>
      </c>
      <c r="H11" s="6" t="s">
        <v>73</v>
      </c>
      <c r="I11" s="10" t="s">
        <v>73</v>
      </c>
      <c r="J11" s="10" t="s">
        <v>64</v>
      </c>
      <c r="K11" s="9" t="str">
        <f>"109081522"</f>
        <v>109081522</v>
      </c>
      <c r="L11" s="9" t="str">
        <f>"109081522"</f>
        <v>109081522</v>
      </c>
      <c r="M11" s="12" t="s">
        <v>496</v>
      </c>
      <c r="N11" s="8">
        <v>13</v>
      </c>
      <c r="O11" s="11">
        <f>IF(B11="KEEP EXISTING",N11,'Cost Review'!H11)</f>
        <v>13</v>
      </c>
      <c r="P11" s="8" t="str">
        <f t="shared" si="0"/>
        <v>REVIEW</v>
      </c>
      <c r="Q11" s="8">
        <v>42</v>
      </c>
      <c r="R11" s="11">
        <f>IF(B11="KEEP EXISTING",Q11,'Cost Review'!J11)</f>
        <v>42</v>
      </c>
      <c r="S11" s="6" t="str">
        <f t="shared" si="1"/>
        <v>OK</v>
      </c>
      <c r="T11" s="9" t="str">
        <f>"6976625334636"</f>
        <v>6976625334636</v>
      </c>
      <c r="U11" s="10" t="s">
        <v>511</v>
      </c>
      <c r="V11" s="6" t="str">
        <f t="shared" si="2"/>
        <v>FOUND</v>
      </c>
      <c r="W11" s="9">
        <v>1</v>
      </c>
      <c r="X11" s="9">
        <v>0</v>
      </c>
      <c r="Y11" s="6" t="str">
        <f>IF(B11="KEEP EXISTING","Already in POS",IF(O11&lt;=0,"Blocked: cost",IF(OR(R11&lt;=0,R11&gt;100000),"Blocked: retail",IF(U11="","Blocked: image",IF(Summary!$B$3="APPROVED","READY","Pending approval")))))</f>
        <v>Pending approval</v>
      </c>
      <c r="Z11" s="6" t="s">
        <v>75</v>
      </c>
    </row>
    <row r="12" spans="1:26" ht="29.25">
      <c r="A12" s="12" t="s">
        <v>76</v>
      </c>
      <c r="B12" s="6" t="s">
        <v>494</v>
      </c>
      <c r="C12" s="6"/>
      <c r="D12" s="6"/>
      <c r="E12" s="6" t="s">
        <v>510</v>
      </c>
      <c r="F12" s="6" t="s">
        <v>54</v>
      </c>
      <c r="G12" s="6" t="s">
        <v>74</v>
      </c>
      <c r="H12" s="6" t="s">
        <v>77</v>
      </c>
      <c r="I12" s="10" t="s">
        <v>77</v>
      </c>
      <c r="J12" s="10" t="s">
        <v>64</v>
      </c>
      <c r="K12" s="9" t="str">
        <f>"109071521"</f>
        <v>109071521</v>
      </c>
      <c r="L12" s="9" t="str">
        <f>"109071521"</f>
        <v>109071521</v>
      </c>
      <c r="M12" s="12" t="s">
        <v>496</v>
      </c>
      <c r="N12" s="8">
        <v>8.1300000000000008</v>
      </c>
      <c r="O12" s="11">
        <f>IF(B12="KEEP EXISTING",N12,'Cost Review'!H12)</f>
        <v>8.1300000000000008</v>
      </c>
      <c r="P12" s="8" t="str">
        <f t="shared" si="0"/>
        <v>REVIEW</v>
      </c>
      <c r="Q12" s="8">
        <v>33</v>
      </c>
      <c r="R12" s="11">
        <f>IF(B12="KEEP EXISTING",Q12,'Cost Review'!J12)</f>
        <v>33</v>
      </c>
      <c r="S12" s="6" t="str">
        <f t="shared" si="1"/>
        <v>OK</v>
      </c>
      <c r="T12" s="9" t="str">
        <f>"6976625334643"</f>
        <v>6976625334643</v>
      </c>
      <c r="U12" s="10" t="s">
        <v>512</v>
      </c>
      <c r="V12" s="6" t="str">
        <f t="shared" si="2"/>
        <v>FOUND</v>
      </c>
      <c r="W12" s="9">
        <v>0</v>
      </c>
      <c r="X12" s="9">
        <v>0</v>
      </c>
      <c r="Y12" s="6" t="str">
        <f>IF(B12="KEEP EXISTING","Already in POS",IF(O12&lt;=0,"Blocked: cost",IF(OR(R12&lt;=0,R12&gt;100000),"Blocked: retail",IF(U12="","Blocked: image",IF(Summary!$B$3="APPROVED","READY","Pending approval")))))</f>
        <v>Pending approval</v>
      </c>
      <c r="Z12" s="6"/>
    </row>
    <row r="13" spans="1:26" ht="43.5">
      <c r="A13" s="12" t="s">
        <v>78</v>
      </c>
      <c r="B13" s="6" t="s">
        <v>494</v>
      </c>
      <c r="C13" s="6"/>
      <c r="D13" s="6"/>
      <c r="E13" s="6" t="s">
        <v>510</v>
      </c>
      <c r="F13" s="6" t="s">
        <v>54</v>
      </c>
      <c r="G13" s="6" t="s">
        <v>74</v>
      </c>
      <c r="H13" s="6" t="s">
        <v>79</v>
      </c>
      <c r="I13" s="10" t="s">
        <v>79</v>
      </c>
      <c r="J13" s="10" t="s">
        <v>64</v>
      </c>
      <c r="K13" s="9" t="str">
        <f>"109051520"</f>
        <v>109051520</v>
      </c>
      <c r="L13" s="9" t="str">
        <f>"109051520"</f>
        <v>109051520</v>
      </c>
      <c r="M13" s="12" t="s">
        <v>496</v>
      </c>
      <c r="N13" s="8">
        <v>7.13</v>
      </c>
      <c r="O13" s="11">
        <f>IF(B13="KEEP EXISTING",N13,'Cost Review'!H13)</f>
        <v>7.13</v>
      </c>
      <c r="P13" s="8" t="str">
        <f t="shared" si="0"/>
        <v>REVIEW</v>
      </c>
      <c r="Q13" s="8">
        <v>25</v>
      </c>
      <c r="R13" s="11">
        <f>IF(B13="KEEP EXISTING",Q13,'Cost Review'!J13)</f>
        <v>25</v>
      </c>
      <c r="S13" s="6" t="str">
        <f t="shared" si="1"/>
        <v>OK</v>
      </c>
      <c r="T13" s="9" t="str">
        <f>"6976625334650"</f>
        <v>6976625334650</v>
      </c>
      <c r="U13" s="10" t="s">
        <v>513</v>
      </c>
      <c r="V13" s="6" t="str">
        <f t="shared" si="2"/>
        <v>FOUND</v>
      </c>
      <c r="W13" s="9">
        <v>0</v>
      </c>
      <c r="X13" s="9">
        <v>0</v>
      </c>
      <c r="Y13" s="6" t="str">
        <f>IF(B13="KEEP EXISTING","Already in POS",IF(O13&lt;=0,"Blocked: cost",IF(OR(R13&lt;=0,R13&gt;100000),"Blocked: retail",IF(U13="","Blocked: image",IF(Summary!$B$3="APPROVED","READY","Pending approval")))))</f>
        <v>Pending approval</v>
      </c>
      <c r="Z13" s="6"/>
    </row>
    <row r="14" spans="1:26" ht="29.25">
      <c r="A14" s="12" t="s">
        <v>80</v>
      </c>
      <c r="B14" s="6" t="s">
        <v>494</v>
      </c>
      <c r="C14" s="6"/>
      <c r="D14" s="6"/>
      <c r="E14" s="6" t="s">
        <v>506</v>
      </c>
      <c r="F14" s="6" t="s">
        <v>54</v>
      </c>
      <c r="G14" s="6" t="s">
        <v>65</v>
      </c>
      <c r="H14" s="6" t="s">
        <v>81</v>
      </c>
      <c r="I14" s="10" t="s">
        <v>81</v>
      </c>
      <c r="J14" s="10" t="s">
        <v>39</v>
      </c>
      <c r="K14" s="9" t="str">
        <f>"107751365"</f>
        <v>107751365</v>
      </c>
      <c r="L14" s="9" t="str">
        <f>"107751365"</f>
        <v>107751365</v>
      </c>
      <c r="M14" s="12" t="s">
        <v>496</v>
      </c>
      <c r="N14" s="8">
        <v>9.5</v>
      </c>
      <c r="O14" s="11">
        <f>IF(B14="KEEP EXISTING",N14,'Cost Review'!H14)</f>
        <v>9.5</v>
      </c>
      <c r="P14" s="8" t="str">
        <f t="shared" si="0"/>
        <v>REVIEW</v>
      </c>
      <c r="Q14" s="8">
        <v>49.95</v>
      </c>
      <c r="R14" s="11">
        <f>IF(B14="KEEP EXISTING",Q14,'Cost Review'!J14)</f>
        <v>49.95</v>
      </c>
      <c r="S14" s="6" t="str">
        <f t="shared" si="1"/>
        <v>OK</v>
      </c>
      <c r="T14" s="9" t="str">
        <f>"107751365"</f>
        <v>107751365</v>
      </c>
      <c r="U14" s="10" t="s">
        <v>514</v>
      </c>
      <c r="V14" s="6" t="str">
        <f t="shared" si="2"/>
        <v>FOUND</v>
      </c>
      <c r="W14" s="9">
        <v>0</v>
      </c>
      <c r="X14" s="9">
        <v>0</v>
      </c>
      <c r="Y14" s="6" t="str">
        <f>IF(B14="KEEP EXISTING","Already in POS",IF(O14&lt;=0,"Blocked: cost",IF(OR(R14&lt;=0,R14&gt;100000),"Blocked: retail",IF(U14="","Blocked: image",IF(Summary!$B$3="APPROVED","READY","Pending approval")))))</f>
        <v>Pending approval</v>
      </c>
      <c r="Z14" s="6"/>
    </row>
    <row r="15" spans="1:26" ht="43.5">
      <c r="A15" s="12" t="s">
        <v>82</v>
      </c>
      <c r="B15" s="6" t="s">
        <v>494</v>
      </c>
      <c r="C15" s="6"/>
      <c r="D15" s="6"/>
      <c r="E15" s="6" t="s">
        <v>515</v>
      </c>
      <c r="F15" s="6" t="s">
        <v>54</v>
      </c>
      <c r="G15" s="6" t="s">
        <v>55</v>
      </c>
      <c r="H15" s="6" t="s">
        <v>83</v>
      </c>
      <c r="I15" s="10" t="s">
        <v>83</v>
      </c>
      <c r="J15" s="10" t="s">
        <v>84</v>
      </c>
      <c r="K15" s="9" t="str">
        <f>"107511327"</f>
        <v>107511327</v>
      </c>
      <c r="L15" s="9" t="str">
        <f>"107511327"</f>
        <v>107511327</v>
      </c>
      <c r="M15" s="12" t="s">
        <v>496</v>
      </c>
      <c r="N15" s="8">
        <v>26</v>
      </c>
      <c r="O15" s="11">
        <f>IF(B15="KEEP EXISTING",N15,'Cost Review'!H15)</f>
        <v>26</v>
      </c>
      <c r="P15" s="8" t="str">
        <f t="shared" si="0"/>
        <v>REVIEW</v>
      </c>
      <c r="Q15" s="8">
        <v>59</v>
      </c>
      <c r="R15" s="11">
        <f>IF(B15="KEEP EXISTING",Q15,'Cost Review'!J15)</f>
        <v>59</v>
      </c>
      <c r="S15" s="6" t="str">
        <f t="shared" si="1"/>
        <v>OK</v>
      </c>
      <c r="T15" s="9" t="str">
        <f>"107511327"</f>
        <v>107511327</v>
      </c>
      <c r="U15" s="10" t="s">
        <v>516</v>
      </c>
      <c r="V15" s="6" t="str">
        <f t="shared" si="2"/>
        <v>FOUND</v>
      </c>
      <c r="W15" s="9">
        <v>3</v>
      </c>
      <c r="X15" s="9">
        <v>0</v>
      </c>
      <c r="Y15" s="6" t="str">
        <f>IF(B15="KEEP EXISTING","Already in POS",IF(O15&lt;=0,"Blocked: cost",IF(OR(R15&lt;=0,R15&gt;100000),"Blocked: retail",IF(U15="","Blocked: image",IF(Summary!$B$3="APPROVED","READY","Pending approval")))))</f>
        <v>Pending approval</v>
      </c>
      <c r="Z15" s="6" t="s">
        <v>85</v>
      </c>
    </row>
    <row r="16" spans="1:26" ht="43.5">
      <c r="A16" s="12" t="s">
        <v>86</v>
      </c>
      <c r="B16" s="6" t="s">
        <v>494</v>
      </c>
      <c r="C16" s="6"/>
      <c r="D16" s="6"/>
      <c r="E16" s="6" t="s">
        <v>517</v>
      </c>
      <c r="F16" s="6" t="s">
        <v>89</v>
      </c>
      <c r="G16" s="6" t="s">
        <v>90</v>
      </c>
      <c r="H16" s="6" t="s">
        <v>87</v>
      </c>
      <c r="I16" s="10" t="s">
        <v>87</v>
      </c>
      <c r="J16" s="10" t="s">
        <v>88</v>
      </c>
      <c r="K16" s="9" t="str">
        <f>"107501326"</f>
        <v>107501326</v>
      </c>
      <c r="L16" s="9" t="str">
        <f>"107501326"</f>
        <v>107501326</v>
      </c>
      <c r="M16" s="12" t="s">
        <v>496</v>
      </c>
      <c r="N16" s="8">
        <v>69</v>
      </c>
      <c r="O16" s="11">
        <f>IF(B16="KEEP EXISTING",N16,'Cost Review'!H16)</f>
        <v>69</v>
      </c>
      <c r="P16" s="8" t="str">
        <f t="shared" si="0"/>
        <v>REVIEW</v>
      </c>
      <c r="Q16" s="8">
        <v>129</v>
      </c>
      <c r="R16" s="11">
        <f>IF(B16="KEEP EXISTING",Q16,'Cost Review'!J16)</f>
        <v>129</v>
      </c>
      <c r="S16" s="6" t="str">
        <f t="shared" si="1"/>
        <v>OK</v>
      </c>
      <c r="T16" s="9" t="str">
        <f>"107501326"</f>
        <v>107501326</v>
      </c>
      <c r="U16" s="10" t="s">
        <v>518</v>
      </c>
      <c r="V16" s="6" t="str">
        <f t="shared" si="2"/>
        <v>FOUND</v>
      </c>
      <c r="W16" s="9">
        <v>1</v>
      </c>
      <c r="X16" s="9">
        <v>0</v>
      </c>
      <c r="Y16" s="6" t="str">
        <f>IF(B16="KEEP EXISTING","Already in POS",IF(O16&lt;=0,"Blocked: cost",IF(OR(R16&lt;=0,R16&gt;100000),"Blocked: retail",IF(U16="","Blocked: image",IF(Summary!$B$3="APPROVED","READY","Pending approval")))))</f>
        <v>Pending approval</v>
      </c>
      <c r="Z16" s="6" t="s">
        <v>75</v>
      </c>
    </row>
    <row r="17" spans="1:26" ht="29.25">
      <c r="A17" s="12" t="s">
        <v>91</v>
      </c>
      <c r="B17" s="6" t="s">
        <v>494</v>
      </c>
      <c r="C17" s="6"/>
      <c r="D17" s="6"/>
      <c r="E17" s="6" t="s">
        <v>519</v>
      </c>
      <c r="F17" s="6" t="s">
        <v>69</v>
      </c>
      <c r="G17" s="6" t="s">
        <v>93</v>
      </c>
      <c r="H17" s="6" t="s">
        <v>92</v>
      </c>
      <c r="I17" s="10" t="s">
        <v>92</v>
      </c>
      <c r="J17" s="10" t="s">
        <v>59</v>
      </c>
      <c r="K17" s="9" t="str">
        <f>"107411319"</f>
        <v>107411319</v>
      </c>
      <c r="L17" s="9" t="str">
        <f>"107411319"</f>
        <v>107411319</v>
      </c>
      <c r="M17" s="12" t="s">
        <v>496</v>
      </c>
      <c r="N17" s="8">
        <v>8</v>
      </c>
      <c r="O17" s="11">
        <f>IF(B17="KEEP EXISTING",N17,'Cost Review'!H17)</f>
        <v>8</v>
      </c>
      <c r="P17" s="8" t="str">
        <f t="shared" si="0"/>
        <v>REVIEW</v>
      </c>
      <c r="Q17" s="8">
        <v>49.95</v>
      </c>
      <c r="R17" s="11">
        <f>IF(B17="KEEP EXISTING",Q17,'Cost Review'!J17)</f>
        <v>49.95</v>
      </c>
      <c r="S17" s="6" t="str">
        <f t="shared" si="1"/>
        <v>OK</v>
      </c>
      <c r="T17" s="9" t="str">
        <f>"6971252210346"</f>
        <v>6971252210346</v>
      </c>
      <c r="U17" s="10" t="s">
        <v>520</v>
      </c>
      <c r="V17" s="6" t="str">
        <f t="shared" si="2"/>
        <v>FOUND</v>
      </c>
      <c r="W17" s="9">
        <v>2</v>
      </c>
      <c r="X17" s="9">
        <v>0</v>
      </c>
      <c r="Y17" s="6" t="str">
        <f>IF(B17="KEEP EXISTING","Already in POS",IF(O17&lt;=0,"Blocked: cost",IF(OR(R17&lt;=0,R17&gt;100000),"Blocked: retail",IF(U17="","Blocked: image",IF(Summary!$B$3="APPROVED","READY","Pending approval")))))</f>
        <v>Pending approval</v>
      </c>
      <c r="Z17" s="6" t="s">
        <v>56</v>
      </c>
    </row>
    <row r="18" spans="1:26" ht="29.25">
      <c r="A18" s="12" t="s">
        <v>94</v>
      </c>
      <c r="B18" s="6" t="s">
        <v>494</v>
      </c>
      <c r="C18" s="6"/>
      <c r="D18" s="6"/>
      <c r="E18" s="6" t="s">
        <v>519</v>
      </c>
      <c r="F18" s="6" t="s">
        <v>69</v>
      </c>
      <c r="G18" s="6" t="s">
        <v>96</v>
      </c>
      <c r="H18" s="6" t="s">
        <v>95</v>
      </c>
      <c r="I18" s="10" t="s">
        <v>95</v>
      </c>
      <c r="J18" s="10" t="s">
        <v>59</v>
      </c>
      <c r="K18" s="9" t="str">
        <f>"107401318"</f>
        <v>107401318</v>
      </c>
      <c r="L18" s="9" t="str">
        <f>"107401318"</f>
        <v>107401318</v>
      </c>
      <c r="M18" s="12" t="s">
        <v>496</v>
      </c>
      <c r="N18" s="8">
        <v>10</v>
      </c>
      <c r="O18" s="11">
        <f>IF(B18="KEEP EXISTING",N18,'Cost Review'!H18)</f>
        <v>10</v>
      </c>
      <c r="P18" s="8" t="str">
        <f t="shared" si="0"/>
        <v>REVIEW</v>
      </c>
      <c r="Q18" s="8">
        <v>69.95</v>
      </c>
      <c r="R18" s="11">
        <f>IF(B18="KEEP EXISTING",Q18,'Cost Review'!J18)</f>
        <v>69.95</v>
      </c>
      <c r="S18" s="6" t="str">
        <f t="shared" si="1"/>
        <v>OK</v>
      </c>
      <c r="T18" s="9" t="str">
        <f>"6971252210605"</f>
        <v>6971252210605</v>
      </c>
      <c r="U18" s="10" t="s">
        <v>521</v>
      </c>
      <c r="V18" s="6" t="str">
        <f t="shared" si="2"/>
        <v>FOUND</v>
      </c>
      <c r="W18" s="9">
        <v>1</v>
      </c>
      <c r="X18" s="9">
        <v>0</v>
      </c>
      <c r="Y18" s="6" t="str">
        <f>IF(B18="KEEP EXISTING","Already in POS",IF(O18&lt;=0,"Blocked: cost",IF(OR(R18&lt;=0,R18&gt;100000),"Blocked: retail",IF(U18="","Blocked: image",IF(Summary!$B$3="APPROVED","READY","Pending approval")))))</f>
        <v>Pending approval</v>
      </c>
      <c r="Z18" s="6" t="s">
        <v>75</v>
      </c>
    </row>
    <row r="19" spans="1:26" ht="29.25">
      <c r="A19" s="12" t="s">
        <v>97</v>
      </c>
      <c r="B19" s="6" t="s">
        <v>494</v>
      </c>
      <c r="C19" s="6"/>
      <c r="D19" s="6"/>
      <c r="E19" s="6" t="s">
        <v>522</v>
      </c>
      <c r="F19" s="6" t="s">
        <v>54</v>
      </c>
      <c r="G19" s="6" t="s">
        <v>60</v>
      </c>
      <c r="H19" s="6" t="s">
        <v>98</v>
      </c>
      <c r="I19" s="10" t="s">
        <v>98</v>
      </c>
      <c r="J19" s="10" t="s">
        <v>59</v>
      </c>
      <c r="K19" s="9" t="str">
        <f>"107391317"</f>
        <v>107391317</v>
      </c>
      <c r="L19" s="9" t="str">
        <f>"107391317"</f>
        <v>107391317</v>
      </c>
      <c r="M19" s="12" t="s">
        <v>496</v>
      </c>
      <c r="N19" s="8">
        <v>13</v>
      </c>
      <c r="O19" s="11">
        <f>IF(B19="KEEP EXISTING",N19,'Cost Review'!H19)</f>
        <v>13</v>
      </c>
      <c r="P19" s="8" t="str">
        <f t="shared" si="0"/>
        <v>REVIEW</v>
      </c>
      <c r="Q19" s="8">
        <v>99</v>
      </c>
      <c r="R19" s="11">
        <f>IF(B19="KEEP EXISTING",Q19,'Cost Review'!J19)</f>
        <v>99</v>
      </c>
      <c r="S19" s="6" t="str">
        <f t="shared" si="1"/>
        <v>OK</v>
      </c>
      <c r="T19" s="9" t="str">
        <f>"6971252211428"</f>
        <v>6971252211428</v>
      </c>
      <c r="U19" s="10" t="s">
        <v>523</v>
      </c>
      <c r="V19" s="6" t="str">
        <f t="shared" si="2"/>
        <v>FOUND</v>
      </c>
      <c r="W19" s="9">
        <v>11</v>
      </c>
      <c r="X19" s="9">
        <v>0</v>
      </c>
      <c r="Y19" s="6" t="str">
        <f>IF(B19="KEEP EXISTING","Already in POS",IF(O19&lt;=0,"Blocked: cost",IF(OR(R19&lt;=0,R19&gt;100000),"Blocked: retail",IF(U19="","Blocked: image",IF(Summary!$B$3="APPROVED","READY","Pending approval")))))</f>
        <v>Pending approval</v>
      </c>
      <c r="Z19" s="6" t="s">
        <v>99</v>
      </c>
    </row>
    <row r="20" spans="1:26" ht="29.25">
      <c r="A20" s="12" t="s">
        <v>100</v>
      </c>
      <c r="B20" s="6" t="s">
        <v>494</v>
      </c>
      <c r="C20" s="6"/>
      <c r="D20" s="6"/>
      <c r="E20" s="6" t="s">
        <v>522</v>
      </c>
      <c r="F20" s="6" t="s">
        <v>54</v>
      </c>
      <c r="G20" s="6" t="s">
        <v>60</v>
      </c>
      <c r="H20" s="6" t="s">
        <v>101</v>
      </c>
      <c r="I20" s="10" t="s">
        <v>101</v>
      </c>
      <c r="J20" s="10" t="s">
        <v>59</v>
      </c>
      <c r="K20" s="9" t="str">
        <f>"107381316"</f>
        <v>107381316</v>
      </c>
      <c r="L20" s="9" t="str">
        <f>"107381316"</f>
        <v>107381316</v>
      </c>
      <c r="M20" s="12" t="s">
        <v>496</v>
      </c>
      <c r="N20" s="8">
        <v>10</v>
      </c>
      <c r="O20" s="11">
        <f>IF(B20="KEEP EXISTING",N20,'Cost Review'!H20)</f>
        <v>10</v>
      </c>
      <c r="P20" s="8" t="str">
        <f t="shared" si="0"/>
        <v>REVIEW</v>
      </c>
      <c r="Q20" s="8">
        <v>69.95</v>
      </c>
      <c r="R20" s="11">
        <f>IF(B20="KEEP EXISTING",Q20,'Cost Review'!J20)</f>
        <v>69.95</v>
      </c>
      <c r="S20" s="6" t="str">
        <f t="shared" si="1"/>
        <v>OK</v>
      </c>
      <c r="T20" s="9" t="str">
        <f>"6971252211404"</f>
        <v>6971252211404</v>
      </c>
      <c r="U20" s="10" t="s">
        <v>524</v>
      </c>
      <c r="V20" s="6" t="str">
        <f t="shared" si="2"/>
        <v>FOUND</v>
      </c>
      <c r="W20" s="9">
        <v>7</v>
      </c>
      <c r="X20" s="9">
        <v>0</v>
      </c>
      <c r="Y20" s="6" t="str">
        <f>IF(B20="KEEP EXISTING","Already in POS",IF(O20&lt;=0,"Blocked: cost",IF(OR(R20&lt;=0,R20&gt;100000),"Blocked: retail",IF(U20="","Blocked: image",IF(Summary!$B$3="APPROVED","READY","Pending approval")))))</f>
        <v>Pending approval</v>
      </c>
      <c r="Z20" s="6" t="s">
        <v>102</v>
      </c>
    </row>
    <row r="21" spans="1:26" ht="29.25">
      <c r="A21" s="12" t="s">
        <v>103</v>
      </c>
      <c r="B21" s="6" t="s">
        <v>494</v>
      </c>
      <c r="C21" s="6"/>
      <c r="D21" s="6"/>
      <c r="E21" s="6" t="s">
        <v>522</v>
      </c>
      <c r="F21" s="6" t="s">
        <v>54</v>
      </c>
      <c r="G21" s="6" t="s">
        <v>60</v>
      </c>
      <c r="H21" s="6" t="s">
        <v>104</v>
      </c>
      <c r="I21" s="10" t="s">
        <v>104</v>
      </c>
      <c r="J21" s="10" t="s">
        <v>59</v>
      </c>
      <c r="K21" s="9" t="str">
        <f>"107371315"</f>
        <v>107371315</v>
      </c>
      <c r="L21" s="9" t="str">
        <f>"107371315"</f>
        <v>107371315</v>
      </c>
      <c r="M21" s="12" t="s">
        <v>496</v>
      </c>
      <c r="N21" s="8">
        <v>4.29</v>
      </c>
      <c r="O21" s="11">
        <f>IF(B21="KEEP EXISTING",N21,'Cost Review'!H21)</f>
        <v>4.29</v>
      </c>
      <c r="P21" s="8" t="str">
        <f t="shared" si="0"/>
        <v>REVIEW</v>
      </c>
      <c r="Q21" s="8">
        <v>49.95</v>
      </c>
      <c r="R21" s="11">
        <f>IF(B21="KEEP EXISTING",Q21,'Cost Review'!J21)</f>
        <v>49.95</v>
      </c>
      <c r="S21" s="6" t="str">
        <f t="shared" si="1"/>
        <v>OK</v>
      </c>
      <c r="T21" s="9" t="str">
        <f>"6971252210391"</f>
        <v>6971252210391</v>
      </c>
      <c r="U21" s="10" t="s">
        <v>525</v>
      </c>
      <c r="V21" s="6" t="str">
        <f t="shared" si="2"/>
        <v>FOUND</v>
      </c>
      <c r="W21" s="9">
        <v>12</v>
      </c>
      <c r="X21" s="9">
        <v>0</v>
      </c>
      <c r="Y21" s="6" t="str">
        <f>IF(B21="KEEP EXISTING","Already in POS",IF(O21&lt;=0,"Blocked: cost",IF(OR(R21&lt;=0,R21&gt;100000),"Blocked: retail",IF(U21="","Blocked: image",IF(Summary!$B$3="APPROVED","READY","Pending approval")))))</f>
        <v>Pending approval</v>
      </c>
      <c r="Z21" s="6" t="s">
        <v>105</v>
      </c>
    </row>
    <row r="22" spans="1:26" ht="29.25">
      <c r="A22" s="12" t="s">
        <v>106</v>
      </c>
      <c r="B22" s="6" t="s">
        <v>494</v>
      </c>
      <c r="C22" s="6"/>
      <c r="D22" s="6"/>
      <c r="E22" s="6" t="s">
        <v>522</v>
      </c>
      <c r="F22" s="6" t="s">
        <v>54</v>
      </c>
      <c r="G22" s="6" t="s">
        <v>60</v>
      </c>
      <c r="H22" s="6" t="s">
        <v>107</v>
      </c>
      <c r="I22" s="10" t="s">
        <v>107</v>
      </c>
      <c r="J22" s="10" t="s">
        <v>59</v>
      </c>
      <c r="K22" s="9" t="str">
        <f>"107361314"</f>
        <v>107361314</v>
      </c>
      <c r="L22" s="9" t="str">
        <f>"107361314"</f>
        <v>107361314</v>
      </c>
      <c r="M22" s="12" t="s">
        <v>496</v>
      </c>
      <c r="N22" s="8">
        <v>4.29</v>
      </c>
      <c r="O22" s="11">
        <f>IF(B22="KEEP EXISTING",N22,'Cost Review'!H22)</f>
        <v>4.29</v>
      </c>
      <c r="P22" s="8" t="str">
        <f t="shared" si="0"/>
        <v>REVIEW</v>
      </c>
      <c r="Q22" s="8">
        <v>19.989999999999998</v>
      </c>
      <c r="R22" s="11">
        <f>IF(B22="KEEP EXISTING",Q22,'Cost Review'!J22)</f>
        <v>19.989999999999998</v>
      </c>
      <c r="S22" s="6" t="str">
        <f t="shared" si="1"/>
        <v>OK</v>
      </c>
      <c r="T22" s="9" t="str">
        <f>"6971252211442"</f>
        <v>6971252211442</v>
      </c>
      <c r="U22" s="10" t="s">
        <v>526</v>
      </c>
      <c r="V22" s="6" t="str">
        <f t="shared" si="2"/>
        <v>FOUND</v>
      </c>
      <c r="W22" s="9">
        <v>11</v>
      </c>
      <c r="X22" s="9">
        <v>0</v>
      </c>
      <c r="Y22" s="6" t="str">
        <f>IF(B22="KEEP EXISTING","Already in POS",IF(O22&lt;=0,"Blocked: cost",IF(OR(R22&lt;=0,R22&gt;100000),"Blocked: retail",IF(U22="","Blocked: image",IF(Summary!$B$3="APPROVED","READY","Pending approval")))))</f>
        <v>Pending approval</v>
      </c>
      <c r="Z22" s="6" t="s">
        <v>99</v>
      </c>
    </row>
    <row r="23" spans="1:26" ht="29.25">
      <c r="A23" s="12" t="s">
        <v>108</v>
      </c>
      <c r="B23" s="6" t="s">
        <v>494</v>
      </c>
      <c r="C23" s="6"/>
      <c r="D23" s="6"/>
      <c r="E23" s="6" t="s">
        <v>504</v>
      </c>
      <c r="F23" s="6" t="s">
        <v>54</v>
      </c>
      <c r="G23" s="6" t="s">
        <v>60</v>
      </c>
      <c r="H23" s="6" t="s">
        <v>109</v>
      </c>
      <c r="I23" s="10" t="s">
        <v>109</v>
      </c>
      <c r="J23" s="10" t="s">
        <v>59</v>
      </c>
      <c r="K23" s="9" t="str">
        <f>"107351313"</f>
        <v>107351313</v>
      </c>
      <c r="L23" s="9" t="str">
        <f>"107351313"</f>
        <v>107351313</v>
      </c>
      <c r="M23" s="12" t="s">
        <v>496</v>
      </c>
      <c r="N23" s="8">
        <v>7.5</v>
      </c>
      <c r="O23" s="11">
        <f>IF(B23="KEEP EXISTING",N23,'Cost Review'!H23)</f>
        <v>7.5</v>
      </c>
      <c r="P23" s="8" t="str">
        <f t="shared" si="0"/>
        <v>REVIEW</v>
      </c>
      <c r="Q23" s="8">
        <v>59.99</v>
      </c>
      <c r="R23" s="11">
        <f>IF(B23="KEEP EXISTING",Q23,'Cost Review'!J23)</f>
        <v>59.99</v>
      </c>
      <c r="S23" s="6" t="str">
        <f t="shared" si="1"/>
        <v>OK</v>
      </c>
      <c r="T23" s="9" t="str">
        <f>"6971252210179"</f>
        <v>6971252210179</v>
      </c>
      <c r="U23" s="10" t="s">
        <v>527</v>
      </c>
      <c r="V23" s="6" t="str">
        <f t="shared" si="2"/>
        <v>FOUND</v>
      </c>
      <c r="W23" s="9">
        <v>10</v>
      </c>
      <c r="X23" s="9">
        <v>0</v>
      </c>
      <c r="Y23" s="6" t="str">
        <f>IF(B23="KEEP EXISTING","Already in POS",IF(O23&lt;=0,"Blocked: cost",IF(OR(R23&lt;=0,R23&gt;100000),"Blocked: retail",IF(U23="","Blocked: image",IF(Summary!$B$3="APPROVED","READY","Pending approval")))))</f>
        <v>Pending approval</v>
      </c>
      <c r="Z23" s="6" t="s">
        <v>42</v>
      </c>
    </row>
    <row r="24" spans="1:26" ht="29.25">
      <c r="A24" s="12" t="s">
        <v>110</v>
      </c>
      <c r="B24" s="6" t="s">
        <v>494</v>
      </c>
      <c r="C24" s="6"/>
      <c r="D24" s="6"/>
      <c r="E24" s="6" t="s">
        <v>504</v>
      </c>
      <c r="F24" s="6" t="s">
        <v>54</v>
      </c>
      <c r="G24" s="6" t="s">
        <v>60</v>
      </c>
      <c r="H24" s="6" t="s">
        <v>111</v>
      </c>
      <c r="I24" s="10" t="s">
        <v>111</v>
      </c>
      <c r="J24" s="10" t="s">
        <v>59</v>
      </c>
      <c r="K24" s="9" t="str">
        <f>"107341312"</f>
        <v>107341312</v>
      </c>
      <c r="L24" s="9" t="str">
        <f>"107341312"</f>
        <v>107341312</v>
      </c>
      <c r="M24" s="12" t="s">
        <v>496</v>
      </c>
      <c r="N24" s="8">
        <v>16</v>
      </c>
      <c r="O24" s="11">
        <f>IF(B24="KEEP EXISTING",N24,'Cost Review'!H24)</f>
        <v>16</v>
      </c>
      <c r="P24" s="8" t="str">
        <f t="shared" si="0"/>
        <v>REVIEW</v>
      </c>
      <c r="Q24" s="8">
        <v>99.99</v>
      </c>
      <c r="R24" s="11">
        <f>IF(B24="KEEP EXISTING",Q24,'Cost Review'!J24)</f>
        <v>99.99</v>
      </c>
      <c r="S24" s="6" t="str">
        <f t="shared" si="1"/>
        <v>OK</v>
      </c>
      <c r="T24" s="9" t="str">
        <f>"6971252210315"</f>
        <v>6971252210315</v>
      </c>
      <c r="U24" s="10" t="s">
        <v>528</v>
      </c>
      <c r="V24" s="6" t="str">
        <f t="shared" si="2"/>
        <v>FOUND</v>
      </c>
      <c r="W24" s="9">
        <v>3</v>
      </c>
      <c r="X24" s="9">
        <v>0</v>
      </c>
      <c r="Y24" s="6" t="str">
        <f>IF(B24="KEEP EXISTING","Already in POS",IF(O24&lt;=0,"Blocked: cost",IF(OR(R24&lt;=0,R24&gt;100000),"Blocked: retail",IF(U24="","Blocked: image",IF(Summary!$B$3="APPROVED","READY","Pending approval")))))</f>
        <v>Pending approval</v>
      </c>
      <c r="Z24" s="6" t="s">
        <v>85</v>
      </c>
    </row>
    <row r="25" spans="1:26" ht="29.25">
      <c r="A25" s="12" t="s">
        <v>112</v>
      </c>
      <c r="B25" s="6" t="s">
        <v>494</v>
      </c>
      <c r="C25" s="6"/>
      <c r="D25" s="6"/>
      <c r="E25" s="6" t="s">
        <v>504</v>
      </c>
      <c r="F25" s="6" t="s">
        <v>54</v>
      </c>
      <c r="G25" s="6" t="s">
        <v>60</v>
      </c>
      <c r="H25" s="6" t="s">
        <v>113</v>
      </c>
      <c r="I25" s="10" t="s">
        <v>113</v>
      </c>
      <c r="J25" s="10" t="s">
        <v>59</v>
      </c>
      <c r="K25" s="9" t="str">
        <f>"107331311"</f>
        <v>107331311</v>
      </c>
      <c r="L25" s="9" t="str">
        <f>"107331311"</f>
        <v>107331311</v>
      </c>
      <c r="M25" s="12" t="s">
        <v>496</v>
      </c>
      <c r="N25" s="8">
        <v>30</v>
      </c>
      <c r="O25" s="11">
        <f>IF(B25="KEEP EXISTING",N25,'Cost Review'!H25)</f>
        <v>30</v>
      </c>
      <c r="P25" s="8" t="str">
        <f t="shared" si="0"/>
        <v>REVIEW</v>
      </c>
      <c r="Q25" s="8">
        <v>149</v>
      </c>
      <c r="R25" s="11">
        <f>IF(B25="KEEP EXISTING",Q25,'Cost Review'!J25)</f>
        <v>149</v>
      </c>
      <c r="S25" s="6" t="str">
        <f t="shared" si="1"/>
        <v>OK</v>
      </c>
      <c r="T25" s="9" t="str">
        <f>"6971252210735"</f>
        <v>6971252210735</v>
      </c>
      <c r="U25" s="10" t="s">
        <v>529</v>
      </c>
      <c r="V25" s="6" t="str">
        <f t="shared" si="2"/>
        <v>FOUND</v>
      </c>
      <c r="W25" s="9">
        <v>1</v>
      </c>
      <c r="X25" s="9">
        <v>0</v>
      </c>
      <c r="Y25" s="6" t="str">
        <f>IF(B25="KEEP EXISTING","Already in POS",IF(O25&lt;=0,"Blocked: cost",IF(OR(R25&lt;=0,R25&gt;100000),"Blocked: retail",IF(U25="","Blocked: image",IF(Summary!$B$3="APPROVED","READY","Pending approval")))))</f>
        <v>Pending approval</v>
      </c>
      <c r="Z25" s="6" t="s">
        <v>75</v>
      </c>
    </row>
    <row r="26" spans="1:26" ht="29.25">
      <c r="A26" s="12" t="s">
        <v>114</v>
      </c>
      <c r="B26" s="6" t="s">
        <v>494</v>
      </c>
      <c r="C26" s="6"/>
      <c r="D26" s="6"/>
      <c r="E26" s="6" t="s">
        <v>504</v>
      </c>
      <c r="F26" s="6" t="s">
        <v>54</v>
      </c>
      <c r="G26" s="6" t="s">
        <v>60</v>
      </c>
      <c r="H26" s="6" t="s">
        <v>115</v>
      </c>
      <c r="I26" s="10" t="s">
        <v>115</v>
      </c>
      <c r="J26" s="10" t="s">
        <v>59</v>
      </c>
      <c r="K26" s="9" t="str">
        <f>"107321310"</f>
        <v>107321310</v>
      </c>
      <c r="L26" s="9" t="str">
        <f>"107321310"</f>
        <v>107321310</v>
      </c>
      <c r="M26" s="12" t="s">
        <v>496</v>
      </c>
      <c r="N26" s="8">
        <v>6.5</v>
      </c>
      <c r="O26" s="11">
        <f>IF(B26="KEEP EXISTING",N26,'Cost Review'!H26)</f>
        <v>6.5</v>
      </c>
      <c r="P26" s="8" t="str">
        <f t="shared" si="0"/>
        <v>REVIEW</v>
      </c>
      <c r="Q26" s="8">
        <v>54.99</v>
      </c>
      <c r="R26" s="11">
        <f>IF(B26="KEEP EXISTING",Q26,'Cost Review'!J26)</f>
        <v>54.99</v>
      </c>
      <c r="S26" s="6" t="str">
        <f t="shared" si="1"/>
        <v>OK</v>
      </c>
      <c r="T26" s="9" t="str">
        <f>"6971252215495"</f>
        <v>6971252215495</v>
      </c>
      <c r="U26" s="10" t="s">
        <v>530</v>
      </c>
      <c r="V26" s="6" t="str">
        <f t="shared" si="2"/>
        <v>FOUND</v>
      </c>
      <c r="W26" s="9">
        <v>2</v>
      </c>
      <c r="X26" s="9">
        <v>0</v>
      </c>
      <c r="Y26" s="6" t="str">
        <f>IF(B26="KEEP EXISTING","Already in POS",IF(O26&lt;=0,"Blocked: cost",IF(OR(R26&lt;=0,R26&gt;100000),"Blocked: retail",IF(U26="","Blocked: image",IF(Summary!$B$3="APPROVED","READY","Pending approval")))))</f>
        <v>Pending approval</v>
      </c>
      <c r="Z26" s="6" t="s">
        <v>56</v>
      </c>
    </row>
    <row r="27" spans="1:26" ht="29.25">
      <c r="A27" s="12" t="s">
        <v>116</v>
      </c>
      <c r="B27" s="6" t="s">
        <v>494</v>
      </c>
      <c r="C27" s="6"/>
      <c r="D27" s="6"/>
      <c r="E27" s="6" t="s">
        <v>504</v>
      </c>
      <c r="F27" s="6" t="s">
        <v>54</v>
      </c>
      <c r="G27" s="6" t="s">
        <v>60</v>
      </c>
      <c r="H27" s="6" t="s">
        <v>117</v>
      </c>
      <c r="I27" s="10" t="s">
        <v>117</v>
      </c>
      <c r="J27" s="10" t="s">
        <v>59</v>
      </c>
      <c r="K27" s="9" t="str">
        <f>"107311309"</f>
        <v>107311309</v>
      </c>
      <c r="L27" s="9" t="str">
        <f>"107311309"</f>
        <v>107311309</v>
      </c>
      <c r="M27" s="12" t="s">
        <v>496</v>
      </c>
      <c r="N27" s="8">
        <v>7.5</v>
      </c>
      <c r="O27" s="11">
        <f>IF(B27="KEEP EXISTING",N27,'Cost Review'!H27)</f>
        <v>7.5</v>
      </c>
      <c r="P27" s="8" t="str">
        <f t="shared" si="0"/>
        <v>REVIEW</v>
      </c>
      <c r="Q27" s="8">
        <v>29</v>
      </c>
      <c r="R27" s="11">
        <f>IF(B27="KEEP EXISTING",Q27,'Cost Review'!J27)</f>
        <v>29</v>
      </c>
      <c r="S27" s="6" t="str">
        <f t="shared" si="1"/>
        <v>OK</v>
      </c>
      <c r="T27" s="9" t="str">
        <f>"6971252210476"</f>
        <v>6971252210476</v>
      </c>
      <c r="U27" s="10" t="s">
        <v>531</v>
      </c>
      <c r="V27" s="6" t="str">
        <f t="shared" si="2"/>
        <v>FOUND</v>
      </c>
      <c r="W27" s="9">
        <v>0</v>
      </c>
      <c r="X27" s="9">
        <v>0</v>
      </c>
      <c r="Y27" s="6" t="str">
        <f>IF(B27="KEEP EXISTING","Already in POS",IF(O27&lt;=0,"Blocked: cost",IF(OR(R27&lt;=0,R27&gt;100000),"Blocked: retail",IF(U27="","Blocked: image",IF(Summary!$B$3="APPROVED","READY","Pending approval")))))</f>
        <v>Pending approval</v>
      </c>
      <c r="Z27" s="6"/>
    </row>
    <row r="28" spans="1:26" ht="43.5">
      <c r="A28" s="12" t="s">
        <v>118</v>
      </c>
      <c r="B28" s="6" t="s">
        <v>494</v>
      </c>
      <c r="C28" s="6"/>
      <c r="D28" s="6"/>
      <c r="E28" s="6" t="s">
        <v>532</v>
      </c>
      <c r="F28" s="6" t="s">
        <v>54</v>
      </c>
      <c r="G28" s="6" t="s">
        <v>55</v>
      </c>
      <c r="H28" s="6" t="s">
        <v>119</v>
      </c>
      <c r="I28" s="10" t="s">
        <v>119</v>
      </c>
      <c r="J28" s="10" t="s">
        <v>39</v>
      </c>
      <c r="K28" s="9" t="str">
        <f>"107221269"</f>
        <v>107221269</v>
      </c>
      <c r="L28" s="9" t="str">
        <f>"107221269"</f>
        <v>107221269</v>
      </c>
      <c r="M28" s="12" t="s">
        <v>496</v>
      </c>
      <c r="N28" s="8">
        <v>70</v>
      </c>
      <c r="O28" s="11">
        <f>IF(B28="KEEP EXISTING",N28,'Cost Review'!H28)</f>
        <v>70</v>
      </c>
      <c r="P28" s="8" t="str">
        <f t="shared" si="0"/>
        <v>REVIEW</v>
      </c>
      <c r="Q28" s="8">
        <v>99</v>
      </c>
      <c r="R28" s="11">
        <f>IF(B28="KEEP EXISTING",Q28,'Cost Review'!J28)</f>
        <v>99</v>
      </c>
      <c r="S28" s="6" t="str">
        <f t="shared" si="1"/>
        <v>OK</v>
      </c>
      <c r="T28" s="9" t="str">
        <f>"107221269"</f>
        <v>107221269</v>
      </c>
      <c r="U28" s="10" t="s">
        <v>533</v>
      </c>
      <c r="V28" s="6" t="str">
        <f t="shared" si="2"/>
        <v>FOUND</v>
      </c>
      <c r="W28" s="9">
        <v>0</v>
      </c>
      <c r="X28" s="9">
        <v>0</v>
      </c>
      <c r="Y28" s="6" t="str">
        <f>IF(B28="KEEP EXISTING","Already in POS",IF(O28&lt;=0,"Blocked: cost",IF(OR(R28&lt;=0,R28&gt;100000),"Blocked: retail",IF(U28="","Blocked: image",IF(Summary!$B$3="APPROVED","READY","Pending approval")))))</f>
        <v>Pending approval</v>
      </c>
      <c r="Z28" s="6"/>
    </row>
    <row r="29" spans="1:26" ht="43.5">
      <c r="A29" s="12" t="s">
        <v>120</v>
      </c>
      <c r="B29" s="6" t="s">
        <v>494</v>
      </c>
      <c r="C29" s="6"/>
      <c r="D29" s="6"/>
      <c r="E29" s="6" t="s">
        <v>532</v>
      </c>
      <c r="F29" s="6" t="s">
        <v>54</v>
      </c>
      <c r="G29" s="6" t="s">
        <v>55</v>
      </c>
      <c r="H29" s="6" t="s">
        <v>121</v>
      </c>
      <c r="I29" s="10" t="s">
        <v>121</v>
      </c>
      <c r="J29" s="10" t="s">
        <v>39</v>
      </c>
      <c r="K29" s="9" t="str">
        <f>"107211268"</f>
        <v>107211268</v>
      </c>
      <c r="L29" s="9" t="str">
        <f>"107211268"</f>
        <v>107211268</v>
      </c>
      <c r="M29" s="12" t="s">
        <v>496</v>
      </c>
      <c r="N29" s="8">
        <v>70</v>
      </c>
      <c r="O29" s="11">
        <f>IF(B29="KEEP EXISTING",N29,'Cost Review'!H29)</f>
        <v>70</v>
      </c>
      <c r="P29" s="8" t="str">
        <f t="shared" si="0"/>
        <v>REVIEW</v>
      </c>
      <c r="Q29" s="8">
        <v>129</v>
      </c>
      <c r="R29" s="11">
        <f>IF(B29="KEEP EXISTING",Q29,'Cost Review'!J29)</f>
        <v>129</v>
      </c>
      <c r="S29" s="6" t="str">
        <f t="shared" si="1"/>
        <v>OK</v>
      </c>
      <c r="T29" s="9" t="str">
        <f>"107211268"</f>
        <v>107211268</v>
      </c>
      <c r="U29" s="10" t="s">
        <v>534</v>
      </c>
      <c r="V29" s="6" t="str">
        <f t="shared" si="2"/>
        <v>FOUND</v>
      </c>
      <c r="W29" s="9">
        <v>0</v>
      </c>
      <c r="X29" s="9">
        <v>0</v>
      </c>
      <c r="Y29" s="6" t="str">
        <f>IF(B29="KEEP EXISTING","Already in POS",IF(O29&lt;=0,"Blocked: cost",IF(OR(R29&lt;=0,R29&gt;100000),"Blocked: retail",IF(U29="","Blocked: image",IF(Summary!$B$3="APPROVED","READY","Pending approval")))))</f>
        <v>Pending approval</v>
      </c>
      <c r="Z29" s="6"/>
    </row>
    <row r="30" spans="1:26" ht="43.5">
      <c r="A30" s="12" t="s">
        <v>122</v>
      </c>
      <c r="B30" s="6" t="s">
        <v>494</v>
      </c>
      <c r="C30" s="6"/>
      <c r="D30" s="6"/>
      <c r="E30" s="6" t="s">
        <v>535</v>
      </c>
      <c r="F30" s="6" t="s">
        <v>54</v>
      </c>
      <c r="G30" s="6" t="s">
        <v>125</v>
      </c>
      <c r="H30" s="6" t="s">
        <v>123</v>
      </c>
      <c r="I30" s="10" t="s">
        <v>123</v>
      </c>
      <c r="J30" s="10" t="s">
        <v>124</v>
      </c>
      <c r="K30" s="9" t="str">
        <f>"105541110"</f>
        <v>105541110</v>
      </c>
      <c r="L30" s="9" t="str">
        <f>"105541110"</f>
        <v>105541110</v>
      </c>
      <c r="M30" s="12" t="s">
        <v>496</v>
      </c>
      <c r="N30" s="8">
        <v>97.62</v>
      </c>
      <c r="O30" s="11">
        <f>IF(B30="KEEP EXISTING",N30,'Cost Review'!H30)</f>
        <v>97.62</v>
      </c>
      <c r="P30" s="8" t="str">
        <f t="shared" si="0"/>
        <v>REVIEW</v>
      </c>
      <c r="Q30" s="8">
        <v>139.94999999999999</v>
      </c>
      <c r="R30" s="11">
        <f>IF(B30="KEEP EXISTING",Q30,'Cost Review'!J30)</f>
        <v>139.94999999999999</v>
      </c>
      <c r="S30" s="6" t="str">
        <f t="shared" si="1"/>
        <v>OK</v>
      </c>
      <c r="T30" s="9" t="str">
        <f>"045496321413"</f>
        <v>045496321413</v>
      </c>
      <c r="U30" s="10" t="s">
        <v>536</v>
      </c>
      <c r="V30" s="6" t="str">
        <f t="shared" si="2"/>
        <v>FOUND</v>
      </c>
      <c r="W30" s="9">
        <v>0</v>
      </c>
      <c r="X30" s="9">
        <v>0</v>
      </c>
      <c r="Y30" s="6" t="str">
        <f>IF(B30="KEEP EXISTING","Already in POS",IF(O30&lt;=0,"Blocked: cost",IF(OR(R30&lt;=0,R30&gt;100000),"Blocked: retail",IF(U30="","Blocked: image",IF(Summary!$B$3="APPROVED","READY","Pending approval")))))</f>
        <v>Pending approval</v>
      </c>
      <c r="Z30" s="6"/>
    </row>
    <row r="31" spans="1:26" ht="43.5">
      <c r="A31" s="12" t="s">
        <v>126</v>
      </c>
      <c r="B31" s="6" t="s">
        <v>494</v>
      </c>
      <c r="C31" s="6"/>
      <c r="D31" s="6"/>
      <c r="E31" s="6" t="s">
        <v>535</v>
      </c>
      <c r="F31" s="6" t="s">
        <v>54</v>
      </c>
      <c r="G31" s="6" t="s">
        <v>125</v>
      </c>
      <c r="H31" s="6" t="s">
        <v>127</v>
      </c>
      <c r="I31" s="10" t="s">
        <v>127</v>
      </c>
      <c r="J31" s="10" t="s">
        <v>124</v>
      </c>
      <c r="K31" s="9" t="str">
        <f>"105531109"</f>
        <v>105531109</v>
      </c>
      <c r="L31" s="9" t="str">
        <f>"105531109"</f>
        <v>105531109</v>
      </c>
      <c r="M31" s="12" t="s">
        <v>496</v>
      </c>
      <c r="N31" s="8">
        <v>35.28</v>
      </c>
      <c r="O31" s="11">
        <f>IF(B31="KEEP EXISTING",N31,'Cost Review'!H31)</f>
        <v>35.28</v>
      </c>
      <c r="P31" s="8" t="str">
        <f t="shared" si="0"/>
        <v>REVIEW</v>
      </c>
      <c r="Q31" s="8">
        <v>54.99</v>
      </c>
      <c r="R31" s="11">
        <f>IF(B31="KEEP EXISTING",Q31,'Cost Review'!J31)</f>
        <v>54.99</v>
      </c>
      <c r="S31" s="6" t="str">
        <f t="shared" si="1"/>
        <v>OK</v>
      </c>
      <c r="T31" s="9" t="str">
        <f>"8100050913157"</f>
        <v>8100050913157</v>
      </c>
      <c r="U31" s="10" t="s">
        <v>537</v>
      </c>
      <c r="V31" s="6" t="str">
        <f t="shared" si="2"/>
        <v>FOUND</v>
      </c>
      <c r="W31" s="9">
        <v>0</v>
      </c>
      <c r="X31" s="9">
        <v>0</v>
      </c>
      <c r="Y31" s="6" t="str">
        <f>IF(B31="KEEP EXISTING","Already in POS",IF(O31&lt;=0,"Blocked: cost",IF(OR(R31&lt;=0,R31&gt;100000),"Blocked: retail",IF(U31="","Blocked: image",IF(Summary!$B$3="APPROVED","READY","Pending approval")))))</f>
        <v>Pending approval</v>
      </c>
      <c r="Z31" s="6"/>
    </row>
    <row r="32" spans="1:26" ht="43.5">
      <c r="A32" s="12" t="s">
        <v>128</v>
      </c>
      <c r="B32" s="6" t="s">
        <v>494</v>
      </c>
      <c r="C32" s="6"/>
      <c r="D32" s="6"/>
      <c r="E32" s="6" t="s">
        <v>538</v>
      </c>
      <c r="F32" s="6" t="s">
        <v>54</v>
      </c>
      <c r="G32" s="6" t="s">
        <v>55</v>
      </c>
      <c r="H32" s="6" t="s">
        <v>129</v>
      </c>
      <c r="I32" s="10" t="s">
        <v>129</v>
      </c>
      <c r="J32" s="10" t="s">
        <v>130</v>
      </c>
      <c r="K32" s="9" t="str">
        <f>"105461107"</f>
        <v>105461107</v>
      </c>
      <c r="L32" s="9" t="str">
        <f>"105461107"</f>
        <v>105461107</v>
      </c>
      <c r="M32" s="12" t="s">
        <v>496</v>
      </c>
      <c r="N32" s="8">
        <v>115</v>
      </c>
      <c r="O32" s="11">
        <f>IF(B32="KEEP EXISTING",N32,'Cost Review'!H32)</f>
        <v>115</v>
      </c>
      <c r="P32" s="8" t="str">
        <f t="shared" si="0"/>
        <v>REVIEW</v>
      </c>
      <c r="Q32" s="8">
        <v>169</v>
      </c>
      <c r="R32" s="11">
        <f>IF(B32="KEEP EXISTING",Q32,'Cost Review'!J32)</f>
        <v>169</v>
      </c>
      <c r="S32" s="6" t="str">
        <f t="shared" si="1"/>
        <v>OK</v>
      </c>
      <c r="T32" s="9" t="str">
        <f>"105461107"</f>
        <v>105461107</v>
      </c>
      <c r="U32" s="10" t="s">
        <v>539</v>
      </c>
      <c r="V32" s="6" t="str">
        <f t="shared" si="2"/>
        <v>FOUND</v>
      </c>
      <c r="W32" s="9">
        <v>0</v>
      </c>
      <c r="X32" s="9">
        <v>0</v>
      </c>
      <c r="Y32" s="6" t="str">
        <f>IF(B32="KEEP EXISTING","Already in POS",IF(O32&lt;=0,"Blocked: cost",IF(OR(R32&lt;=0,R32&gt;100000),"Blocked: retail",IF(U32="","Blocked: image",IF(Summary!$B$3="APPROVED","READY","Pending approval")))))</f>
        <v>Pending approval</v>
      </c>
      <c r="Z32" s="6"/>
    </row>
    <row r="33" spans="1:26" ht="29.25">
      <c r="A33" s="12" t="s">
        <v>131</v>
      </c>
      <c r="B33" s="6" t="s">
        <v>494</v>
      </c>
      <c r="C33" s="6"/>
      <c r="D33" s="6"/>
      <c r="E33" s="6" t="s">
        <v>538</v>
      </c>
      <c r="F33" s="6" t="s">
        <v>54</v>
      </c>
      <c r="G33" s="6" t="s">
        <v>55</v>
      </c>
      <c r="H33" s="6" t="s">
        <v>132</v>
      </c>
      <c r="I33" s="10" t="s">
        <v>132</v>
      </c>
      <c r="J33" s="10" t="s">
        <v>84</v>
      </c>
      <c r="K33" s="9" t="str">
        <f>"105451106"</f>
        <v>105451106</v>
      </c>
      <c r="L33" s="9" t="str">
        <f>"105451106"</f>
        <v>105451106</v>
      </c>
      <c r="M33" s="12" t="s">
        <v>496</v>
      </c>
      <c r="N33" s="8">
        <v>110</v>
      </c>
      <c r="O33" s="11">
        <f>IF(B33="KEEP EXISTING",N33,'Cost Review'!H33)</f>
        <v>110</v>
      </c>
      <c r="P33" s="8" t="str">
        <f t="shared" si="0"/>
        <v>REVIEW</v>
      </c>
      <c r="Q33" s="8">
        <v>165</v>
      </c>
      <c r="R33" s="11">
        <f>IF(B33="KEEP EXISTING",Q33,'Cost Review'!J33)</f>
        <v>165</v>
      </c>
      <c r="S33" s="6" t="str">
        <f t="shared" si="1"/>
        <v>OK</v>
      </c>
      <c r="T33" s="9" t="str">
        <f>"105451106"</f>
        <v>105451106</v>
      </c>
      <c r="U33" s="10"/>
      <c r="V33" s="6" t="str">
        <f t="shared" si="2"/>
        <v>MISSING</v>
      </c>
      <c r="W33" s="9">
        <v>1</v>
      </c>
      <c r="X33" s="9">
        <v>0</v>
      </c>
      <c r="Y33" s="6" t="str">
        <f>IF(B33="KEEP EXISTING","Already in POS",IF(O33&lt;=0,"Blocked: cost",IF(OR(R33&lt;=0,R33&gt;100000),"Blocked: retail",IF(U33="","Blocked: image",IF(Summary!$B$3="APPROVED","READY","Pending approval")))))</f>
        <v>Blocked: image</v>
      </c>
      <c r="Z33" s="6" t="s">
        <v>133</v>
      </c>
    </row>
    <row r="34" spans="1:26" ht="29.25">
      <c r="A34" s="12" t="s">
        <v>134</v>
      </c>
      <c r="B34" s="6" t="s">
        <v>494</v>
      </c>
      <c r="C34" s="6"/>
      <c r="D34" s="6"/>
      <c r="E34" s="6" t="s">
        <v>540</v>
      </c>
      <c r="F34" s="6" t="s">
        <v>54</v>
      </c>
      <c r="G34" s="6" t="s">
        <v>60</v>
      </c>
      <c r="H34" s="6" t="s">
        <v>135</v>
      </c>
      <c r="I34" s="10" t="s">
        <v>135</v>
      </c>
      <c r="J34" s="10" t="s">
        <v>84</v>
      </c>
      <c r="K34" s="9" t="str">
        <f>"105121088"</f>
        <v>105121088</v>
      </c>
      <c r="L34" s="9" t="str">
        <f>"105121088"</f>
        <v>105121088</v>
      </c>
      <c r="M34" s="12" t="s">
        <v>496</v>
      </c>
      <c r="N34" s="8">
        <v>40</v>
      </c>
      <c r="O34" s="11">
        <f>IF(B34="KEEP EXISTING",N34,'Cost Review'!H34)</f>
        <v>40</v>
      </c>
      <c r="P34" s="8" t="str">
        <f t="shared" ref="P34:P65" si="3">IF(B34="KEEP EXISTING","Existing",IF(O34&lt;=0,"MISSING","REVIEW"))</f>
        <v>REVIEW</v>
      </c>
      <c r="Q34" s="8">
        <v>79</v>
      </c>
      <c r="R34" s="11">
        <f>IF(B34="KEEP EXISTING",Q34,'Cost Review'!J34)</f>
        <v>79</v>
      </c>
      <c r="S34" s="6" t="str">
        <f t="shared" ref="S34:S65" si="4">IF(B34="KEEP EXISTING","Existing",IF(OR(R34&lt;=0,R34&gt;100000),"CHECK","OK"))</f>
        <v>OK</v>
      </c>
      <c r="T34" s="9" t="str">
        <f>"105121088"</f>
        <v>105121088</v>
      </c>
      <c r="U34" s="10" t="s">
        <v>541</v>
      </c>
      <c r="V34" s="6" t="str">
        <f t="shared" ref="V34:V65" si="5">IF(B34="KEEP EXISTING","Existing",IF(U34="","MISSING","FOUND"))</f>
        <v>FOUND</v>
      </c>
      <c r="W34" s="9">
        <v>0</v>
      </c>
      <c r="X34" s="9">
        <v>0</v>
      </c>
      <c r="Y34" s="6" t="str">
        <f>IF(B34="KEEP EXISTING","Already in POS",IF(O34&lt;=0,"Blocked: cost",IF(OR(R34&lt;=0,R34&gt;100000),"Blocked: retail",IF(U34="","Blocked: image",IF(Summary!$B$3="APPROVED","READY","Pending approval")))))</f>
        <v>Pending approval</v>
      </c>
      <c r="Z34" s="6"/>
    </row>
    <row r="35" spans="1:26" ht="29.25">
      <c r="A35" s="12" t="s">
        <v>136</v>
      </c>
      <c r="B35" s="6" t="s">
        <v>494</v>
      </c>
      <c r="C35" s="6"/>
      <c r="D35" s="6"/>
      <c r="E35" s="6" t="s">
        <v>522</v>
      </c>
      <c r="F35" s="6" t="s">
        <v>54</v>
      </c>
      <c r="G35" s="6" t="s">
        <v>60</v>
      </c>
      <c r="H35" s="6" t="s">
        <v>137</v>
      </c>
      <c r="I35" s="10" t="s">
        <v>137</v>
      </c>
      <c r="J35" s="10" t="s">
        <v>138</v>
      </c>
      <c r="K35" s="9" t="str">
        <f>"103200041029"</f>
        <v>103200041029</v>
      </c>
      <c r="L35" s="9" t="str">
        <f>"103200041029"</f>
        <v>103200041029</v>
      </c>
      <c r="M35" s="12" t="s">
        <v>496</v>
      </c>
      <c r="N35" s="8">
        <v>3.9</v>
      </c>
      <c r="O35" s="11">
        <f>IF(B35="KEEP EXISTING",N35,'Cost Review'!H35)</f>
        <v>3.9</v>
      </c>
      <c r="P35" s="8" t="str">
        <f t="shared" si="3"/>
        <v>REVIEW</v>
      </c>
      <c r="Q35" s="8">
        <v>15.99</v>
      </c>
      <c r="R35" s="11">
        <f>IF(B35="KEEP EXISTING",Q35,'Cost Review'!J35)</f>
        <v>15.99</v>
      </c>
      <c r="S35" s="6" t="str">
        <f t="shared" si="4"/>
        <v>OK</v>
      </c>
      <c r="T35" s="9" t="str">
        <f>"103200041029"</f>
        <v>103200041029</v>
      </c>
      <c r="U35" s="10" t="s">
        <v>542</v>
      </c>
      <c r="V35" s="6" t="str">
        <f t="shared" si="5"/>
        <v>FOUND</v>
      </c>
      <c r="W35" s="9">
        <v>35</v>
      </c>
      <c r="X35" s="9">
        <v>0</v>
      </c>
      <c r="Y35" s="6" t="str">
        <f>IF(B35="KEEP EXISTING","Already in POS",IF(O35&lt;=0,"Blocked: cost",IF(OR(R35&lt;=0,R35&gt;100000),"Blocked: retail",IF(U35="","Blocked: image",IF(Summary!$B$3="APPROVED","READY","Pending approval")))))</f>
        <v>Pending approval</v>
      </c>
      <c r="Z35" s="6" t="s">
        <v>139</v>
      </c>
    </row>
    <row r="36" spans="1:26" ht="43.5">
      <c r="A36" s="12" t="s">
        <v>140</v>
      </c>
      <c r="B36" s="6" t="s">
        <v>494</v>
      </c>
      <c r="C36" s="6"/>
      <c r="D36" s="6"/>
      <c r="E36" s="6" t="s">
        <v>532</v>
      </c>
      <c r="F36" s="6" t="s">
        <v>54</v>
      </c>
      <c r="G36" s="6" t="s">
        <v>55</v>
      </c>
      <c r="H36" s="6" t="s">
        <v>141</v>
      </c>
      <c r="I36" s="10" t="s">
        <v>141</v>
      </c>
      <c r="J36" s="10" t="s">
        <v>39</v>
      </c>
      <c r="K36" s="9" t="str">
        <f>"1026860"</f>
        <v>1026860</v>
      </c>
      <c r="L36" s="9" t="str">
        <f>"TM8-COMP-10319"</f>
        <v>TM8-COMP-10319</v>
      </c>
      <c r="M36" s="12" t="s">
        <v>543</v>
      </c>
      <c r="N36" s="8">
        <v>0</v>
      </c>
      <c r="O36" s="11">
        <f>IF(B36="KEEP EXISTING",N36,'Cost Review'!H36)</f>
        <v>0</v>
      </c>
      <c r="P36" s="8" t="str">
        <f t="shared" si="3"/>
        <v>MISSING</v>
      </c>
      <c r="Q36" s="8">
        <v>0</v>
      </c>
      <c r="R36" s="11">
        <f>IF(B36="KEEP EXISTING",Q36,'Cost Review'!J36)</f>
        <v>0</v>
      </c>
      <c r="S36" s="6" t="str">
        <f t="shared" si="4"/>
        <v>CHECK</v>
      </c>
      <c r="T36" s="9" t="str">
        <f>"2998000103198"</f>
        <v>2998000103198</v>
      </c>
      <c r="U36" s="10" t="s">
        <v>544</v>
      </c>
      <c r="V36" s="6" t="str">
        <f t="shared" si="5"/>
        <v>FOUND</v>
      </c>
      <c r="W36" s="9">
        <v>0</v>
      </c>
      <c r="X36" s="9">
        <v>0</v>
      </c>
      <c r="Y36" s="6" t="str">
        <f>IF(B36="KEEP EXISTING","Already in POS",IF(O36&lt;=0,"Blocked: cost",IF(OR(R36&lt;=0,R36&gt;100000),"Blocked: retail",IF(U36="","Blocked: image",IF(Summary!$B$3="APPROVED","READY","Pending approval")))))</f>
        <v>Blocked: cost</v>
      </c>
      <c r="Z36" s="6" t="s">
        <v>142</v>
      </c>
    </row>
    <row r="37" spans="1:26" ht="43.5">
      <c r="A37" s="12" t="s">
        <v>143</v>
      </c>
      <c r="B37" s="6" t="s">
        <v>494</v>
      </c>
      <c r="C37" s="6"/>
      <c r="D37" s="6"/>
      <c r="E37" s="6" t="s">
        <v>532</v>
      </c>
      <c r="F37" s="6" t="s">
        <v>54</v>
      </c>
      <c r="G37" s="6" t="s">
        <v>55</v>
      </c>
      <c r="H37" s="6" t="s">
        <v>144</v>
      </c>
      <c r="I37" s="10" t="s">
        <v>144</v>
      </c>
      <c r="J37" s="10" t="s">
        <v>39</v>
      </c>
      <c r="K37" s="9" t="str">
        <f>"1026860"</f>
        <v>1026860</v>
      </c>
      <c r="L37" s="9" t="str">
        <f>"TM8-COMP-10318"</f>
        <v>TM8-COMP-10318</v>
      </c>
      <c r="M37" s="12" t="s">
        <v>543</v>
      </c>
      <c r="N37" s="8">
        <v>0</v>
      </c>
      <c r="O37" s="11">
        <f>IF(B37="KEEP EXISTING",N37,'Cost Review'!H37)</f>
        <v>0</v>
      </c>
      <c r="P37" s="8" t="str">
        <f t="shared" si="3"/>
        <v>MISSING</v>
      </c>
      <c r="Q37" s="8">
        <v>0</v>
      </c>
      <c r="R37" s="11">
        <f>IF(B37="KEEP EXISTING",Q37,'Cost Review'!J37)</f>
        <v>0</v>
      </c>
      <c r="S37" s="6" t="str">
        <f t="shared" si="4"/>
        <v>CHECK</v>
      </c>
      <c r="T37" s="9" t="str">
        <f>"2998000103181"</f>
        <v>2998000103181</v>
      </c>
      <c r="U37" s="10" t="s">
        <v>545</v>
      </c>
      <c r="V37" s="6" t="str">
        <f t="shared" si="5"/>
        <v>FOUND</v>
      </c>
      <c r="W37" s="9">
        <v>0</v>
      </c>
      <c r="X37" s="9">
        <v>0</v>
      </c>
      <c r="Y37" s="6" t="str">
        <f>IF(B37="KEEP EXISTING","Already in POS",IF(O37&lt;=0,"Blocked: cost",IF(OR(R37&lt;=0,R37&gt;100000),"Blocked: retail",IF(U37="","Blocked: image",IF(Summary!$B$3="APPROVED","READY","Pending approval")))))</f>
        <v>Blocked: cost</v>
      </c>
      <c r="Z37" s="6" t="s">
        <v>142</v>
      </c>
    </row>
    <row r="38" spans="1:26" ht="43.5">
      <c r="A38" s="12" t="s">
        <v>145</v>
      </c>
      <c r="B38" s="6" t="s">
        <v>494</v>
      </c>
      <c r="C38" s="6"/>
      <c r="D38" s="6"/>
      <c r="E38" s="6" t="s">
        <v>532</v>
      </c>
      <c r="F38" s="6" t="s">
        <v>54</v>
      </c>
      <c r="G38" s="6" t="s">
        <v>55</v>
      </c>
      <c r="H38" s="6" t="s">
        <v>146</v>
      </c>
      <c r="I38" s="10" t="s">
        <v>146</v>
      </c>
      <c r="J38" s="10" t="s">
        <v>39</v>
      </c>
      <c r="K38" s="9" t="str">
        <f>"1026860"</f>
        <v>1026860</v>
      </c>
      <c r="L38" s="9" t="str">
        <f>"TM8-COMP-10317"</f>
        <v>TM8-COMP-10317</v>
      </c>
      <c r="M38" s="12" t="s">
        <v>543</v>
      </c>
      <c r="N38" s="8">
        <v>0</v>
      </c>
      <c r="O38" s="11">
        <f>IF(B38="KEEP EXISTING",N38,'Cost Review'!H38)</f>
        <v>0</v>
      </c>
      <c r="P38" s="8" t="str">
        <f t="shared" si="3"/>
        <v>MISSING</v>
      </c>
      <c r="Q38" s="8">
        <v>0</v>
      </c>
      <c r="R38" s="11">
        <f>IF(B38="KEEP EXISTING",Q38,'Cost Review'!J38)</f>
        <v>0</v>
      </c>
      <c r="S38" s="6" t="str">
        <f t="shared" si="4"/>
        <v>CHECK</v>
      </c>
      <c r="T38" s="9" t="str">
        <f>"2998000103174"</f>
        <v>2998000103174</v>
      </c>
      <c r="U38" s="10" t="s">
        <v>546</v>
      </c>
      <c r="V38" s="6" t="str">
        <f t="shared" si="5"/>
        <v>FOUND</v>
      </c>
      <c r="W38" s="9">
        <v>0</v>
      </c>
      <c r="X38" s="9">
        <v>0</v>
      </c>
      <c r="Y38" s="6" t="str">
        <f>IF(B38="KEEP EXISTING","Already in POS",IF(O38&lt;=0,"Blocked: cost",IF(OR(R38&lt;=0,R38&gt;100000),"Blocked: retail",IF(U38="","Blocked: image",IF(Summary!$B$3="APPROVED","READY","Pending approval")))))</f>
        <v>Blocked: cost</v>
      </c>
      <c r="Z38" s="6" t="s">
        <v>142</v>
      </c>
    </row>
    <row r="39" spans="1:26" ht="43.5">
      <c r="A39" s="12" t="s">
        <v>147</v>
      </c>
      <c r="B39" s="6" t="s">
        <v>494</v>
      </c>
      <c r="C39" s="6"/>
      <c r="D39" s="6"/>
      <c r="E39" s="6" t="s">
        <v>515</v>
      </c>
      <c r="F39" s="6" t="s">
        <v>54</v>
      </c>
      <c r="G39" s="6" t="s">
        <v>55</v>
      </c>
      <c r="H39" s="6" t="s">
        <v>148</v>
      </c>
      <c r="I39" s="10" t="s">
        <v>148</v>
      </c>
      <c r="J39" s="10" t="s">
        <v>149</v>
      </c>
      <c r="K39" s="9" t="str">
        <f>"964912"</f>
        <v>964912</v>
      </c>
      <c r="L39" s="9" t="str">
        <f>"TM8-COMP-10300"</f>
        <v>TM8-COMP-10300</v>
      </c>
      <c r="M39" s="12" t="s">
        <v>543</v>
      </c>
      <c r="N39" s="8">
        <v>39.5</v>
      </c>
      <c r="O39" s="11">
        <f>IF(B39="KEEP EXISTING",N39,'Cost Review'!H39)</f>
        <v>39.5</v>
      </c>
      <c r="P39" s="8" t="str">
        <f t="shared" si="3"/>
        <v>REVIEW</v>
      </c>
      <c r="Q39" s="8">
        <v>25</v>
      </c>
      <c r="R39" s="11">
        <f>IF(B39="KEEP EXISTING",Q39,'Cost Review'!J39)</f>
        <v>25</v>
      </c>
      <c r="S39" s="6" t="str">
        <f t="shared" si="4"/>
        <v>OK</v>
      </c>
      <c r="T39" s="9" t="str">
        <f>"6928968321675"</f>
        <v>6928968321675</v>
      </c>
      <c r="U39" s="10" t="s">
        <v>547</v>
      </c>
      <c r="V39" s="6" t="str">
        <f t="shared" si="5"/>
        <v>FOUND</v>
      </c>
      <c r="W39" s="9">
        <v>0</v>
      </c>
      <c r="X39" s="9">
        <v>0</v>
      </c>
      <c r="Y39" s="6" t="str">
        <f>IF(B39="KEEP EXISTING","Already in POS",IF(O39&lt;=0,"Blocked: cost",IF(OR(R39&lt;=0,R39&gt;100000),"Blocked: retail",IF(U39="","Blocked: image",IF(Summary!$B$3="APPROVED","READY","Pending approval")))))</f>
        <v>Pending approval</v>
      </c>
      <c r="Z39" s="6"/>
    </row>
    <row r="40" spans="1:26" ht="43.5">
      <c r="A40" s="12" t="s">
        <v>150</v>
      </c>
      <c r="B40" s="6" t="s">
        <v>494</v>
      </c>
      <c r="C40" s="6"/>
      <c r="D40" s="6"/>
      <c r="E40" s="6" t="s">
        <v>548</v>
      </c>
      <c r="F40" s="6" t="s">
        <v>54</v>
      </c>
      <c r="G40" s="6" t="s">
        <v>60</v>
      </c>
      <c r="H40" s="6" t="s">
        <v>151</v>
      </c>
      <c r="I40" s="10" t="s">
        <v>151</v>
      </c>
      <c r="J40" s="10" t="s">
        <v>39</v>
      </c>
      <c r="K40" s="9" t="str">
        <f>"77"</f>
        <v>77</v>
      </c>
      <c r="L40" s="9" t="str">
        <f>"TM8-COMP-10299"</f>
        <v>TM8-COMP-10299</v>
      </c>
      <c r="M40" s="12" t="s">
        <v>549</v>
      </c>
      <c r="N40" s="8">
        <v>35</v>
      </c>
      <c r="O40" s="11">
        <f>IF(B40="KEEP EXISTING",N40,'Cost Review'!H40)</f>
        <v>35</v>
      </c>
      <c r="P40" s="8" t="str">
        <f t="shared" si="3"/>
        <v>REVIEW</v>
      </c>
      <c r="Q40" s="8">
        <v>109</v>
      </c>
      <c r="R40" s="11">
        <f>IF(B40="KEEP EXISTING",Q40,'Cost Review'!J40)</f>
        <v>109</v>
      </c>
      <c r="S40" s="6" t="str">
        <f t="shared" si="4"/>
        <v>OK</v>
      </c>
      <c r="T40" s="9" t="str">
        <f>"6925758630535"</f>
        <v>6925758630535</v>
      </c>
      <c r="U40" s="10" t="s">
        <v>550</v>
      </c>
      <c r="V40" s="6" t="str">
        <f t="shared" si="5"/>
        <v>FOUND</v>
      </c>
      <c r="W40" s="9">
        <v>0</v>
      </c>
      <c r="X40" s="9">
        <v>0</v>
      </c>
      <c r="Y40" s="6" t="str">
        <f>IF(B40="KEEP EXISTING","Already in POS",IF(O40&lt;=0,"Blocked: cost",IF(OR(R40&lt;=0,R40&gt;100000),"Blocked: retail",IF(U40="","Blocked: image",IF(Summary!$B$3="APPROVED","READY","Pending approval")))))</f>
        <v>Pending approval</v>
      </c>
      <c r="Z40" s="6"/>
    </row>
    <row r="41" spans="1:26" ht="43.5">
      <c r="A41" s="12" t="s">
        <v>152</v>
      </c>
      <c r="B41" s="6" t="s">
        <v>494</v>
      </c>
      <c r="C41" s="6"/>
      <c r="D41" s="6"/>
      <c r="E41" s="6" t="s">
        <v>515</v>
      </c>
      <c r="F41" s="6" t="s">
        <v>54</v>
      </c>
      <c r="G41" s="6" t="s">
        <v>55</v>
      </c>
      <c r="H41" s="6" t="s">
        <v>153</v>
      </c>
      <c r="I41" s="10" t="s">
        <v>153</v>
      </c>
      <c r="J41" s="10" t="s">
        <v>149</v>
      </c>
      <c r="K41" s="9" t="str">
        <f>"1004132"</f>
        <v>1004132</v>
      </c>
      <c r="L41" s="9" t="str">
        <f>"TM8-COMP-10298"</f>
        <v>TM8-COMP-10298</v>
      </c>
      <c r="M41" s="12" t="s">
        <v>543</v>
      </c>
      <c r="N41" s="8">
        <v>70</v>
      </c>
      <c r="O41" s="11">
        <f>IF(B41="KEEP EXISTING",N41,'Cost Review'!H41)</f>
        <v>70</v>
      </c>
      <c r="P41" s="8" t="str">
        <f t="shared" si="3"/>
        <v>REVIEW</v>
      </c>
      <c r="Q41" s="8">
        <v>129</v>
      </c>
      <c r="R41" s="11">
        <f>IF(B41="KEEP EXISTING",Q41,'Cost Review'!J41)</f>
        <v>129</v>
      </c>
      <c r="S41" s="6" t="str">
        <f t="shared" si="4"/>
        <v>OK</v>
      </c>
      <c r="T41" s="9" t="str">
        <f>"6928968318477"</f>
        <v>6928968318477</v>
      </c>
      <c r="U41" s="10" t="s">
        <v>551</v>
      </c>
      <c r="V41" s="6" t="str">
        <f t="shared" si="5"/>
        <v>FOUND</v>
      </c>
      <c r="W41" s="9">
        <v>1</v>
      </c>
      <c r="X41" s="9">
        <v>0</v>
      </c>
      <c r="Y41" s="6" t="str">
        <f>IF(B41="KEEP EXISTING","Already in POS",IF(O41&lt;=0,"Blocked: cost",IF(OR(R41&lt;=0,R41&gt;100000),"Blocked: retail",IF(U41="","Blocked: image",IF(Summary!$B$3="APPROVED","READY","Pending approval")))))</f>
        <v>Pending approval</v>
      </c>
      <c r="Z41" s="6" t="s">
        <v>75</v>
      </c>
    </row>
    <row r="42" spans="1:26" ht="43.5">
      <c r="A42" s="12" t="s">
        <v>154</v>
      </c>
      <c r="B42" s="6" t="s">
        <v>494</v>
      </c>
      <c r="C42" s="6"/>
      <c r="D42" s="6"/>
      <c r="E42" s="6" t="s">
        <v>515</v>
      </c>
      <c r="F42" s="6" t="s">
        <v>54</v>
      </c>
      <c r="G42" s="6" t="s">
        <v>55</v>
      </c>
      <c r="H42" s="6" t="s">
        <v>155</v>
      </c>
      <c r="I42" s="10" t="s">
        <v>155</v>
      </c>
      <c r="J42" s="10" t="s">
        <v>149</v>
      </c>
      <c r="K42" s="9" t="str">
        <f>"1004132"</f>
        <v>1004132</v>
      </c>
      <c r="L42" s="9" t="str">
        <f>"TM8-COMP-10297"</f>
        <v>TM8-COMP-10297</v>
      </c>
      <c r="M42" s="12" t="s">
        <v>543</v>
      </c>
      <c r="N42" s="8">
        <v>60</v>
      </c>
      <c r="O42" s="11">
        <f>IF(B42="KEEP EXISTING",N42,'Cost Review'!H42)</f>
        <v>60</v>
      </c>
      <c r="P42" s="8" t="str">
        <f t="shared" si="3"/>
        <v>REVIEW</v>
      </c>
      <c r="Q42" s="8">
        <v>99</v>
      </c>
      <c r="R42" s="11">
        <f>IF(B42="KEEP EXISTING",Q42,'Cost Review'!J42)</f>
        <v>99</v>
      </c>
      <c r="S42" s="6" t="str">
        <f t="shared" si="4"/>
        <v>OK</v>
      </c>
      <c r="T42" s="9" t="str">
        <f>"6928968319108"</f>
        <v>6928968319108</v>
      </c>
      <c r="U42" s="10" t="s">
        <v>552</v>
      </c>
      <c r="V42" s="6" t="str">
        <f t="shared" si="5"/>
        <v>FOUND</v>
      </c>
      <c r="W42" s="9">
        <v>0</v>
      </c>
      <c r="X42" s="9">
        <v>0</v>
      </c>
      <c r="Y42" s="6" t="str">
        <f>IF(B42="KEEP EXISTING","Already in POS",IF(O42&lt;=0,"Blocked: cost",IF(OR(R42&lt;=0,R42&gt;100000),"Blocked: retail",IF(U42="","Blocked: image",IF(Summary!$B$3="APPROVED","READY","Pending approval")))))</f>
        <v>Pending approval</v>
      </c>
      <c r="Z42" s="6"/>
    </row>
    <row r="43" spans="1:26" ht="43.5">
      <c r="A43" s="12" t="s">
        <v>156</v>
      </c>
      <c r="B43" s="6" t="s">
        <v>494</v>
      </c>
      <c r="C43" s="6"/>
      <c r="D43" s="6"/>
      <c r="E43" s="6" t="s">
        <v>515</v>
      </c>
      <c r="F43" s="6" t="s">
        <v>54</v>
      </c>
      <c r="G43" s="6" t="s">
        <v>55</v>
      </c>
      <c r="H43" s="6" t="s">
        <v>157</v>
      </c>
      <c r="I43" s="10" t="s">
        <v>157</v>
      </c>
      <c r="J43" s="10" t="s">
        <v>149</v>
      </c>
      <c r="K43" s="9" t="str">
        <f>"1004132"</f>
        <v>1004132</v>
      </c>
      <c r="L43" s="9" t="str">
        <f>"TM8-COMP-10296"</f>
        <v>TM8-COMP-10296</v>
      </c>
      <c r="M43" s="12" t="s">
        <v>543</v>
      </c>
      <c r="N43" s="8">
        <v>70</v>
      </c>
      <c r="O43" s="11">
        <f>IF(B43="KEEP EXISTING",N43,'Cost Review'!H43)</f>
        <v>70</v>
      </c>
      <c r="P43" s="8" t="str">
        <f t="shared" si="3"/>
        <v>REVIEW</v>
      </c>
      <c r="Q43" s="8">
        <v>129</v>
      </c>
      <c r="R43" s="11">
        <f>IF(B43="KEEP EXISTING",Q43,'Cost Review'!J43)</f>
        <v>129</v>
      </c>
      <c r="S43" s="6" t="str">
        <f t="shared" si="4"/>
        <v>OK</v>
      </c>
      <c r="T43" s="9" t="str">
        <f>"6928968318460"</f>
        <v>6928968318460</v>
      </c>
      <c r="U43" s="10" t="s">
        <v>553</v>
      </c>
      <c r="V43" s="6" t="str">
        <f t="shared" si="5"/>
        <v>FOUND</v>
      </c>
      <c r="W43" s="9">
        <v>1</v>
      </c>
      <c r="X43" s="9">
        <v>0</v>
      </c>
      <c r="Y43" s="6" t="str">
        <f>IF(B43="KEEP EXISTING","Already in POS",IF(O43&lt;=0,"Blocked: cost",IF(OR(R43&lt;=0,R43&gt;100000),"Blocked: retail",IF(U43="","Blocked: image",IF(Summary!$B$3="APPROVED","READY","Pending approval")))))</f>
        <v>Pending approval</v>
      </c>
      <c r="Z43" s="6" t="s">
        <v>75</v>
      </c>
    </row>
    <row r="44" spans="1:26" ht="43.5">
      <c r="A44" s="12" t="s">
        <v>158</v>
      </c>
      <c r="B44" s="6" t="s">
        <v>494</v>
      </c>
      <c r="C44" s="6"/>
      <c r="D44" s="6"/>
      <c r="E44" s="6" t="s">
        <v>515</v>
      </c>
      <c r="F44" s="6" t="s">
        <v>54</v>
      </c>
      <c r="G44" s="6" t="s">
        <v>55</v>
      </c>
      <c r="H44" s="6" t="s">
        <v>159</v>
      </c>
      <c r="I44" s="10" t="s">
        <v>159</v>
      </c>
      <c r="J44" s="10" t="s">
        <v>160</v>
      </c>
      <c r="K44" s="9" t="str">
        <f>"964912"</f>
        <v>964912</v>
      </c>
      <c r="L44" s="9" t="str">
        <f>"TM8-COMP-10295"</f>
        <v>TM8-COMP-10295</v>
      </c>
      <c r="M44" s="12" t="s">
        <v>543</v>
      </c>
      <c r="N44" s="8">
        <v>3</v>
      </c>
      <c r="O44" s="11">
        <f>IF(B44="KEEP EXISTING",N44,'Cost Review'!H44)</f>
        <v>3</v>
      </c>
      <c r="P44" s="8" t="str">
        <f t="shared" si="3"/>
        <v>REVIEW</v>
      </c>
      <c r="Q44" s="8">
        <v>12.99</v>
      </c>
      <c r="R44" s="11">
        <f>IF(B44="KEEP EXISTING",Q44,'Cost Review'!J44)</f>
        <v>12.99</v>
      </c>
      <c r="S44" s="6" t="str">
        <f t="shared" si="4"/>
        <v>OK</v>
      </c>
      <c r="T44" s="9" t="str">
        <f>"814256002738"</f>
        <v>814256002738</v>
      </c>
      <c r="U44" s="10" t="s">
        <v>554</v>
      </c>
      <c r="V44" s="6" t="str">
        <f t="shared" si="5"/>
        <v>FOUND</v>
      </c>
      <c r="W44" s="9">
        <v>-3</v>
      </c>
      <c r="X44" s="9">
        <v>0</v>
      </c>
      <c r="Y44" s="6" t="str">
        <f>IF(B44="KEEP EXISTING","Already in POS",IF(O44&lt;=0,"Blocked: cost",IF(OR(R44&lt;=0,R44&gt;100000),"Blocked: retail",IF(U44="","Blocked: image",IF(Summary!$B$3="APPROVED","READY","Pending approval")))))</f>
        <v>Pending approval</v>
      </c>
      <c r="Z44" s="6" t="s">
        <v>161</v>
      </c>
    </row>
    <row r="45" spans="1:26" ht="29.25">
      <c r="A45" s="12" t="s">
        <v>162</v>
      </c>
      <c r="B45" s="6" t="s">
        <v>494</v>
      </c>
      <c r="C45" s="6"/>
      <c r="D45" s="6"/>
      <c r="E45" s="6" t="s">
        <v>555</v>
      </c>
      <c r="F45" s="6" t="s">
        <v>54</v>
      </c>
      <c r="G45" s="6" t="s">
        <v>165</v>
      </c>
      <c r="H45" s="6" t="s">
        <v>163</v>
      </c>
      <c r="I45" s="10" t="s">
        <v>163</v>
      </c>
      <c r="J45" s="10" t="s">
        <v>164</v>
      </c>
      <c r="K45" s="9" t="str">
        <f t="shared" ref="K45:K50" si="6">"77"</f>
        <v>77</v>
      </c>
      <c r="L45" s="9" t="str">
        <f>"TM8-COMP-10294"</f>
        <v>TM8-COMP-10294</v>
      </c>
      <c r="M45" s="12" t="s">
        <v>549</v>
      </c>
      <c r="N45" s="8">
        <v>460</v>
      </c>
      <c r="O45" s="11">
        <f>IF(B45="KEEP EXISTING",N45,'Cost Review'!H45)</f>
        <v>460</v>
      </c>
      <c r="P45" s="8" t="str">
        <f t="shared" si="3"/>
        <v>REVIEW</v>
      </c>
      <c r="Q45" s="8">
        <v>729</v>
      </c>
      <c r="R45" s="11">
        <f>IF(B45="KEEP EXISTING",Q45,'Cost Review'!J45)</f>
        <v>729</v>
      </c>
      <c r="S45" s="6" t="str">
        <f t="shared" si="4"/>
        <v>OK</v>
      </c>
      <c r="T45" s="9" t="str">
        <f>"850062761216"</f>
        <v>850062761216</v>
      </c>
      <c r="U45" s="10" t="s">
        <v>556</v>
      </c>
      <c r="V45" s="6" t="str">
        <f t="shared" si="5"/>
        <v>FOUND</v>
      </c>
      <c r="W45" s="9">
        <v>1</v>
      </c>
      <c r="X45" s="9">
        <v>0</v>
      </c>
      <c r="Y45" s="6" t="str">
        <f>IF(B45="KEEP EXISTING","Already in POS",IF(O45&lt;=0,"Blocked: cost",IF(OR(R45&lt;=0,R45&gt;100000),"Blocked: retail",IF(U45="","Blocked: image",IF(Summary!$B$3="APPROVED","READY","Pending approval")))))</f>
        <v>Pending approval</v>
      </c>
      <c r="Z45" s="6" t="s">
        <v>75</v>
      </c>
    </row>
    <row r="46" spans="1:26" ht="29.25">
      <c r="A46" s="12" t="s">
        <v>166</v>
      </c>
      <c r="B46" s="6" t="s">
        <v>494</v>
      </c>
      <c r="C46" s="6"/>
      <c r="D46" s="6"/>
      <c r="E46" s="6" t="s">
        <v>555</v>
      </c>
      <c r="F46" s="6" t="s">
        <v>54</v>
      </c>
      <c r="G46" s="6" t="s">
        <v>165</v>
      </c>
      <c r="H46" s="6" t="s">
        <v>167</v>
      </c>
      <c r="I46" s="10" t="s">
        <v>167</v>
      </c>
      <c r="J46" s="10" t="s">
        <v>164</v>
      </c>
      <c r="K46" s="9" t="str">
        <f t="shared" si="6"/>
        <v>77</v>
      </c>
      <c r="L46" s="9" t="str">
        <f>"TM8-COMP-10293"</f>
        <v>TM8-COMP-10293</v>
      </c>
      <c r="M46" s="12" t="s">
        <v>549</v>
      </c>
      <c r="N46" s="8">
        <v>150</v>
      </c>
      <c r="O46" s="11">
        <f>IF(B46="KEEP EXISTING",N46,'Cost Review'!H46)</f>
        <v>150</v>
      </c>
      <c r="P46" s="8" t="str">
        <f t="shared" si="3"/>
        <v>REVIEW</v>
      </c>
      <c r="Q46" s="8">
        <v>299</v>
      </c>
      <c r="R46" s="11">
        <f>IF(B46="KEEP EXISTING",Q46,'Cost Review'!J46)</f>
        <v>299</v>
      </c>
      <c r="S46" s="6" t="str">
        <f t="shared" si="4"/>
        <v>OK</v>
      </c>
      <c r="T46" s="9" t="str">
        <f>"850062761148"</f>
        <v>850062761148</v>
      </c>
      <c r="U46" s="10" t="s">
        <v>557</v>
      </c>
      <c r="V46" s="6" t="str">
        <f t="shared" si="5"/>
        <v>FOUND</v>
      </c>
      <c r="W46" s="9">
        <v>0</v>
      </c>
      <c r="X46" s="9">
        <v>0</v>
      </c>
      <c r="Y46" s="6" t="str">
        <f>IF(B46="KEEP EXISTING","Already in POS",IF(O46&lt;=0,"Blocked: cost",IF(OR(R46&lt;=0,R46&gt;100000),"Blocked: retail",IF(U46="","Blocked: image",IF(Summary!$B$3="APPROVED","READY","Pending approval")))))</f>
        <v>Pending approval</v>
      </c>
      <c r="Z46" s="6"/>
    </row>
    <row r="47" spans="1:26" ht="29.25">
      <c r="A47" s="12" t="s">
        <v>168</v>
      </c>
      <c r="B47" s="6" t="s">
        <v>494</v>
      </c>
      <c r="C47" s="6"/>
      <c r="D47" s="6"/>
      <c r="E47" s="6" t="s">
        <v>555</v>
      </c>
      <c r="F47" s="6" t="s">
        <v>54</v>
      </c>
      <c r="G47" s="6" t="s">
        <v>165</v>
      </c>
      <c r="H47" s="6" t="s">
        <v>169</v>
      </c>
      <c r="I47" s="10" t="s">
        <v>169</v>
      </c>
      <c r="J47" s="10" t="s">
        <v>164</v>
      </c>
      <c r="K47" s="9" t="str">
        <f t="shared" si="6"/>
        <v>77</v>
      </c>
      <c r="L47" s="9" t="str">
        <f>"TM8-COMP-10292"</f>
        <v>TM8-COMP-10292</v>
      </c>
      <c r="M47" s="12" t="s">
        <v>549</v>
      </c>
      <c r="N47" s="8">
        <v>600</v>
      </c>
      <c r="O47" s="11">
        <f>IF(B47="KEEP EXISTING",N47,'Cost Review'!H47)</f>
        <v>600</v>
      </c>
      <c r="P47" s="8" t="str">
        <f t="shared" si="3"/>
        <v>REVIEW</v>
      </c>
      <c r="Q47" s="8">
        <v>999999999</v>
      </c>
      <c r="R47" s="11">
        <f>IF(B47="KEEP EXISTING",Q47,'Cost Review'!J47)</f>
        <v>999999999</v>
      </c>
      <c r="S47" s="6" t="str">
        <f t="shared" si="4"/>
        <v>CHECK</v>
      </c>
      <c r="T47" s="9" t="str">
        <f>"850062761575"</f>
        <v>850062761575</v>
      </c>
      <c r="U47" s="10" t="s">
        <v>558</v>
      </c>
      <c r="V47" s="6" t="str">
        <f t="shared" si="5"/>
        <v>FOUND</v>
      </c>
      <c r="W47" s="9">
        <v>0</v>
      </c>
      <c r="X47" s="9">
        <v>0</v>
      </c>
      <c r="Y47" s="6" t="str">
        <f>IF(B47="KEEP EXISTING","Already in POS",IF(O47&lt;=0,"Blocked: cost",IF(OR(R47&lt;=0,R47&gt;100000),"Blocked: retail",IF(U47="","Blocked: image",IF(Summary!$B$3="APPROVED","READY","Pending approval")))))</f>
        <v>Blocked: retail</v>
      </c>
      <c r="Z47" s="6" t="s">
        <v>170</v>
      </c>
    </row>
    <row r="48" spans="1:26" ht="29.25">
      <c r="A48" s="12" t="s">
        <v>171</v>
      </c>
      <c r="B48" s="6" t="s">
        <v>494</v>
      </c>
      <c r="C48" s="6"/>
      <c r="D48" s="6"/>
      <c r="E48" s="6" t="s">
        <v>555</v>
      </c>
      <c r="F48" s="6" t="s">
        <v>54</v>
      </c>
      <c r="G48" s="6" t="s">
        <v>165</v>
      </c>
      <c r="H48" s="6" t="s">
        <v>172</v>
      </c>
      <c r="I48" s="10" t="s">
        <v>172</v>
      </c>
      <c r="J48" s="10" t="s">
        <v>164</v>
      </c>
      <c r="K48" s="9" t="str">
        <f t="shared" si="6"/>
        <v>77</v>
      </c>
      <c r="L48" s="9" t="str">
        <f>"TM8-COMP-10290"</f>
        <v>TM8-COMP-10290</v>
      </c>
      <c r="M48" s="12" t="s">
        <v>549</v>
      </c>
      <c r="N48" s="8">
        <v>600</v>
      </c>
      <c r="O48" s="11">
        <f>IF(B48="KEEP EXISTING",N48,'Cost Review'!H48)</f>
        <v>600</v>
      </c>
      <c r="P48" s="8" t="str">
        <f t="shared" si="3"/>
        <v>REVIEW</v>
      </c>
      <c r="Q48" s="8">
        <v>899</v>
      </c>
      <c r="R48" s="11">
        <f>IF(B48="KEEP EXISTING",Q48,'Cost Review'!J48)</f>
        <v>899</v>
      </c>
      <c r="S48" s="6" t="str">
        <f t="shared" si="4"/>
        <v>OK</v>
      </c>
      <c r="T48" s="9" t="str">
        <f>"850062761681"</f>
        <v>850062761681</v>
      </c>
      <c r="U48" s="10" t="s">
        <v>559</v>
      </c>
      <c r="V48" s="6" t="str">
        <f t="shared" si="5"/>
        <v>FOUND</v>
      </c>
      <c r="W48" s="9">
        <v>0</v>
      </c>
      <c r="X48" s="9">
        <v>0</v>
      </c>
      <c r="Y48" s="6" t="str">
        <f>IF(B48="KEEP EXISTING","Already in POS",IF(O48&lt;=0,"Blocked: cost",IF(OR(R48&lt;=0,R48&gt;100000),"Blocked: retail",IF(U48="","Blocked: image",IF(Summary!$B$3="APPROVED","READY","Pending approval")))))</f>
        <v>Pending approval</v>
      </c>
      <c r="Z48" s="6"/>
    </row>
    <row r="49" spans="1:26" ht="29.25">
      <c r="A49" s="12" t="s">
        <v>173</v>
      </c>
      <c r="B49" s="6" t="s">
        <v>494</v>
      </c>
      <c r="C49" s="6"/>
      <c r="D49" s="6"/>
      <c r="E49" s="6" t="s">
        <v>555</v>
      </c>
      <c r="F49" s="6" t="s">
        <v>54</v>
      </c>
      <c r="G49" s="6" t="s">
        <v>165</v>
      </c>
      <c r="H49" s="6" t="s">
        <v>174</v>
      </c>
      <c r="I49" s="10" t="s">
        <v>174</v>
      </c>
      <c r="J49" s="10" t="s">
        <v>164</v>
      </c>
      <c r="K49" s="9" t="str">
        <f t="shared" si="6"/>
        <v>77</v>
      </c>
      <c r="L49" s="9" t="str">
        <f>"TM8-COMP-10289"</f>
        <v>TM8-COMP-10289</v>
      </c>
      <c r="M49" s="12" t="s">
        <v>549</v>
      </c>
      <c r="N49" s="8">
        <v>476.82</v>
      </c>
      <c r="O49" s="11">
        <f>IF(B49="KEEP EXISTING",N49,'Cost Review'!H49)</f>
        <v>476.82</v>
      </c>
      <c r="P49" s="8" t="str">
        <f t="shared" si="3"/>
        <v>REVIEW</v>
      </c>
      <c r="Q49" s="8">
        <v>729</v>
      </c>
      <c r="R49" s="11">
        <f>IF(B49="KEEP EXISTING",Q49,'Cost Review'!J49)</f>
        <v>729</v>
      </c>
      <c r="S49" s="6" t="str">
        <f t="shared" si="4"/>
        <v>OK</v>
      </c>
      <c r="T49" s="9" t="str">
        <f>"850062761674"</f>
        <v>850062761674</v>
      </c>
      <c r="U49" s="10" t="s">
        <v>560</v>
      </c>
      <c r="V49" s="6" t="str">
        <f t="shared" si="5"/>
        <v>FOUND</v>
      </c>
      <c r="W49" s="9">
        <v>0</v>
      </c>
      <c r="X49" s="9">
        <v>0</v>
      </c>
      <c r="Y49" s="6" t="str">
        <f>IF(B49="KEEP EXISTING","Already in POS",IF(O49&lt;=0,"Blocked: cost",IF(OR(R49&lt;=0,R49&gt;100000),"Blocked: retail",IF(U49="","Blocked: image",IF(Summary!$B$3="APPROVED","READY","Pending approval")))))</f>
        <v>Pending approval</v>
      </c>
      <c r="Z49" s="6"/>
    </row>
    <row r="50" spans="1:26" ht="29.25">
      <c r="A50" s="12" t="s">
        <v>175</v>
      </c>
      <c r="B50" s="6" t="s">
        <v>494</v>
      </c>
      <c r="C50" s="6"/>
      <c r="D50" s="6"/>
      <c r="E50" s="6" t="s">
        <v>555</v>
      </c>
      <c r="F50" s="6" t="s">
        <v>54</v>
      </c>
      <c r="G50" s="6" t="s">
        <v>165</v>
      </c>
      <c r="H50" s="6" t="s">
        <v>176</v>
      </c>
      <c r="I50" s="10" t="s">
        <v>176</v>
      </c>
      <c r="J50" s="10" t="s">
        <v>164</v>
      </c>
      <c r="K50" s="9" t="str">
        <f t="shared" si="6"/>
        <v>77</v>
      </c>
      <c r="L50" s="9" t="str">
        <f>"TM8-COMP-10288"</f>
        <v>TM8-COMP-10288</v>
      </c>
      <c r="M50" s="12" t="s">
        <v>549</v>
      </c>
      <c r="N50" s="8">
        <v>434.15</v>
      </c>
      <c r="O50" s="11">
        <f>IF(B50="KEEP EXISTING",N50,'Cost Review'!H50)</f>
        <v>434.15</v>
      </c>
      <c r="P50" s="8" t="str">
        <f t="shared" si="3"/>
        <v>REVIEW</v>
      </c>
      <c r="Q50" s="8">
        <v>799</v>
      </c>
      <c r="R50" s="11">
        <f>IF(B50="KEEP EXISTING",Q50,'Cost Review'!J50)</f>
        <v>799</v>
      </c>
      <c r="S50" s="6" t="str">
        <f t="shared" si="4"/>
        <v>OK</v>
      </c>
      <c r="T50" s="9" t="str">
        <f>"850062761063"</f>
        <v>850062761063</v>
      </c>
      <c r="U50" s="10" t="s">
        <v>561</v>
      </c>
      <c r="V50" s="6" t="str">
        <f t="shared" si="5"/>
        <v>FOUND</v>
      </c>
      <c r="W50" s="9">
        <v>0</v>
      </c>
      <c r="X50" s="9">
        <v>0</v>
      </c>
      <c r="Y50" s="6" t="str">
        <f>IF(B50="KEEP EXISTING","Already in POS",IF(O50&lt;=0,"Blocked: cost",IF(OR(R50&lt;=0,R50&gt;100000),"Blocked: retail",IF(U50="","Blocked: image",IF(Summary!$B$3="APPROVED","READY","Pending approval")))))</f>
        <v>Pending approval</v>
      </c>
      <c r="Z50" s="6"/>
    </row>
    <row r="51" spans="1:26" ht="29.25">
      <c r="A51" s="12" t="s">
        <v>177</v>
      </c>
      <c r="B51" s="6" t="s">
        <v>494</v>
      </c>
      <c r="C51" s="6"/>
      <c r="D51" s="6"/>
      <c r="E51" s="6" t="s">
        <v>555</v>
      </c>
      <c r="F51" s="6" t="s">
        <v>54</v>
      </c>
      <c r="G51" s="6" t="s">
        <v>165</v>
      </c>
      <c r="H51" s="6" t="s">
        <v>178</v>
      </c>
      <c r="I51" s="10" t="s">
        <v>178</v>
      </c>
      <c r="J51" s="10" t="s">
        <v>164</v>
      </c>
      <c r="K51" s="9" t="str">
        <f>"1018954"</f>
        <v>1018954</v>
      </c>
      <c r="L51" s="9" t="str">
        <f>"TM8-COMP-10287"</f>
        <v>TM8-COMP-10287</v>
      </c>
      <c r="M51" s="12" t="s">
        <v>543</v>
      </c>
      <c r="N51" s="8">
        <v>544.03</v>
      </c>
      <c r="O51" s="11">
        <f>IF(B51="KEEP EXISTING",N51,'Cost Review'!H51)</f>
        <v>544.03</v>
      </c>
      <c r="P51" s="8" t="str">
        <f t="shared" si="3"/>
        <v>REVIEW</v>
      </c>
      <c r="Q51" s="8">
        <v>799</v>
      </c>
      <c r="R51" s="11">
        <f>IF(B51="KEEP EXISTING",Q51,'Cost Review'!J51)</f>
        <v>799</v>
      </c>
      <c r="S51" s="6" t="str">
        <f t="shared" si="4"/>
        <v>OK</v>
      </c>
      <c r="T51" s="9" t="str">
        <f>"850062761070"</f>
        <v>850062761070</v>
      </c>
      <c r="U51" s="10" t="s">
        <v>562</v>
      </c>
      <c r="V51" s="6" t="str">
        <f t="shared" si="5"/>
        <v>FOUND</v>
      </c>
      <c r="W51" s="9">
        <v>0</v>
      </c>
      <c r="X51" s="9">
        <v>0</v>
      </c>
      <c r="Y51" s="6" t="str">
        <f>IF(B51="KEEP EXISTING","Already in POS",IF(O51&lt;=0,"Blocked: cost",IF(OR(R51&lt;=0,R51&gt;100000),"Blocked: retail",IF(U51="","Blocked: image",IF(Summary!$B$3="APPROVED","READY","Pending approval")))))</f>
        <v>Pending approval</v>
      </c>
      <c r="Z51" s="6"/>
    </row>
    <row r="52" spans="1:26" ht="43.5">
      <c r="A52" s="12" t="s">
        <v>179</v>
      </c>
      <c r="B52" s="6" t="s">
        <v>494</v>
      </c>
      <c r="C52" s="6"/>
      <c r="D52" s="6"/>
      <c r="E52" s="6" t="s">
        <v>532</v>
      </c>
      <c r="F52" s="6" t="s">
        <v>54</v>
      </c>
      <c r="G52" s="6" t="s">
        <v>55</v>
      </c>
      <c r="H52" s="6" t="s">
        <v>180</v>
      </c>
      <c r="I52" s="10" t="s">
        <v>180</v>
      </c>
      <c r="J52" s="10" t="s">
        <v>39</v>
      </c>
      <c r="K52" s="9" t="str">
        <f>"1026860"</f>
        <v>1026860</v>
      </c>
      <c r="L52" s="9" t="str">
        <f>"TM8-COMP-10268"</f>
        <v>TM8-COMP-10268</v>
      </c>
      <c r="M52" s="12" t="s">
        <v>543</v>
      </c>
      <c r="N52" s="8">
        <v>79</v>
      </c>
      <c r="O52" s="11">
        <f>IF(B52="KEEP EXISTING",N52,'Cost Review'!H52)</f>
        <v>79</v>
      </c>
      <c r="P52" s="8" t="str">
        <f t="shared" si="3"/>
        <v>REVIEW</v>
      </c>
      <c r="Q52" s="8">
        <v>399</v>
      </c>
      <c r="R52" s="11">
        <f>IF(B52="KEEP EXISTING",Q52,'Cost Review'!J52)</f>
        <v>399</v>
      </c>
      <c r="S52" s="6" t="str">
        <f t="shared" si="4"/>
        <v>OK</v>
      </c>
      <c r="T52" s="9" t="str">
        <f>"2998000102689"</f>
        <v>2998000102689</v>
      </c>
      <c r="U52" s="10" t="s">
        <v>563</v>
      </c>
      <c r="V52" s="6" t="str">
        <f t="shared" si="5"/>
        <v>FOUND</v>
      </c>
      <c r="W52" s="9">
        <v>0</v>
      </c>
      <c r="X52" s="9">
        <v>0</v>
      </c>
      <c r="Y52" s="6" t="str">
        <f>IF(B52="KEEP EXISTING","Already in POS",IF(O52&lt;=0,"Blocked: cost",IF(OR(R52&lt;=0,R52&gt;100000),"Blocked: retail",IF(U52="","Blocked: image",IF(Summary!$B$3="APPROVED","READY","Pending approval")))))</f>
        <v>Pending approval</v>
      </c>
      <c r="Z52" s="6"/>
    </row>
    <row r="53" spans="1:26" ht="29.25">
      <c r="A53" s="12" t="s">
        <v>181</v>
      </c>
      <c r="B53" s="6" t="s">
        <v>494</v>
      </c>
      <c r="C53" s="6"/>
      <c r="D53" s="6"/>
      <c r="E53" s="6" t="s">
        <v>495</v>
      </c>
      <c r="F53" s="6" t="s">
        <v>40</v>
      </c>
      <c r="G53" s="6" t="s">
        <v>41</v>
      </c>
      <c r="H53" s="6" t="s">
        <v>182</v>
      </c>
      <c r="I53" s="10" t="s">
        <v>182</v>
      </c>
      <c r="J53" s="10" t="s">
        <v>39</v>
      </c>
      <c r="K53" s="9" t="str">
        <f>"642410771325"</f>
        <v>642410771325</v>
      </c>
      <c r="L53" s="9" t="str">
        <f>"TM8-COMP-10203"</f>
        <v>TM8-COMP-10203</v>
      </c>
      <c r="M53" s="12" t="s">
        <v>543</v>
      </c>
      <c r="N53" s="8">
        <v>6</v>
      </c>
      <c r="O53" s="11">
        <f>IF(B53="KEEP EXISTING",N53,'Cost Review'!H53)</f>
        <v>6</v>
      </c>
      <c r="P53" s="8" t="str">
        <f t="shared" si="3"/>
        <v>REVIEW</v>
      </c>
      <c r="Q53" s="8">
        <v>35</v>
      </c>
      <c r="R53" s="11">
        <f>IF(B53="KEEP EXISTING",Q53,'Cost Review'!J53)</f>
        <v>35</v>
      </c>
      <c r="S53" s="6" t="str">
        <f t="shared" si="4"/>
        <v>OK</v>
      </c>
      <c r="T53" s="9" t="str">
        <f>"2998000102030"</f>
        <v>2998000102030</v>
      </c>
      <c r="U53" s="10" t="s">
        <v>564</v>
      </c>
      <c r="V53" s="6" t="str">
        <f t="shared" si="5"/>
        <v>FOUND</v>
      </c>
      <c r="W53" s="9">
        <v>1</v>
      </c>
      <c r="X53" s="9">
        <v>0</v>
      </c>
      <c r="Y53" s="6" t="str">
        <f>IF(B53="KEEP EXISTING","Already in POS",IF(O53&lt;=0,"Blocked: cost",IF(OR(R53&lt;=0,R53&gt;100000),"Blocked: retail",IF(U53="","Blocked: image",IF(Summary!$B$3="APPROVED","READY","Pending approval")))))</f>
        <v>Pending approval</v>
      </c>
      <c r="Z53" s="6" t="s">
        <v>75</v>
      </c>
    </row>
    <row r="54" spans="1:26" ht="29.25">
      <c r="A54" s="12" t="s">
        <v>183</v>
      </c>
      <c r="B54" s="6" t="s">
        <v>494</v>
      </c>
      <c r="C54" s="6"/>
      <c r="D54" s="6"/>
      <c r="E54" s="6" t="s">
        <v>565</v>
      </c>
      <c r="F54" s="6" t="s">
        <v>54</v>
      </c>
      <c r="G54" s="6" t="s">
        <v>55</v>
      </c>
      <c r="H54" s="6" t="s">
        <v>184</v>
      </c>
      <c r="I54" s="10" t="s">
        <v>184</v>
      </c>
      <c r="J54" s="10" t="s">
        <v>185</v>
      </c>
      <c r="K54" s="9" t="str">
        <f>"1020156"</f>
        <v>1020156</v>
      </c>
      <c r="L54" s="9" t="str">
        <f>"TM8-COMP-10202"</f>
        <v>TM8-COMP-10202</v>
      </c>
      <c r="M54" s="12" t="s">
        <v>543</v>
      </c>
      <c r="N54" s="8">
        <v>3</v>
      </c>
      <c r="O54" s="11">
        <f>IF(B54="KEEP EXISTING",N54,'Cost Review'!H54)</f>
        <v>3</v>
      </c>
      <c r="P54" s="8" t="str">
        <f t="shared" si="3"/>
        <v>REVIEW</v>
      </c>
      <c r="Q54" s="8">
        <v>19</v>
      </c>
      <c r="R54" s="11">
        <f>IF(B54="KEEP EXISTING",Q54,'Cost Review'!J54)</f>
        <v>19</v>
      </c>
      <c r="S54" s="6" t="str">
        <f t="shared" si="4"/>
        <v>OK</v>
      </c>
      <c r="T54" s="9" t="str">
        <f>"2998000102023"</f>
        <v>2998000102023</v>
      </c>
      <c r="U54" s="10" t="s">
        <v>566</v>
      </c>
      <c r="V54" s="6" t="str">
        <f t="shared" si="5"/>
        <v>FOUND</v>
      </c>
      <c r="W54" s="9">
        <v>0</v>
      </c>
      <c r="X54" s="9">
        <v>0</v>
      </c>
      <c r="Y54" s="6" t="str">
        <f>IF(B54="KEEP EXISTING","Already in POS",IF(O54&lt;=0,"Blocked: cost",IF(OR(R54&lt;=0,R54&gt;100000),"Blocked: retail",IF(U54="","Blocked: image",IF(Summary!$B$3="APPROVED","READY","Pending approval")))))</f>
        <v>Pending approval</v>
      </c>
      <c r="Z54" s="6"/>
    </row>
    <row r="55" spans="1:26" ht="29.25">
      <c r="A55" s="12" t="s">
        <v>186</v>
      </c>
      <c r="B55" s="6" t="s">
        <v>494</v>
      </c>
      <c r="C55" s="6"/>
      <c r="D55" s="6"/>
      <c r="E55" s="6" t="s">
        <v>565</v>
      </c>
      <c r="F55" s="6" t="s">
        <v>54</v>
      </c>
      <c r="G55" s="6" t="s">
        <v>55</v>
      </c>
      <c r="H55" s="6" t="s">
        <v>187</v>
      </c>
      <c r="I55" s="10" t="s">
        <v>187</v>
      </c>
      <c r="J55" s="10" t="s">
        <v>185</v>
      </c>
      <c r="K55" s="9" t="str">
        <f>"1020156"</f>
        <v>1020156</v>
      </c>
      <c r="L55" s="9" t="str">
        <f>"TM8-COMP-10201"</f>
        <v>TM8-COMP-10201</v>
      </c>
      <c r="M55" s="12" t="s">
        <v>543</v>
      </c>
      <c r="N55" s="8">
        <v>3</v>
      </c>
      <c r="O55" s="11">
        <f>IF(B55="KEEP EXISTING",N55,'Cost Review'!H55)</f>
        <v>3</v>
      </c>
      <c r="P55" s="8" t="str">
        <f t="shared" si="3"/>
        <v>REVIEW</v>
      </c>
      <c r="Q55" s="8">
        <v>19</v>
      </c>
      <c r="R55" s="11">
        <f>IF(B55="KEEP EXISTING",Q55,'Cost Review'!J55)</f>
        <v>19</v>
      </c>
      <c r="S55" s="6" t="str">
        <f t="shared" si="4"/>
        <v>OK</v>
      </c>
      <c r="T55" s="9" t="str">
        <f>"2998000102016"</f>
        <v>2998000102016</v>
      </c>
      <c r="U55" s="10" t="s">
        <v>567</v>
      </c>
      <c r="V55" s="6" t="str">
        <f t="shared" si="5"/>
        <v>FOUND</v>
      </c>
      <c r="W55" s="9">
        <v>0</v>
      </c>
      <c r="X55" s="9">
        <v>0</v>
      </c>
      <c r="Y55" s="6" t="str">
        <f>IF(B55="KEEP EXISTING","Already in POS",IF(O55&lt;=0,"Blocked: cost",IF(OR(R55&lt;=0,R55&gt;100000),"Blocked: retail",IF(U55="","Blocked: image",IF(Summary!$B$3="APPROVED","READY","Pending approval")))))</f>
        <v>Pending approval</v>
      </c>
      <c r="Z55" s="6"/>
    </row>
    <row r="56" spans="1:26" ht="43.5">
      <c r="A56" s="12" t="s">
        <v>188</v>
      </c>
      <c r="B56" s="6" t="s">
        <v>494</v>
      </c>
      <c r="C56" s="6"/>
      <c r="D56" s="6"/>
      <c r="E56" s="6" t="s">
        <v>565</v>
      </c>
      <c r="F56" s="6" t="s">
        <v>54</v>
      </c>
      <c r="G56" s="6" t="s">
        <v>55</v>
      </c>
      <c r="H56" s="6" t="s">
        <v>189</v>
      </c>
      <c r="I56" s="10" t="s">
        <v>189</v>
      </c>
      <c r="J56" s="10" t="s">
        <v>185</v>
      </c>
      <c r="K56" s="9" t="str">
        <f>"cn0024060410"</f>
        <v>cn0024060410</v>
      </c>
      <c r="L56" s="9" t="str">
        <f>"TM8-COMP-10200"</f>
        <v>TM8-COMP-10200</v>
      </c>
      <c r="M56" s="12" t="s">
        <v>543</v>
      </c>
      <c r="N56" s="8">
        <v>10</v>
      </c>
      <c r="O56" s="11">
        <f>IF(B56="KEEP EXISTING",N56,'Cost Review'!H56)</f>
        <v>10</v>
      </c>
      <c r="P56" s="8" t="str">
        <f t="shared" si="3"/>
        <v>REVIEW</v>
      </c>
      <c r="Q56" s="8">
        <v>49</v>
      </c>
      <c r="R56" s="11">
        <f>IF(B56="KEEP EXISTING",Q56,'Cost Review'!J56)</f>
        <v>49</v>
      </c>
      <c r="S56" s="6" t="str">
        <f t="shared" si="4"/>
        <v>OK</v>
      </c>
      <c r="T56" s="9" t="str">
        <f>"2998000102009"</f>
        <v>2998000102009</v>
      </c>
      <c r="U56" s="10" t="s">
        <v>568</v>
      </c>
      <c r="V56" s="6" t="str">
        <f t="shared" si="5"/>
        <v>FOUND</v>
      </c>
      <c r="W56" s="9">
        <v>0</v>
      </c>
      <c r="X56" s="9">
        <v>0</v>
      </c>
      <c r="Y56" s="6" t="str">
        <f>IF(B56="KEEP EXISTING","Already in POS",IF(O56&lt;=0,"Blocked: cost",IF(OR(R56&lt;=0,R56&gt;100000),"Blocked: retail",IF(U56="","Blocked: image",IF(Summary!$B$3="APPROVED","READY","Pending approval")))))</f>
        <v>Pending approval</v>
      </c>
      <c r="Z56" s="6"/>
    </row>
    <row r="57" spans="1:26" ht="29.25">
      <c r="A57" s="12" t="s">
        <v>190</v>
      </c>
      <c r="B57" s="6" t="s">
        <v>494</v>
      </c>
      <c r="C57" s="6"/>
      <c r="D57" s="6"/>
      <c r="E57" s="6" t="s">
        <v>565</v>
      </c>
      <c r="F57" s="6" t="s">
        <v>54</v>
      </c>
      <c r="G57" s="6" t="s">
        <v>55</v>
      </c>
      <c r="H57" s="6" t="s">
        <v>191</v>
      </c>
      <c r="I57" s="10" t="s">
        <v>191</v>
      </c>
      <c r="J57" s="10" t="s">
        <v>185</v>
      </c>
      <c r="K57" s="9" t="str">
        <f>"cn0024060410"</f>
        <v>cn0024060410</v>
      </c>
      <c r="L57" s="9" t="str">
        <f>"TM8-COMP-10199"</f>
        <v>TM8-COMP-10199</v>
      </c>
      <c r="M57" s="12" t="s">
        <v>543</v>
      </c>
      <c r="N57" s="8">
        <v>10</v>
      </c>
      <c r="O57" s="11">
        <f>IF(B57="KEEP EXISTING",N57,'Cost Review'!H57)</f>
        <v>10</v>
      </c>
      <c r="P57" s="8" t="str">
        <f t="shared" si="3"/>
        <v>REVIEW</v>
      </c>
      <c r="Q57" s="8">
        <v>49</v>
      </c>
      <c r="R57" s="11">
        <f>IF(B57="KEEP EXISTING",Q57,'Cost Review'!J57)</f>
        <v>49</v>
      </c>
      <c r="S57" s="6" t="str">
        <f t="shared" si="4"/>
        <v>OK</v>
      </c>
      <c r="T57" s="9" t="str">
        <f>"2998000101996"</f>
        <v>2998000101996</v>
      </c>
      <c r="U57" s="10" t="s">
        <v>569</v>
      </c>
      <c r="V57" s="6" t="str">
        <f t="shared" si="5"/>
        <v>FOUND</v>
      </c>
      <c r="W57" s="9">
        <v>0</v>
      </c>
      <c r="X57" s="9">
        <v>0</v>
      </c>
      <c r="Y57" s="6" t="str">
        <f>IF(B57="KEEP EXISTING","Already in POS",IF(O57&lt;=0,"Blocked: cost",IF(OR(R57&lt;=0,R57&gt;100000),"Blocked: retail",IF(U57="","Blocked: image",IF(Summary!$B$3="APPROVED","READY","Pending approval")))))</f>
        <v>Pending approval</v>
      </c>
      <c r="Z57" s="6"/>
    </row>
    <row r="58" spans="1:26" ht="29.25">
      <c r="A58" s="12" t="s">
        <v>192</v>
      </c>
      <c r="B58" s="6" t="s">
        <v>494</v>
      </c>
      <c r="C58" s="6"/>
      <c r="D58" s="6"/>
      <c r="E58" s="6" t="s">
        <v>555</v>
      </c>
      <c r="F58" s="6" t="s">
        <v>54</v>
      </c>
      <c r="G58" s="6" t="s">
        <v>165</v>
      </c>
      <c r="H58" s="6" t="s">
        <v>193</v>
      </c>
      <c r="I58" s="10" t="s">
        <v>193</v>
      </c>
      <c r="J58" s="10" t="s">
        <v>164</v>
      </c>
      <c r="K58" s="9" t="str">
        <f t="shared" ref="K58:K64" si="7">"1018954"</f>
        <v>1018954</v>
      </c>
      <c r="L58" s="9" t="str">
        <f>"TM8-COMP-10196"</f>
        <v>TM8-COMP-10196</v>
      </c>
      <c r="M58" s="12" t="s">
        <v>543</v>
      </c>
      <c r="N58" s="8">
        <v>218.15</v>
      </c>
      <c r="O58" s="11">
        <f>IF(B58="KEEP EXISTING",N58,'Cost Review'!H58)</f>
        <v>218.15</v>
      </c>
      <c r="P58" s="8" t="str">
        <f t="shared" si="3"/>
        <v>REVIEW</v>
      </c>
      <c r="Q58" s="8">
        <v>299</v>
      </c>
      <c r="R58" s="11">
        <f>IF(B58="KEEP EXISTING",Q58,'Cost Review'!J58)</f>
        <v>299</v>
      </c>
      <c r="S58" s="6" t="str">
        <f t="shared" si="4"/>
        <v>OK</v>
      </c>
      <c r="T58" s="9" t="str">
        <f>"2998000101965"</f>
        <v>2998000101965</v>
      </c>
      <c r="U58" s="10" t="s">
        <v>570</v>
      </c>
      <c r="V58" s="6" t="str">
        <f t="shared" si="5"/>
        <v>FOUND</v>
      </c>
      <c r="W58" s="9">
        <v>1</v>
      </c>
      <c r="X58" s="9">
        <v>0</v>
      </c>
      <c r="Y58" s="6" t="str">
        <f>IF(B58="KEEP EXISTING","Already in POS",IF(O58&lt;=0,"Blocked: cost",IF(OR(R58&lt;=0,R58&gt;100000),"Blocked: retail",IF(U58="","Blocked: image",IF(Summary!$B$3="APPROVED","READY","Pending approval")))))</f>
        <v>Pending approval</v>
      </c>
      <c r="Z58" s="6" t="s">
        <v>75</v>
      </c>
    </row>
    <row r="59" spans="1:26" ht="29.25">
      <c r="A59" s="12" t="s">
        <v>194</v>
      </c>
      <c r="B59" s="6" t="s">
        <v>494</v>
      </c>
      <c r="C59" s="6"/>
      <c r="D59" s="6"/>
      <c r="E59" s="6" t="s">
        <v>555</v>
      </c>
      <c r="F59" s="6" t="s">
        <v>54</v>
      </c>
      <c r="G59" s="6" t="s">
        <v>165</v>
      </c>
      <c r="H59" s="6" t="s">
        <v>195</v>
      </c>
      <c r="I59" s="10" t="s">
        <v>195</v>
      </c>
      <c r="J59" s="10" t="s">
        <v>164</v>
      </c>
      <c r="K59" s="9" t="str">
        <f t="shared" si="7"/>
        <v>1018954</v>
      </c>
      <c r="L59" s="9" t="str">
        <f>"TM8-COMP-10194"</f>
        <v>TM8-COMP-10194</v>
      </c>
      <c r="M59" s="12" t="s">
        <v>543</v>
      </c>
      <c r="N59" s="8">
        <v>68.150000000000006</v>
      </c>
      <c r="O59" s="11">
        <f>IF(B59="KEEP EXISTING",N59,'Cost Review'!H59)</f>
        <v>68.150000000000006</v>
      </c>
      <c r="P59" s="8" t="str">
        <f t="shared" si="3"/>
        <v>REVIEW</v>
      </c>
      <c r="Q59" s="8">
        <v>99.95</v>
      </c>
      <c r="R59" s="11">
        <f>IF(B59="KEEP EXISTING",Q59,'Cost Review'!J59)</f>
        <v>99.95</v>
      </c>
      <c r="S59" s="6" t="str">
        <f t="shared" si="4"/>
        <v>OK</v>
      </c>
      <c r="T59" s="9" t="str">
        <f>"2998000101941"</f>
        <v>2998000101941</v>
      </c>
      <c r="U59" s="10" t="s">
        <v>571</v>
      </c>
      <c r="V59" s="6" t="str">
        <f t="shared" si="5"/>
        <v>FOUND</v>
      </c>
      <c r="W59" s="9">
        <v>0</v>
      </c>
      <c r="X59" s="9">
        <v>0</v>
      </c>
      <c r="Y59" s="6" t="str">
        <f>IF(B59="KEEP EXISTING","Already in POS",IF(O59&lt;=0,"Blocked: cost",IF(OR(R59&lt;=0,R59&gt;100000),"Blocked: retail",IF(U59="","Blocked: image",IF(Summary!$B$3="APPROVED","READY","Pending approval")))))</f>
        <v>Pending approval</v>
      </c>
      <c r="Z59" s="6"/>
    </row>
    <row r="60" spans="1:26" ht="29.25">
      <c r="A60" s="12" t="s">
        <v>196</v>
      </c>
      <c r="B60" s="6" t="s">
        <v>494</v>
      </c>
      <c r="C60" s="6"/>
      <c r="D60" s="6"/>
      <c r="E60" s="6" t="s">
        <v>555</v>
      </c>
      <c r="F60" s="6" t="s">
        <v>54</v>
      </c>
      <c r="G60" s="6" t="s">
        <v>165</v>
      </c>
      <c r="H60" s="6" t="s">
        <v>197</v>
      </c>
      <c r="I60" s="10" t="s">
        <v>197</v>
      </c>
      <c r="J60" s="10" t="s">
        <v>164</v>
      </c>
      <c r="K60" s="9" t="str">
        <f t="shared" si="7"/>
        <v>1018954</v>
      </c>
      <c r="L60" s="9" t="str">
        <f>"TM8-COMP-10193"</f>
        <v>TM8-COMP-10193</v>
      </c>
      <c r="M60" s="12" t="s">
        <v>543</v>
      </c>
      <c r="N60" s="8">
        <v>270.42</v>
      </c>
      <c r="O60" s="11">
        <f>IF(B60="KEEP EXISTING",N60,'Cost Review'!H60)</f>
        <v>270.42</v>
      </c>
      <c r="P60" s="8" t="str">
        <f t="shared" si="3"/>
        <v>REVIEW</v>
      </c>
      <c r="Q60" s="8">
        <v>349</v>
      </c>
      <c r="R60" s="11">
        <f>IF(B60="KEEP EXISTING",Q60,'Cost Review'!J60)</f>
        <v>349</v>
      </c>
      <c r="S60" s="6" t="str">
        <f t="shared" si="4"/>
        <v>OK</v>
      </c>
      <c r="T60" s="9" t="str">
        <f>"2998000101934"</f>
        <v>2998000101934</v>
      </c>
      <c r="U60" s="10" t="s">
        <v>572</v>
      </c>
      <c r="V60" s="6" t="str">
        <f t="shared" si="5"/>
        <v>FOUND</v>
      </c>
      <c r="W60" s="9">
        <v>0</v>
      </c>
      <c r="X60" s="9">
        <v>0</v>
      </c>
      <c r="Y60" s="6" t="str">
        <f>IF(B60="KEEP EXISTING","Already in POS",IF(O60&lt;=0,"Blocked: cost",IF(OR(R60&lt;=0,R60&gt;100000),"Blocked: retail",IF(U60="","Blocked: image",IF(Summary!$B$3="APPROVED","READY","Pending approval")))))</f>
        <v>Pending approval</v>
      </c>
      <c r="Z60" s="6"/>
    </row>
    <row r="61" spans="1:26" ht="29.25">
      <c r="A61" s="12" t="s">
        <v>198</v>
      </c>
      <c r="B61" s="6" t="s">
        <v>494</v>
      </c>
      <c r="C61" s="6"/>
      <c r="D61" s="6"/>
      <c r="E61" s="6" t="s">
        <v>555</v>
      </c>
      <c r="F61" s="6" t="s">
        <v>54</v>
      </c>
      <c r="G61" s="6" t="s">
        <v>165</v>
      </c>
      <c r="H61" s="6" t="s">
        <v>199</v>
      </c>
      <c r="I61" s="10" t="s">
        <v>199</v>
      </c>
      <c r="J61" s="10" t="s">
        <v>164</v>
      </c>
      <c r="K61" s="9" t="str">
        <f t="shared" si="7"/>
        <v>1018954</v>
      </c>
      <c r="L61" s="9" t="str">
        <f>"TM8-COMP-10192"</f>
        <v>TM8-COMP-10192</v>
      </c>
      <c r="M61" s="12" t="s">
        <v>543</v>
      </c>
      <c r="N61" s="8">
        <v>136.33000000000001</v>
      </c>
      <c r="O61" s="11">
        <f>IF(B61="KEEP EXISTING",N61,'Cost Review'!H61)</f>
        <v>136.33000000000001</v>
      </c>
      <c r="P61" s="8" t="str">
        <f t="shared" si="3"/>
        <v>REVIEW</v>
      </c>
      <c r="Q61" s="8">
        <v>199</v>
      </c>
      <c r="R61" s="11">
        <f>IF(B61="KEEP EXISTING",Q61,'Cost Review'!J61)</f>
        <v>199</v>
      </c>
      <c r="S61" s="6" t="str">
        <f t="shared" si="4"/>
        <v>OK</v>
      </c>
      <c r="T61" s="9" t="str">
        <f>"2998000101927"</f>
        <v>2998000101927</v>
      </c>
      <c r="U61" s="10" t="s">
        <v>573</v>
      </c>
      <c r="V61" s="6" t="str">
        <f t="shared" si="5"/>
        <v>FOUND</v>
      </c>
      <c r="W61" s="9">
        <v>1</v>
      </c>
      <c r="X61" s="9">
        <v>0</v>
      </c>
      <c r="Y61" s="6" t="str">
        <f>IF(B61="KEEP EXISTING","Already in POS",IF(O61&lt;=0,"Blocked: cost",IF(OR(R61&lt;=0,R61&gt;100000),"Blocked: retail",IF(U61="","Blocked: image",IF(Summary!$B$3="APPROVED","READY","Pending approval")))))</f>
        <v>Pending approval</v>
      </c>
      <c r="Z61" s="6" t="s">
        <v>75</v>
      </c>
    </row>
    <row r="62" spans="1:26" ht="29.25">
      <c r="A62" s="12" t="s">
        <v>200</v>
      </c>
      <c r="B62" s="6" t="s">
        <v>494</v>
      </c>
      <c r="C62" s="6"/>
      <c r="D62" s="6"/>
      <c r="E62" s="6" t="s">
        <v>555</v>
      </c>
      <c r="F62" s="6" t="s">
        <v>54</v>
      </c>
      <c r="G62" s="6" t="s">
        <v>165</v>
      </c>
      <c r="H62" s="6" t="s">
        <v>201</v>
      </c>
      <c r="I62" s="10" t="s">
        <v>201</v>
      </c>
      <c r="J62" s="10" t="s">
        <v>164</v>
      </c>
      <c r="K62" s="9" t="str">
        <f t="shared" si="7"/>
        <v>1018954</v>
      </c>
      <c r="L62" s="9" t="str">
        <f>"TM8-COMP-10191"</f>
        <v>TM8-COMP-10191</v>
      </c>
      <c r="M62" s="12" t="s">
        <v>543</v>
      </c>
      <c r="N62" s="8">
        <v>30</v>
      </c>
      <c r="O62" s="11">
        <f>IF(B62="KEEP EXISTING",N62,'Cost Review'!H62)</f>
        <v>30</v>
      </c>
      <c r="P62" s="8" t="str">
        <f t="shared" si="3"/>
        <v>REVIEW</v>
      </c>
      <c r="Q62" s="8">
        <v>59</v>
      </c>
      <c r="R62" s="11">
        <f>IF(B62="KEEP EXISTING",Q62,'Cost Review'!J62)</f>
        <v>59</v>
      </c>
      <c r="S62" s="6" t="str">
        <f t="shared" si="4"/>
        <v>OK</v>
      </c>
      <c r="T62" s="9" t="str">
        <f>"2998000101910"</f>
        <v>2998000101910</v>
      </c>
      <c r="U62" s="10" t="s">
        <v>574</v>
      </c>
      <c r="V62" s="6" t="str">
        <f t="shared" si="5"/>
        <v>FOUND</v>
      </c>
      <c r="W62" s="9">
        <v>0</v>
      </c>
      <c r="X62" s="9">
        <v>0</v>
      </c>
      <c r="Y62" s="6" t="str">
        <f>IF(B62="KEEP EXISTING","Already in POS",IF(O62&lt;=0,"Blocked: cost",IF(OR(R62&lt;=0,R62&gt;100000),"Blocked: retail",IF(U62="","Blocked: image",IF(Summary!$B$3="APPROVED","READY","Pending approval")))))</f>
        <v>Pending approval</v>
      </c>
      <c r="Z62" s="6"/>
    </row>
    <row r="63" spans="1:26" ht="29.25">
      <c r="A63" s="12" t="s">
        <v>202</v>
      </c>
      <c r="B63" s="6" t="s">
        <v>494</v>
      </c>
      <c r="C63" s="6"/>
      <c r="D63" s="6"/>
      <c r="E63" s="6" t="s">
        <v>555</v>
      </c>
      <c r="F63" s="6" t="s">
        <v>54</v>
      </c>
      <c r="G63" s="6" t="s">
        <v>165</v>
      </c>
      <c r="H63" s="6" t="s">
        <v>203</v>
      </c>
      <c r="I63" s="10" t="s">
        <v>203</v>
      </c>
      <c r="J63" s="10" t="s">
        <v>164</v>
      </c>
      <c r="K63" s="9" t="str">
        <f t="shared" si="7"/>
        <v>1018954</v>
      </c>
      <c r="L63" s="9" t="str">
        <f>"TM8-COMP-10190"</f>
        <v>TM8-COMP-10190</v>
      </c>
      <c r="M63" s="12" t="s">
        <v>543</v>
      </c>
      <c r="N63" s="8">
        <v>181.78</v>
      </c>
      <c r="O63" s="11">
        <f>IF(B63="KEEP EXISTING",N63,'Cost Review'!H63)</f>
        <v>181.78</v>
      </c>
      <c r="P63" s="8" t="str">
        <f t="shared" si="3"/>
        <v>REVIEW</v>
      </c>
      <c r="Q63" s="8">
        <v>249.95</v>
      </c>
      <c r="R63" s="11">
        <f>IF(B63="KEEP EXISTING",Q63,'Cost Review'!J63)</f>
        <v>249.95</v>
      </c>
      <c r="S63" s="6" t="str">
        <f t="shared" si="4"/>
        <v>OK</v>
      </c>
      <c r="T63" s="9" t="str">
        <f>"2998000101903"</f>
        <v>2998000101903</v>
      </c>
      <c r="U63" s="10" t="s">
        <v>575</v>
      </c>
      <c r="V63" s="6" t="str">
        <f t="shared" si="5"/>
        <v>FOUND</v>
      </c>
      <c r="W63" s="9">
        <v>1</v>
      </c>
      <c r="X63" s="9">
        <v>0</v>
      </c>
      <c r="Y63" s="6" t="str">
        <f>IF(B63="KEEP EXISTING","Already in POS",IF(O63&lt;=0,"Blocked: cost",IF(OR(R63&lt;=0,R63&gt;100000),"Blocked: retail",IF(U63="","Blocked: image",IF(Summary!$B$3="APPROVED","READY","Pending approval")))))</f>
        <v>Pending approval</v>
      </c>
      <c r="Z63" s="6" t="s">
        <v>75</v>
      </c>
    </row>
    <row r="64" spans="1:26" ht="29.25">
      <c r="A64" s="12" t="s">
        <v>204</v>
      </c>
      <c r="B64" s="6" t="s">
        <v>494</v>
      </c>
      <c r="C64" s="6"/>
      <c r="D64" s="6"/>
      <c r="E64" s="6" t="s">
        <v>555</v>
      </c>
      <c r="F64" s="6" t="s">
        <v>54</v>
      </c>
      <c r="G64" s="6" t="s">
        <v>165</v>
      </c>
      <c r="H64" s="6" t="s">
        <v>205</v>
      </c>
      <c r="I64" s="10" t="s">
        <v>205</v>
      </c>
      <c r="J64" s="10" t="s">
        <v>164</v>
      </c>
      <c r="K64" s="9" t="str">
        <f t="shared" si="7"/>
        <v>1018954</v>
      </c>
      <c r="L64" s="9" t="str">
        <f>"TM8-COMP-10189"</f>
        <v>TM8-COMP-10189</v>
      </c>
      <c r="M64" s="12" t="s">
        <v>543</v>
      </c>
      <c r="N64" s="8">
        <v>603.6</v>
      </c>
      <c r="O64" s="11">
        <f>IF(B64="KEEP EXISTING",N64,'Cost Review'!H64)</f>
        <v>603.6</v>
      </c>
      <c r="P64" s="8" t="str">
        <f t="shared" si="3"/>
        <v>REVIEW</v>
      </c>
      <c r="Q64" s="8">
        <v>829</v>
      </c>
      <c r="R64" s="11">
        <f>IF(B64="KEEP EXISTING",Q64,'Cost Review'!J64)</f>
        <v>829</v>
      </c>
      <c r="S64" s="6" t="str">
        <f t="shared" si="4"/>
        <v>OK</v>
      </c>
      <c r="T64" s="9" t="str">
        <f>"2998000101897"</f>
        <v>2998000101897</v>
      </c>
      <c r="U64" s="10" t="s">
        <v>576</v>
      </c>
      <c r="V64" s="6" t="str">
        <f t="shared" si="5"/>
        <v>FOUND</v>
      </c>
      <c r="W64" s="9">
        <v>1</v>
      </c>
      <c r="X64" s="9">
        <v>0</v>
      </c>
      <c r="Y64" s="6" t="str">
        <f>IF(B64="KEEP EXISTING","Already in POS",IF(O64&lt;=0,"Blocked: cost",IF(OR(R64&lt;=0,R64&gt;100000),"Blocked: retail",IF(U64="","Blocked: image",IF(Summary!$B$3="APPROVED","READY","Pending approval")))))</f>
        <v>Pending approval</v>
      </c>
      <c r="Z64" s="6" t="s">
        <v>75</v>
      </c>
    </row>
    <row r="65" spans="1:26" ht="29.25">
      <c r="A65" s="12" t="s">
        <v>206</v>
      </c>
      <c r="B65" s="6" t="s">
        <v>494</v>
      </c>
      <c r="C65" s="6"/>
      <c r="D65" s="6"/>
      <c r="E65" s="6" t="s">
        <v>538</v>
      </c>
      <c r="F65" s="6" t="s">
        <v>54</v>
      </c>
      <c r="G65" s="6" t="s">
        <v>55</v>
      </c>
      <c r="H65" s="6" t="s">
        <v>207</v>
      </c>
      <c r="I65" s="10" t="s">
        <v>207</v>
      </c>
      <c r="J65" s="10" t="s">
        <v>208</v>
      </c>
      <c r="K65" s="9" t="str">
        <f>"1016052"</f>
        <v>1016052</v>
      </c>
      <c r="L65" s="9" t="str">
        <f>"1016052"</f>
        <v>1016052</v>
      </c>
      <c r="M65" s="12" t="s">
        <v>496</v>
      </c>
      <c r="N65" s="8">
        <v>56</v>
      </c>
      <c r="O65" s="11">
        <f>IF(B65="KEEP EXISTING",N65,'Cost Review'!H65)</f>
        <v>56</v>
      </c>
      <c r="P65" s="8" t="str">
        <f t="shared" si="3"/>
        <v>REVIEW</v>
      </c>
      <c r="Q65" s="8">
        <v>69</v>
      </c>
      <c r="R65" s="11">
        <f>IF(B65="KEEP EXISTING",Q65,'Cost Review'!J65)</f>
        <v>69</v>
      </c>
      <c r="S65" s="6" t="str">
        <f t="shared" si="4"/>
        <v>OK</v>
      </c>
      <c r="T65" s="9" t="str">
        <f>"2998000101606"</f>
        <v>2998000101606</v>
      </c>
      <c r="U65" s="10" t="s">
        <v>577</v>
      </c>
      <c r="V65" s="6" t="str">
        <f t="shared" si="5"/>
        <v>FOUND</v>
      </c>
      <c r="W65" s="9">
        <v>0</v>
      </c>
      <c r="X65" s="9">
        <v>0</v>
      </c>
      <c r="Y65" s="6" t="str">
        <f>IF(B65="KEEP EXISTING","Already in POS",IF(O65&lt;=0,"Blocked: cost",IF(OR(R65&lt;=0,R65&gt;100000),"Blocked: retail",IF(U65="","Blocked: image",IF(Summary!$B$3="APPROVED","READY","Pending approval")))))</f>
        <v>Pending approval</v>
      </c>
      <c r="Z65" s="6"/>
    </row>
    <row r="66" spans="1:26" ht="43.5">
      <c r="A66" s="12" t="s">
        <v>209</v>
      </c>
      <c r="B66" s="6" t="s">
        <v>494</v>
      </c>
      <c r="C66" s="6"/>
      <c r="D66" s="6"/>
      <c r="E66" s="6" t="s">
        <v>515</v>
      </c>
      <c r="F66" s="6" t="s">
        <v>54</v>
      </c>
      <c r="G66" s="6" t="s">
        <v>55</v>
      </c>
      <c r="H66" s="6" t="s">
        <v>210</v>
      </c>
      <c r="I66" s="10" t="s">
        <v>210</v>
      </c>
      <c r="J66" s="10" t="s">
        <v>84</v>
      </c>
      <c r="K66" s="9" t="str">
        <f>"1004132"</f>
        <v>1004132</v>
      </c>
      <c r="L66" s="9" t="str">
        <f>"TM8-COMP-10156"</f>
        <v>TM8-COMP-10156</v>
      </c>
      <c r="M66" s="12" t="s">
        <v>543</v>
      </c>
      <c r="N66" s="8">
        <v>95</v>
      </c>
      <c r="O66" s="11">
        <f>IF(B66="KEEP EXISTING",N66,'Cost Review'!H66)</f>
        <v>95</v>
      </c>
      <c r="P66" s="8" t="str">
        <f t="shared" ref="P66:P97" si="8">IF(B66="KEEP EXISTING","Existing",IF(O66&lt;=0,"MISSING","REVIEW"))</f>
        <v>REVIEW</v>
      </c>
      <c r="Q66" s="8">
        <v>149</v>
      </c>
      <c r="R66" s="11">
        <f>IF(B66="KEEP EXISTING",Q66,'Cost Review'!J66)</f>
        <v>149</v>
      </c>
      <c r="S66" s="6" t="str">
        <f t="shared" ref="S66:S97" si="9">IF(B66="KEEP EXISTING","Existing",IF(OR(R66&lt;=0,R66&gt;100000),"CHECK","OK"))</f>
        <v>OK</v>
      </c>
      <c r="T66" s="9" t="str">
        <f>"2998000101569"</f>
        <v>2998000101569</v>
      </c>
      <c r="U66" s="10" t="s">
        <v>578</v>
      </c>
      <c r="V66" s="6" t="str">
        <f t="shared" ref="V66:V97" si="10">IF(B66="KEEP EXISTING","Existing",IF(U66="","MISSING","FOUND"))</f>
        <v>FOUND</v>
      </c>
      <c r="W66" s="9">
        <v>5</v>
      </c>
      <c r="X66" s="9">
        <v>0</v>
      </c>
      <c r="Y66" s="6" t="str">
        <f>IF(B66="KEEP EXISTING","Already in POS",IF(O66&lt;=0,"Blocked: cost",IF(OR(R66&lt;=0,R66&gt;100000),"Blocked: retail",IF(U66="","Blocked: image",IF(Summary!$B$3="APPROVED","READY","Pending approval")))))</f>
        <v>Pending approval</v>
      </c>
      <c r="Z66" s="6" t="s">
        <v>66</v>
      </c>
    </row>
    <row r="67" spans="1:26" ht="43.5">
      <c r="A67" s="12" t="s">
        <v>211</v>
      </c>
      <c r="B67" s="6" t="s">
        <v>494</v>
      </c>
      <c r="C67" s="6"/>
      <c r="D67" s="6"/>
      <c r="E67" s="6" t="s">
        <v>515</v>
      </c>
      <c r="F67" s="6" t="s">
        <v>54</v>
      </c>
      <c r="G67" s="6" t="s">
        <v>55</v>
      </c>
      <c r="H67" s="6" t="s">
        <v>212</v>
      </c>
      <c r="I67" s="10" t="s">
        <v>212</v>
      </c>
      <c r="J67" s="10" t="s">
        <v>84</v>
      </c>
      <c r="K67" s="9" t="str">
        <f>"1004132"</f>
        <v>1004132</v>
      </c>
      <c r="L67" s="9" t="str">
        <f>"TM8-COMP-10155"</f>
        <v>TM8-COMP-10155</v>
      </c>
      <c r="M67" s="12" t="s">
        <v>543</v>
      </c>
      <c r="N67" s="8">
        <v>80</v>
      </c>
      <c r="O67" s="11">
        <f>IF(B67="KEEP EXISTING",N67,'Cost Review'!H67)</f>
        <v>80</v>
      </c>
      <c r="P67" s="8" t="str">
        <f t="shared" si="8"/>
        <v>REVIEW</v>
      </c>
      <c r="Q67" s="8">
        <v>139</v>
      </c>
      <c r="R67" s="11">
        <f>IF(B67="KEEP EXISTING",Q67,'Cost Review'!J67)</f>
        <v>139</v>
      </c>
      <c r="S67" s="6" t="str">
        <f t="shared" si="9"/>
        <v>OK</v>
      </c>
      <c r="T67" s="9" t="str">
        <f>"2998000101552"</f>
        <v>2998000101552</v>
      </c>
      <c r="U67" s="10" t="s">
        <v>579</v>
      </c>
      <c r="V67" s="6" t="str">
        <f t="shared" si="10"/>
        <v>FOUND</v>
      </c>
      <c r="W67" s="9">
        <v>6</v>
      </c>
      <c r="X67" s="9">
        <v>0</v>
      </c>
      <c r="Y67" s="6" t="str">
        <f>IF(B67="KEEP EXISTING","Already in POS",IF(O67&lt;=0,"Blocked: cost",IF(OR(R67&lt;=0,R67&gt;100000),"Blocked: retail",IF(U67="","Blocked: image",IF(Summary!$B$3="APPROVED","READY","Pending approval")))))</f>
        <v>Pending approval</v>
      </c>
      <c r="Z67" s="6" t="s">
        <v>213</v>
      </c>
    </row>
    <row r="68" spans="1:26" ht="29.25">
      <c r="A68" s="12" t="s">
        <v>214</v>
      </c>
      <c r="B68" s="6" t="s">
        <v>494</v>
      </c>
      <c r="C68" s="6"/>
      <c r="D68" s="6"/>
      <c r="E68" s="6" t="s">
        <v>580</v>
      </c>
      <c r="F68" s="6" t="s">
        <v>54</v>
      </c>
      <c r="G68" s="6" t="s">
        <v>216</v>
      </c>
      <c r="H68" s="6" t="s">
        <v>215</v>
      </c>
      <c r="I68" s="10" t="s">
        <v>215</v>
      </c>
      <c r="J68" s="10" t="s">
        <v>39</v>
      </c>
      <c r="K68" s="9" t="str">
        <f>"101221009"</f>
        <v>101221009</v>
      </c>
      <c r="L68" s="9" t="str">
        <f>"TM8-COMP-10154"</f>
        <v>TM8-COMP-10154</v>
      </c>
      <c r="M68" s="12" t="s">
        <v>543</v>
      </c>
      <c r="N68" s="8">
        <v>43</v>
      </c>
      <c r="O68" s="11">
        <f>IF(B68="KEEP EXISTING",N68,'Cost Review'!H68)</f>
        <v>43</v>
      </c>
      <c r="P68" s="8" t="str">
        <f t="shared" si="8"/>
        <v>REVIEW</v>
      </c>
      <c r="Q68" s="8">
        <v>64</v>
      </c>
      <c r="R68" s="11">
        <f>IF(B68="KEEP EXISTING",Q68,'Cost Review'!J68)</f>
        <v>64</v>
      </c>
      <c r="S68" s="6" t="str">
        <f t="shared" si="9"/>
        <v>OK</v>
      </c>
      <c r="T68" s="9" t="str">
        <f>"2998000101545"</f>
        <v>2998000101545</v>
      </c>
      <c r="U68" s="10" t="s">
        <v>581</v>
      </c>
      <c r="V68" s="6" t="str">
        <f t="shared" si="10"/>
        <v>FOUND</v>
      </c>
      <c r="W68" s="9">
        <v>0</v>
      </c>
      <c r="X68" s="9">
        <v>0</v>
      </c>
      <c r="Y68" s="6" t="str">
        <f>IF(B68="KEEP EXISTING","Already in POS",IF(O68&lt;=0,"Blocked: cost",IF(OR(R68&lt;=0,R68&gt;100000),"Blocked: retail",IF(U68="","Blocked: image",IF(Summary!$B$3="APPROVED","READY","Pending approval")))))</f>
        <v>Pending approval</v>
      </c>
      <c r="Z68" s="6"/>
    </row>
    <row r="69" spans="1:26" ht="29.25">
      <c r="A69" s="12" t="s">
        <v>217</v>
      </c>
      <c r="B69" s="6" t="s">
        <v>494</v>
      </c>
      <c r="C69" s="6"/>
      <c r="D69" s="6"/>
      <c r="E69" s="6" t="s">
        <v>580</v>
      </c>
      <c r="F69" s="6" t="s">
        <v>54</v>
      </c>
      <c r="G69" s="6" t="s">
        <v>216</v>
      </c>
      <c r="H69" s="6" t="s">
        <v>218</v>
      </c>
      <c r="I69" s="10" t="s">
        <v>218</v>
      </c>
      <c r="J69" s="10" t="s">
        <v>39</v>
      </c>
      <c r="K69" s="9" t="str">
        <f>"101221009"</f>
        <v>101221009</v>
      </c>
      <c r="L69" s="9" t="str">
        <f>"TM8-COMP-10153"</f>
        <v>TM8-COMP-10153</v>
      </c>
      <c r="M69" s="12" t="s">
        <v>543</v>
      </c>
      <c r="N69" s="8">
        <v>40</v>
      </c>
      <c r="O69" s="11">
        <f>IF(B69="KEEP EXISTING",N69,'Cost Review'!H69)</f>
        <v>40</v>
      </c>
      <c r="P69" s="8" t="str">
        <f t="shared" si="8"/>
        <v>REVIEW</v>
      </c>
      <c r="Q69" s="8">
        <v>59</v>
      </c>
      <c r="R69" s="11">
        <f>IF(B69="KEEP EXISTING",Q69,'Cost Review'!J69)</f>
        <v>59</v>
      </c>
      <c r="S69" s="6" t="str">
        <f t="shared" si="9"/>
        <v>OK</v>
      </c>
      <c r="T69" s="9" t="str">
        <f>"2998000101538"</f>
        <v>2998000101538</v>
      </c>
      <c r="U69" s="10" t="s">
        <v>582</v>
      </c>
      <c r="V69" s="6" t="str">
        <f t="shared" si="10"/>
        <v>FOUND</v>
      </c>
      <c r="W69" s="9">
        <v>2</v>
      </c>
      <c r="X69" s="9">
        <v>0</v>
      </c>
      <c r="Y69" s="6" t="str">
        <f>IF(B69="KEEP EXISTING","Already in POS",IF(O69&lt;=0,"Blocked: cost",IF(OR(R69&lt;=0,R69&gt;100000),"Blocked: retail",IF(U69="","Blocked: image",IF(Summary!$B$3="APPROVED","READY","Pending approval")))))</f>
        <v>Pending approval</v>
      </c>
      <c r="Z69" s="6" t="s">
        <v>56</v>
      </c>
    </row>
    <row r="70" spans="1:26" ht="43.5">
      <c r="A70" s="12" t="s">
        <v>219</v>
      </c>
      <c r="B70" s="6" t="s">
        <v>494</v>
      </c>
      <c r="C70" s="6"/>
      <c r="D70" s="6"/>
      <c r="E70" s="6" t="s">
        <v>580</v>
      </c>
      <c r="F70" s="6" t="s">
        <v>54</v>
      </c>
      <c r="G70" s="6" t="s">
        <v>216</v>
      </c>
      <c r="H70" s="6" t="s">
        <v>220</v>
      </c>
      <c r="I70" s="10" t="s">
        <v>220</v>
      </c>
      <c r="J70" s="10" t="s">
        <v>84</v>
      </c>
      <c r="K70" s="9" t="str">
        <f>"101221009"</f>
        <v>101221009</v>
      </c>
      <c r="L70" s="9" t="str">
        <f>"TM8-COMP-10122"</f>
        <v>TM8-COMP-10122</v>
      </c>
      <c r="M70" s="12" t="s">
        <v>543</v>
      </c>
      <c r="N70" s="8">
        <v>52</v>
      </c>
      <c r="O70" s="11">
        <f>IF(B70="KEEP EXISTING",N70,'Cost Review'!H70)</f>
        <v>52</v>
      </c>
      <c r="P70" s="8" t="str">
        <f t="shared" si="8"/>
        <v>REVIEW</v>
      </c>
      <c r="Q70" s="8">
        <v>99</v>
      </c>
      <c r="R70" s="11">
        <f>IF(B70="KEEP EXISTING",Q70,'Cost Review'!J70)</f>
        <v>99</v>
      </c>
      <c r="S70" s="6" t="str">
        <f t="shared" si="9"/>
        <v>OK</v>
      </c>
      <c r="T70" s="9" t="str">
        <f>"2998000101224"</f>
        <v>2998000101224</v>
      </c>
      <c r="U70" s="10" t="s">
        <v>583</v>
      </c>
      <c r="V70" s="6" t="str">
        <f t="shared" si="10"/>
        <v>FOUND</v>
      </c>
      <c r="W70" s="9">
        <v>1</v>
      </c>
      <c r="X70" s="9">
        <v>0</v>
      </c>
      <c r="Y70" s="6" t="str">
        <f>IF(B70="KEEP EXISTING","Already in POS",IF(O70&lt;=0,"Blocked: cost",IF(OR(R70&lt;=0,R70&gt;100000),"Blocked: retail",IF(U70="","Blocked: image",IF(Summary!$B$3="APPROVED","READY","Pending approval")))))</f>
        <v>Pending approval</v>
      </c>
      <c r="Z70" s="6" t="s">
        <v>75</v>
      </c>
    </row>
    <row r="71" spans="1:26" ht="43.5">
      <c r="A71" s="12" t="s">
        <v>221</v>
      </c>
      <c r="B71" s="6" t="s">
        <v>494</v>
      </c>
      <c r="C71" s="6"/>
      <c r="D71" s="6"/>
      <c r="E71" s="6" t="s">
        <v>502</v>
      </c>
      <c r="F71" s="6" t="s">
        <v>54</v>
      </c>
      <c r="G71" s="6" t="s">
        <v>55</v>
      </c>
      <c r="H71" s="6" t="s">
        <v>222</v>
      </c>
      <c r="I71" s="10" t="s">
        <v>222</v>
      </c>
      <c r="J71" s="10" t="s">
        <v>39</v>
      </c>
      <c r="K71" s="9" t="str">
        <f>"1010943"</f>
        <v>1010943</v>
      </c>
      <c r="L71" s="9" t="str">
        <f>"1010943"</f>
        <v>1010943</v>
      </c>
      <c r="M71" s="12" t="s">
        <v>496</v>
      </c>
      <c r="N71" s="8">
        <v>0</v>
      </c>
      <c r="O71" s="11">
        <f>IF(B71="KEEP EXISTING",N71,'Cost Review'!H71)</f>
        <v>5</v>
      </c>
      <c r="P71" s="8" t="str">
        <f t="shared" si="8"/>
        <v>REVIEW</v>
      </c>
      <c r="Q71" s="8">
        <v>35</v>
      </c>
      <c r="R71" s="11">
        <f>IF(B71="KEEP EXISTING",Q71,'Cost Review'!J71)</f>
        <v>35</v>
      </c>
      <c r="S71" s="6" t="str">
        <f t="shared" si="9"/>
        <v>OK</v>
      </c>
      <c r="T71" s="9" t="str">
        <f>"2998000101095"</f>
        <v>2998000101095</v>
      </c>
      <c r="U71" s="10" t="s">
        <v>584</v>
      </c>
      <c r="V71" s="6" t="str">
        <f t="shared" si="10"/>
        <v>FOUND</v>
      </c>
      <c r="W71" s="9">
        <v>0</v>
      </c>
      <c r="X71" s="9">
        <v>0</v>
      </c>
      <c r="Y71" s="6" t="str">
        <f>IF(B71="KEEP EXISTING","Already in POS",IF(O71&lt;=0,"Blocked: cost",IF(OR(R71&lt;=0,R71&gt;100000),"Blocked: retail",IF(U71="","Blocked: image",IF(Summary!$B$3="APPROVED","READY","Pending approval")))))</f>
        <v>Pending approval</v>
      </c>
      <c r="Z71" s="6" t="s">
        <v>223</v>
      </c>
    </row>
    <row r="72" spans="1:26" ht="43.5">
      <c r="A72" s="12" t="s">
        <v>585</v>
      </c>
      <c r="B72" s="6" t="s">
        <v>586</v>
      </c>
      <c r="C72" s="6" t="s">
        <v>587</v>
      </c>
      <c r="D72" s="6" t="s">
        <v>588</v>
      </c>
      <c r="E72" s="6" t="s">
        <v>535</v>
      </c>
      <c r="F72" s="6" t="s">
        <v>54</v>
      </c>
      <c r="G72" s="6" t="s">
        <v>125</v>
      </c>
      <c r="H72" s="6" t="s">
        <v>589</v>
      </c>
      <c r="I72" s="10" t="s">
        <v>589</v>
      </c>
      <c r="J72" s="10" t="s">
        <v>39</v>
      </c>
      <c r="K72" s="9" t="str">
        <f>"100651002"</f>
        <v>100651002</v>
      </c>
      <c r="L72" s="9" t="str">
        <f>"TM8-PS5-DS-STERLING-SILVER"</f>
        <v>TM8-PS5-DS-STERLING-SILVER</v>
      </c>
      <c r="M72" s="12" t="s">
        <v>590</v>
      </c>
      <c r="N72" s="8">
        <v>89.74</v>
      </c>
      <c r="O72" s="11">
        <f>IF(B72="KEEP EXISTING",N72,'Cost Review'!H2)</f>
        <v>89.74</v>
      </c>
      <c r="P72" s="8" t="str">
        <f t="shared" si="8"/>
        <v>Existing</v>
      </c>
      <c r="Q72" s="8">
        <v>125</v>
      </c>
      <c r="R72" s="11">
        <f>IF(B72="KEEP EXISTING",Q72,'Cost Review'!J2)</f>
        <v>125</v>
      </c>
      <c r="S72" s="6" t="str">
        <f t="shared" si="9"/>
        <v>Existing</v>
      </c>
      <c r="T72" s="9" t="str">
        <f>"2998000100692"</f>
        <v>2998000100692</v>
      </c>
      <c r="U72" s="10" t="s">
        <v>591</v>
      </c>
      <c r="V72" s="6" t="str">
        <f t="shared" si="10"/>
        <v>Existing</v>
      </c>
      <c r="W72" s="9">
        <v>0</v>
      </c>
      <c r="X72" s="9">
        <v>0</v>
      </c>
      <c r="Y72" s="6" t="str">
        <f>IF(B72="KEEP EXISTING","Already in POS",IF(O72&lt;=0,"Blocked: cost",IF(OR(R72&lt;=0,R72&gt;100000),"Blocked: retail",IF(U72="","Blocked: image",IF(Summary!$B$3="APPROVED","READY","Pending approval")))))</f>
        <v>Already in POS</v>
      </c>
      <c r="Z72" s="6" t="s">
        <v>592</v>
      </c>
    </row>
    <row r="73" spans="1:26" ht="43.5">
      <c r="A73" s="12" t="s">
        <v>593</v>
      </c>
      <c r="B73" s="6" t="s">
        <v>586</v>
      </c>
      <c r="C73" s="6" t="s">
        <v>594</v>
      </c>
      <c r="D73" s="6" t="s">
        <v>595</v>
      </c>
      <c r="E73" s="6" t="s">
        <v>535</v>
      </c>
      <c r="F73" s="6" t="s">
        <v>54</v>
      </c>
      <c r="G73" s="6" t="s">
        <v>125</v>
      </c>
      <c r="H73" s="6" t="s">
        <v>594</v>
      </c>
      <c r="I73" s="10" t="s">
        <v>594</v>
      </c>
      <c r="J73" s="10" t="s">
        <v>39</v>
      </c>
      <c r="K73" s="9" t="str">
        <f>"100651002"</f>
        <v>100651002</v>
      </c>
      <c r="L73" s="9" t="str">
        <f>"TM8-PS5-DS-COSMIC-RED"</f>
        <v>TM8-PS5-DS-COSMIC-RED</v>
      </c>
      <c r="M73" s="12" t="s">
        <v>590</v>
      </c>
      <c r="N73" s="8">
        <v>86.15</v>
      </c>
      <c r="O73" s="11">
        <f>IF(B73="KEEP EXISTING",N73,'Cost Review'!H2)</f>
        <v>86.15</v>
      </c>
      <c r="P73" s="8" t="str">
        <f t="shared" si="8"/>
        <v>Existing</v>
      </c>
      <c r="Q73" s="8">
        <v>119.95</v>
      </c>
      <c r="R73" s="11">
        <f>IF(B73="KEEP EXISTING",Q73,'Cost Review'!J2)</f>
        <v>119.95</v>
      </c>
      <c r="S73" s="6" t="str">
        <f t="shared" si="9"/>
        <v>Existing</v>
      </c>
      <c r="T73" s="9" t="str">
        <f>"2998000100685"</f>
        <v>2998000100685</v>
      </c>
      <c r="U73" s="10" t="s">
        <v>596</v>
      </c>
      <c r="V73" s="6" t="str">
        <f t="shared" si="10"/>
        <v>Existing</v>
      </c>
      <c r="W73" s="9">
        <v>0</v>
      </c>
      <c r="X73" s="9">
        <v>0</v>
      </c>
      <c r="Y73" s="6" t="str">
        <f>IF(B73="KEEP EXISTING","Already in POS",IF(O73&lt;=0,"Blocked: cost",IF(OR(R73&lt;=0,R73&gt;100000),"Blocked: retail",IF(U73="","Blocked: image",IF(Summary!$B$3="APPROVED","READY","Pending approval")))))</f>
        <v>Already in POS</v>
      </c>
      <c r="Z73" s="6" t="s">
        <v>592</v>
      </c>
    </row>
    <row r="74" spans="1:26" ht="43.5">
      <c r="A74" s="12" t="s">
        <v>597</v>
      </c>
      <c r="B74" s="6" t="s">
        <v>586</v>
      </c>
      <c r="C74" s="6" t="s">
        <v>598</v>
      </c>
      <c r="D74" s="6" t="s">
        <v>599</v>
      </c>
      <c r="E74" s="6" t="s">
        <v>535</v>
      </c>
      <c r="F74" s="6" t="s">
        <v>54</v>
      </c>
      <c r="G74" s="6" t="s">
        <v>125</v>
      </c>
      <c r="H74" s="6" t="s">
        <v>600</v>
      </c>
      <c r="I74" s="10" t="s">
        <v>600</v>
      </c>
      <c r="J74" s="10" t="s">
        <v>39</v>
      </c>
      <c r="K74" s="9" t="str">
        <f>"100651002"</f>
        <v>100651002</v>
      </c>
      <c r="L74" s="9" t="str">
        <f>"TM8-PS5-DS-GRAY-CAMO"</f>
        <v>TM8-PS5-DS-GRAY-CAMO</v>
      </c>
      <c r="M74" s="12" t="s">
        <v>590</v>
      </c>
      <c r="N74" s="8">
        <v>86.15</v>
      </c>
      <c r="O74" s="11">
        <f>IF(B74="KEEP EXISTING",N74,'Cost Review'!H2)</f>
        <v>86.15</v>
      </c>
      <c r="P74" s="8" t="str">
        <f t="shared" si="8"/>
        <v>Existing</v>
      </c>
      <c r="Q74" s="8">
        <v>119.95</v>
      </c>
      <c r="R74" s="11">
        <f>IF(B74="KEEP EXISTING",Q74,'Cost Review'!J2)</f>
        <v>119.95</v>
      </c>
      <c r="S74" s="6" t="str">
        <f t="shared" si="9"/>
        <v>Existing</v>
      </c>
      <c r="T74" s="9" t="str">
        <f>"2998000100678"</f>
        <v>2998000100678</v>
      </c>
      <c r="U74" s="10" t="s">
        <v>601</v>
      </c>
      <c r="V74" s="6" t="str">
        <f t="shared" si="10"/>
        <v>Existing</v>
      </c>
      <c r="W74" s="9">
        <v>1</v>
      </c>
      <c r="X74" s="9">
        <v>0</v>
      </c>
      <c r="Y74" s="6" t="str">
        <f>IF(B74="KEEP EXISTING","Already in POS",IF(O74&lt;=0,"Blocked: cost",IF(OR(R74&lt;=0,R74&gt;100000),"Blocked: retail",IF(U74="","Blocked: image",IF(Summary!$B$3="APPROVED","READY","Pending approval")))))</f>
        <v>Already in POS</v>
      </c>
      <c r="Z74" s="6" t="s">
        <v>602</v>
      </c>
    </row>
    <row r="75" spans="1:26" ht="43.5">
      <c r="A75" s="12" t="s">
        <v>603</v>
      </c>
      <c r="B75" s="6" t="s">
        <v>586</v>
      </c>
      <c r="C75" s="6" t="s">
        <v>604</v>
      </c>
      <c r="D75" s="6" t="s">
        <v>605</v>
      </c>
      <c r="E75" s="6" t="s">
        <v>535</v>
      </c>
      <c r="F75" s="6" t="s">
        <v>54</v>
      </c>
      <c r="G75" s="6" t="s">
        <v>125</v>
      </c>
      <c r="H75" s="6" t="s">
        <v>604</v>
      </c>
      <c r="I75" s="10" t="s">
        <v>604</v>
      </c>
      <c r="J75" s="10" t="s">
        <v>39</v>
      </c>
      <c r="K75" s="9" t="str">
        <f>"100651002"</f>
        <v>100651002</v>
      </c>
      <c r="L75" s="9" t="str">
        <f>"TM8-PS5-DS-BLACK"</f>
        <v>TM8-PS5-DS-BLACK</v>
      </c>
      <c r="M75" s="12" t="s">
        <v>590</v>
      </c>
      <c r="N75" s="8">
        <v>86.15</v>
      </c>
      <c r="O75" s="11">
        <f>IF(B75="KEEP EXISTING",N75,'Cost Review'!H2)</f>
        <v>86.15</v>
      </c>
      <c r="P75" s="8" t="str">
        <f t="shared" si="8"/>
        <v>Existing</v>
      </c>
      <c r="Q75" s="8">
        <v>119.95</v>
      </c>
      <c r="R75" s="11">
        <f>IF(B75="KEEP EXISTING",Q75,'Cost Review'!J2)</f>
        <v>119.95</v>
      </c>
      <c r="S75" s="6" t="str">
        <f t="shared" si="9"/>
        <v>Existing</v>
      </c>
      <c r="T75" s="9" t="str">
        <f>"2998000100661"</f>
        <v>2998000100661</v>
      </c>
      <c r="U75" s="10" t="s">
        <v>606</v>
      </c>
      <c r="V75" s="6" t="str">
        <f t="shared" si="10"/>
        <v>Existing</v>
      </c>
      <c r="W75" s="9">
        <v>0</v>
      </c>
      <c r="X75" s="9">
        <v>0</v>
      </c>
      <c r="Y75" s="6" t="str">
        <f>IF(B75="KEEP EXISTING","Already in POS",IF(O75&lt;=0,"Blocked: cost",IF(OR(R75&lt;=0,R75&gt;100000),"Blocked: retail",IF(U75="","Blocked: image",IF(Summary!$B$3="APPROVED","READY","Pending approval")))))</f>
        <v>Already in POS</v>
      </c>
      <c r="Z75" s="6" t="s">
        <v>592</v>
      </c>
    </row>
    <row r="76" spans="1:26" ht="43.5">
      <c r="A76" s="12" t="s">
        <v>607</v>
      </c>
      <c r="B76" s="6" t="s">
        <v>586</v>
      </c>
      <c r="C76" s="6" t="s">
        <v>608</v>
      </c>
      <c r="D76" s="6" t="s">
        <v>609</v>
      </c>
      <c r="E76" s="6" t="s">
        <v>535</v>
      </c>
      <c r="F76" s="6" t="s">
        <v>54</v>
      </c>
      <c r="G76" s="6" t="s">
        <v>125</v>
      </c>
      <c r="H76" s="6" t="s">
        <v>608</v>
      </c>
      <c r="I76" s="10" t="s">
        <v>608</v>
      </c>
      <c r="J76" s="10" t="s">
        <v>39</v>
      </c>
      <c r="K76" s="9" t="str">
        <f>"100651002"</f>
        <v>100651002</v>
      </c>
      <c r="L76" s="9" t="str">
        <f>"TM8-PS5-DS-WHITE"</f>
        <v>TM8-PS5-DS-WHITE</v>
      </c>
      <c r="M76" s="12" t="s">
        <v>590</v>
      </c>
      <c r="N76" s="8">
        <v>86.15</v>
      </c>
      <c r="O76" s="11">
        <f>IF(B76="KEEP EXISTING",N76,'Cost Review'!H2)</f>
        <v>86.15</v>
      </c>
      <c r="P76" s="8" t="str">
        <f t="shared" si="8"/>
        <v>Existing</v>
      </c>
      <c r="Q76" s="8">
        <v>119.95</v>
      </c>
      <c r="R76" s="11">
        <f>IF(B76="KEEP EXISTING",Q76,'Cost Review'!J2)</f>
        <v>119.95</v>
      </c>
      <c r="S76" s="6" t="str">
        <f t="shared" si="9"/>
        <v>Existing</v>
      </c>
      <c r="T76" s="9" t="str">
        <f>"2998000100654"</f>
        <v>2998000100654</v>
      </c>
      <c r="U76" s="10" t="s">
        <v>610</v>
      </c>
      <c r="V76" s="6" t="str">
        <f t="shared" si="10"/>
        <v>Existing</v>
      </c>
      <c r="W76" s="9">
        <v>1</v>
      </c>
      <c r="X76" s="9">
        <v>0</v>
      </c>
      <c r="Y76" s="6" t="str">
        <f>IF(B76="KEEP EXISTING","Already in POS",IF(O76&lt;=0,"Blocked: cost",IF(OR(R76&lt;=0,R76&gt;100000),"Blocked: retail",IF(U76="","Blocked: image",IF(Summary!$B$3="APPROVED","READY","Pending approval")))))</f>
        <v>Already in POS</v>
      </c>
      <c r="Z76" s="6" t="s">
        <v>602</v>
      </c>
    </row>
    <row r="77" spans="1:26" ht="43.5">
      <c r="A77" s="12" t="s">
        <v>224</v>
      </c>
      <c r="B77" s="6" t="s">
        <v>494</v>
      </c>
      <c r="C77" s="6"/>
      <c r="D77" s="6"/>
      <c r="E77" s="6" t="s">
        <v>515</v>
      </c>
      <c r="F77" s="6" t="s">
        <v>54</v>
      </c>
      <c r="G77" s="6" t="s">
        <v>55</v>
      </c>
      <c r="H77" s="6" t="s">
        <v>225</v>
      </c>
      <c r="I77" s="10" t="s">
        <v>225</v>
      </c>
      <c r="J77" s="10" t="s">
        <v>226</v>
      </c>
      <c r="K77" s="9" t="str">
        <f>"1004132"</f>
        <v>1004132</v>
      </c>
      <c r="L77" s="9" t="str">
        <f>"TM8-COMP-10041"</f>
        <v>TM8-COMP-10041</v>
      </c>
      <c r="M77" s="12" t="s">
        <v>543</v>
      </c>
      <c r="N77" s="8">
        <v>0</v>
      </c>
      <c r="O77" s="11">
        <f>IF(B77="KEEP EXISTING",N77,'Cost Review'!H72)</f>
        <v>0</v>
      </c>
      <c r="P77" s="8" t="str">
        <f t="shared" si="8"/>
        <v>MISSING</v>
      </c>
      <c r="Q77" s="8">
        <v>159</v>
      </c>
      <c r="R77" s="11">
        <f>IF(B77="KEEP EXISTING",Q77,'Cost Review'!J72)</f>
        <v>159</v>
      </c>
      <c r="S77" s="6" t="str">
        <f t="shared" si="9"/>
        <v>OK</v>
      </c>
      <c r="T77" s="9" t="str">
        <f>"2998000100418"</f>
        <v>2998000100418</v>
      </c>
      <c r="U77" s="10"/>
      <c r="V77" s="6" t="str">
        <f t="shared" si="10"/>
        <v>MISSING</v>
      </c>
      <c r="W77" s="9">
        <v>0</v>
      </c>
      <c r="X77" s="9">
        <v>0</v>
      </c>
      <c r="Y77" s="6" t="str">
        <f>IF(B77="KEEP EXISTING","Already in POS",IF(O77&lt;=0,"Blocked: cost",IF(OR(R77&lt;=0,R77&gt;100000),"Blocked: retail",IF(U77="","Blocked: image",IF(Summary!$B$3="APPROVED","READY","Pending approval")))))</f>
        <v>Blocked: cost</v>
      </c>
      <c r="Z77" s="6" t="s">
        <v>227</v>
      </c>
    </row>
    <row r="78" spans="1:26" ht="29.25">
      <c r="A78" s="12" t="s">
        <v>228</v>
      </c>
      <c r="B78" s="6" t="s">
        <v>494</v>
      </c>
      <c r="C78" s="6"/>
      <c r="D78" s="6"/>
      <c r="E78" s="6" t="s">
        <v>580</v>
      </c>
      <c r="F78" s="6" t="s">
        <v>54</v>
      </c>
      <c r="G78" s="6" t="s">
        <v>216</v>
      </c>
      <c r="H78" s="6" t="s">
        <v>229</v>
      </c>
      <c r="I78" s="10" t="s">
        <v>229</v>
      </c>
      <c r="J78" s="10" t="s">
        <v>84</v>
      </c>
      <c r="K78" s="9" t="str">
        <f>"9984985"</f>
        <v>9984985</v>
      </c>
      <c r="L78" s="9" t="str">
        <f>"9984985"</f>
        <v>9984985</v>
      </c>
      <c r="M78" s="12" t="s">
        <v>496</v>
      </c>
      <c r="N78" s="8">
        <v>57.2</v>
      </c>
      <c r="O78" s="11">
        <f>IF(B78="KEEP EXISTING",N78,'Cost Review'!H73)</f>
        <v>57.2</v>
      </c>
      <c r="P78" s="8" t="str">
        <f t="shared" si="8"/>
        <v>REVIEW</v>
      </c>
      <c r="Q78" s="8">
        <v>79</v>
      </c>
      <c r="R78" s="11">
        <f>IF(B78="KEEP EXISTING",Q78,'Cost Review'!J73)</f>
        <v>79</v>
      </c>
      <c r="S78" s="6" t="str">
        <f t="shared" si="9"/>
        <v>OK</v>
      </c>
      <c r="T78" s="9" t="str">
        <f>"2998000099842"</f>
        <v>2998000099842</v>
      </c>
      <c r="U78" s="10"/>
      <c r="V78" s="6" t="str">
        <f t="shared" si="10"/>
        <v>MISSING</v>
      </c>
      <c r="W78" s="9">
        <v>0</v>
      </c>
      <c r="X78" s="9">
        <v>0</v>
      </c>
      <c r="Y78" s="6" t="str">
        <f>IF(B78="KEEP EXISTING","Already in POS",IF(O78&lt;=0,"Blocked: cost",IF(OR(R78&lt;=0,R78&gt;100000),"Blocked: retail",IF(U78="","Blocked: image",IF(Summary!$B$3="APPROVED","READY","Pending approval")))))</f>
        <v>Blocked: image</v>
      </c>
      <c r="Z78" s="6" t="s">
        <v>230</v>
      </c>
    </row>
    <row r="79" spans="1:26" ht="43.5">
      <c r="A79" s="12" t="s">
        <v>231</v>
      </c>
      <c r="B79" s="6" t="s">
        <v>494</v>
      </c>
      <c r="C79" s="6"/>
      <c r="D79" s="6"/>
      <c r="E79" s="6" t="s">
        <v>515</v>
      </c>
      <c r="F79" s="6" t="s">
        <v>54</v>
      </c>
      <c r="G79" s="6" t="s">
        <v>55</v>
      </c>
      <c r="H79" s="6" t="s">
        <v>232</v>
      </c>
      <c r="I79" s="10" t="s">
        <v>232</v>
      </c>
      <c r="J79" s="10" t="s">
        <v>226</v>
      </c>
      <c r="K79" s="9" t="str">
        <f>"998326"</f>
        <v>998326</v>
      </c>
      <c r="L79" s="9" t="str">
        <f>"998326"</f>
        <v>998326</v>
      </c>
      <c r="M79" s="12" t="s">
        <v>496</v>
      </c>
      <c r="N79" s="8">
        <v>0</v>
      </c>
      <c r="O79" s="11">
        <f>IF(B79="KEEP EXISTING",N79,'Cost Review'!H74)</f>
        <v>70</v>
      </c>
      <c r="P79" s="8" t="str">
        <f t="shared" si="8"/>
        <v>REVIEW</v>
      </c>
      <c r="Q79" s="8">
        <v>85</v>
      </c>
      <c r="R79" s="11">
        <f>IF(B79="KEEP EXISTING",Q79,'Cost Review'!J74)</f>
        <v>85</v>
      </c>
      <c r="S79" s="6" t="str">
        <f t="shared" si="9"/>
        <v>OK</v>
      </c>
      <c r="T79" s="9" t="str">
        <f>"2998000099835"</f>
        <v>2998000099835</v>
      </c>
      <c r="U79" s="10"/>
      <c r="V79" s="6" t="str">
        <f t="shared" si="10"/>
        <v>MISSING</v>
      </c>
      <c r="W79" s="9">
        <v>0</v>
      </c>
      <c r="X79" s="9">
        <v>0</v>
      </c>
      <c r="Y79" s="6" t="str">
        <f>IF(B79="KEEP EXISTING","Already in POS",IF(O79&lt;=0,"Blocked: cost",IF(OR(R79&lt;=0,R79&gt;100000),"Blocked: retail",IF(U79="","Blocked: image",IF(Summary!$B$3="APPROVED","READY","Pending approval")))))</f>
        <v>Blocked: image</v>
      </c>
      <c r="Z79" s="6" t="s">
        <v>227</v>
      </c>
    </row>
    <row r="80" spans="1:26" ht="43.5">
      <c r="A80" s="12" t="s">
        <v>233</v>
      </c>
      <c r="B80" s="6" t="s">
        <v>494</v>
      </c>
      <c r="C80" s="6"/>
      <c r="D80" s="6"/>
      <c r="E80" s="6" t="s">
        <v>515</v>
      </c>
      <c r="F80" s="6" t="s">
        <v>54</v>
      </c>
      <c r="G80" s="6" t="s">
        <v>55</v>
      </c>
      <c r="H80" s="6" t="s">
        <v>234</v>
      </c>
      <c r="I80" s="10" t="s">
        <v>234</v>
      </c>
      <c r="J80" s="10" t="s">
        <v>226</v>
      </c>
      <c r="K80" s="9" t="str">
        <f>"997824"</f>
        <v>997824</v>
      </c>
      <c r="L80" s="9" t="str">
        <f>"997824"</f>
        <v>997824</v>
      </c>
      <c r="M80" s="12" t="s">
        <v>496</v>
      </c>
      <c r="N80" s="8">
        <v>0</v>
      </c>
      <c r="O80" s="11">
        <f>IF(B80="KEEP EXISTING",N80,'Cost Review'!H75)</f>
        <v>50</v>
      </c>
      <c r="P80" s="8" t="str">
        <f t="shared" si="8"/>
        <v>REVIEW</v>
      </c>
      <c r="Q80" s="8">
        <v>69</v>
      </c>
      <c r="R80" s="11">
        <f>IF(B80="KEEP EXISTING",Q80,'Cost Review'!J75)</f>
        <v>69</v>
      </c>
      <c r="S80" s="6" t="str">
        <f t="shared" si="9"/>
        <v>OK</v>
      </c>
      <c r="T80" s="9" t="str">
        <f>"2998000099781"</f>
        <v>2998000099781</v>
      </c>
      <c r="U80" s="10"/>
      <c r="V80" s="6" t="str">
        <f t="shared" si="10"/>
        <v>MISSING</v>
      </c>
      <c r="W80" s="9">
        <v>0</v>
      </c>
      <c r="X80" s="9">
        <v>0</v>
      </c>
      <c r="Y80" s="6" t="str">
        <f>IF(B80="KEEP EXISTING","Already in POS",IF(O80&lt;=0,"Blocked: cost",IF(OR(R80&lt;=0,R80&gt;100000),"Blocked: retail",IF(U80="","Blocked: image",IF(Summary!$B$3="APPROVED","READY","Pending approval")))))</f>
        <v>Blocked: image</v>
      </c>
      <c r="Z80" s="6" t="s">
        <v>227</v>
      </c>
    </row>
    <row r="81" spans="1:26" ht="43.5">
      <c r="A81" s="12" t="s">
        <v>235</v>
      </c>
      <c r="B81" s="6" t="s">
        <v>494</v>
      </c>
      <c r="C81" s="6"/>
      <c r="D81" s="6"/>
      <c r="E81" s="6" t="s">
        <v>515</v>
      </c>
      <c r="F81" s="6" t="s">
        <v>54</v>
      </c>
      <c r="G81" s="6" t="s">
        <v>55</v>
      </c>
      <c r="H81" s="6" t="s">
        <v>236</v>
      </c>
      <c r="I81" s="10" t="s">
        <v>236</v>
      </c>
      <c r="J81" s="10" t="s">
        <v>237</v>
      </c>
      <c r="K81" s="9" t="str">
        <f>"964912"</f>
        <v>964912</v>
      </c>
      <c r="L81" s="9" t="str">
        <f>"TM8-COMP-9672"</f>
        <v>TM8-COMP-9672</v>
      </c>
      <c r="M81" s="12" t="s">
        <v>543</v>
      </c>
      <c r="N81" s="8">
        <v>2.5</v>
      </c>
      <c r="O81" s="11">
        <f>IF(B81="KEEP EXISTING",N81,'Cost Review'!H76)</f>
        <v>2.5</v>
      </c>
      <c r="P81" s="8" t="str">
        <f t="shared" si="8"/>
        <v>REVIEW</v>
      </c>
      <c r="Q81" s="8">
        <v>9.99</v>
      </c>
      <c r="R81" s="11">
        <f>IF(B81="KEEP EXISTING",Q81,'Cost Review'!J76)</f>
        <v>9.99</v>
      </c>
      <c r="S81" s="6" t="str">
        <f t="shared" si="9"/>
        <v>OK</v>
      </c>
      <c r="T81" s="9" t="str">
        <f>"2998000096728"</f>
        <v>2998000096728</v>
      </c>
      <c r="U81" s="10" t="s">
        <v>611</v>
      </c>
      <c r="V81" s="6" t="str">
        <f t="shared" si="10"/>
        <v>FOUND</v>
      </c>
      <c r="W81" s="9">
        <v>-1</v>
      </c>
      <c r="X81" s="9">
        <v>0</v>
      </c>
      <c r="Y81" s="6" t="str">
        <f>IF(B81="KEEP EXISTING","Already in POS",IF(O81&lt;=0,"Blocked: cost",IF(OR(R81&lt;=0,R81&gt;100000),"Blocked: retail",IF(U81="","Blocked: image",IF(Summary!$B$3="APPROVED","READY","Pending approval")))))</f>
        <v>Pending approval</v>
      </c>
      <c r="Z81" s="6" t="s">
        <v>238</v>
      </c>
    </row>
    <row r="82" spans="1:26" ht="43.5">
      <c r="A82" s="12" t="s">
        <v>239</v>
      </c>
      <c r="B82" s="6" t="s">
        <v>494</v>
      </c>
      <c r="C82" s="6"/>
      <c r="D82" s="6"/>
      <c r="E82" s="6" t="s">
        <v>515</v>
      </c>
      <c r="F82" s="6" t="s">
        <v>54</v>
      </c>
      <c r="G82" s="6" t="s">
        <v>55</v>
      </c>
      <c r="H82" s="6" t="s">
        <v>240</v>
      </c>
      <c r="I82" s="10" t="s">
        <v>240</v>
      </c>
      <c r="J82" s="10" t="s">
        <v>241</v>
      </c>
      <c r="K82" s="9" t="str">
        <f>"964912"</f>
        <v>964912</v>
      </c>
      <c r="L82" s="9" t="str">
        <f>"TM8-COMP-9671"</f>
        <v>TM8-COMP-9671</v>
      </c>
      <c r="M82" s="12" t="s">
        <v>543</v>
      </c>
      <c r="N82" s="8">
        <v>12</v>
      </c>
      <c r="O82" s="11">
        <f>IF(B82="KEEP EXISTING",N82,'Cost Review'!H77)</f>
        <v>12</v>
      </c>
      <c r="P82" s="8" t="str">
        <f t="shared" si="8"/>
        <v>REVIEW</v>
      </c>
      <c r="Q82" s="8">
        <v>19</v>
      </c>
      <c r="R82" s="11">
        <f>IF(B82="KEEP EXISTING",Q82,'Cost Review'!J77)</f>
        <v>19</v>
      </c>
      <c r="S82" s="6" t="str">
        <f t="shared" si="9"/>
        <v>OK</v>
      </c>
      <c r="T82" s="9" t="str">
        <f>"2998000096711"</f>
        <v>2998000096711</v>
      </c>
      <c r="U82" s="10" t="s">
        <v>612</v>
      </c>
      <c r="V82" s="6" t="str">
        <f t="shared" si="10"/>
        <v>FOUND</v>
      </c>
      <c r="W82" s="9">
        <v>0</v>
      </c>
      <c r="X82" s="9">
        <v>0</v>
      </c>
      <c r="Y82" s="6" t="str">
        <f>IF(B82="KEEP EXISTING","Already in POS",IF(O82&lt;=0,"Blocked: cost",IF(OR(R82&lt;=0,R82&gt;100000),"Blocked: retail",IF(U82="","Blocked: image",IF(Summary!$B$3="APPROVED","READY","Pending approval")))))</f>
        <v>Pending approval</v>
      </c>
      <c r="Z82" s="6"/>
    </row>
    <row r="83" spans="1:26" ht="43.5">
      <c r="A83" s="12" t="s">
        <v>242</v>
      </c>
      <c r="B83" s="6" t="s">
        <v>494</v>
      </c>
      <c r="C83" s="6"/>
      <c r="D83" s="6"/>
      <c r="E83" s="6" t="s">
        <v>517</v>
      </c>
      <c r="F83" s="6" t="s">
        <v>89</v>
      </c>
      <c r="G83" s="6" t="s">
        <v>90</v>
      </c>
      <c r="H83" s="6" t="s">
        <v>243</v>
      </c>
      <c r="I83" s="10" t="s">
        <v>243</v>
      </c>
      <c r="J83" s="10" t="s">
        <v>88</v>
      </c>
      <c r="K83" s="9" t="str">
        <f>"966019"</f>
        <v>966019</v>
      </c>
      <c r="L83" s="9" t="str">
        <f>"966019"</f>
        <v>966019</v>
      </c>
      <c r="M83" s="12" t="s">
        <v>496</v>
      </c>
      <c r="N83" s="8">
        <v>54</v>
      </c>
      <c r="O83" s="11">
        <f>IF(B83="KEEP EXISTING",N83,'Cost Review'!H78)</f>
        <v>54</v>
      </c>
      <c r="P83" s="8" t="str">
        <f t="shared" si="8"/>
        <v>REVIEW</v>
      </c>
      <c r="Q83" s="8">
        <v>99</v>
      </c>
      <c r="R83" s="11">
        <f>IF(B83="KEEP EXISTING",Q83,'Cost Review'!J78)</f>
        <v>99</v>
      </c>
      <c r="S83" s="6" t="str">
        <f t="shared" si="9"/>
        <v>OK</v>
      </c>
      <c r="T83" s="9" t="str">
        <f>"2998000096605"</f>
        <v>2998000096605</v>
      </c>
      <c r="U83" s="10" t="s">
        <v>613</v>
      </c>
      <c r="V83" s="6" t="str">
        <f t="shared" si="10"/>
        <v>FOUND</v>
      </c>
      <c r="W83" s="9">
        <v>0</v>
      </c>
      <c r="X83" s="9">
        <v>0</v>
      </c>
      <c r="Y83" s="6" t="str">
        <f>IF(B83="KEEP EXISTING","Already in POS",IF(O83&lt;=0,"Blocked: cost",IF(OR(R83&lt;=0,R83&gt;100000),"Blocked: retail",IF(U83="","Blocked: image",IF(Summary!$B$3="APPROVED","READY","Pending approval")))))</f>
        <v>Pending approval</v>
      </c>
      <c r="Z83" s="6"/>
    </row>
    <row r="84" spans="1:26" ht="43.5">
      <c r="A84" s="12" t="s">
        <v>244</v>
      </c>
      <c r="B84" s="6" t="s">
        <v>494</v>
      </c>
      <c r="C84" s="6"/>
      <c r="D84" s="6"/>
      <c r="E84" s="6" t="s">
        <v>517</v>
      </c>
      <c r="F84" s="6" t="s">
        <v>89</v>
      </c>
      <c r="G84" s="6" t="s">
        <v>90</v>
      </c>
      <c r="H84" s="6" t="s">
        <v>245</v>
      </c>
      <c r="I84" s="10" t="s">
        <v>245</v>
      </c>
      <c r="J84" s="10" t="s">
        <v>88</v>
      </c>
      <c r="K84" s="9" t="str">
        <f>"965988818"</f>
        <v>965988818</v>
      </c>
      <c r="L84" s="9" t="str">
        <f>"965988818"</f>
        <v>965988818</v>
      </c>
      <c r="M84" s="12" t="s">
        <v>496</v>
      </c>
      <c r="N84" s="8">
        <v>54</v>
      </c>
      <c r="O84" s="11">
        <f>IF(B84="KEEP EXISTING",N84,'Cost Review'!H79)</f>
        <v>54</v>
      </c>
      <c r="P84" s="8" t="str">
        <f t="shared" si="8"/>
        <v>REVIEW</v>
      </c>
      <c r="Q84" s="8">
        <v>149</v>
      </c>
      <c r="R84" s="11">
        <f>IF(B84="KEEP EXISTING",Q84,'Cost Review'!J79)</f>
        <v>149</v>
      </c>
      <c r="S84" s="6" t="str">
        <f t="shared" si="9"/>
        <v>OK</v>
      </c>
      <c r="T84" s="9" t="str">
        <f>"965988818"</f>
        <v>965988818</v>
      </c>
      <c r="U84" s="10" t="s">
        <v>614</v>
      </c>
      <c r="V84" s="6" t="str">
        <f t="shared" si="10"/>
        <v>FOUND</v>
      </c>
      <c r="W84" s="9">
        <v>0</v>
      </c>
      <c r="X84" s="9">
        <v>0</v>
      </c>
      <c r="Y84" s="6" t="str">
        <f>IF(B84="KEEP EXISTING","Already in POS",IF(O84&lt;=0,"Blocked: cost",IF(OR(R84&lt;=0,R84&gt;100000),"Blocked: retail",IF(U84="","Blocked: image",IF(Summary!$B$3="APPROVED","READY","Pending approval")))))</f>
        <v>Pending approval</v>
      </c>
      <c r="Z84" s="6"/>
    </row>
    <row r="85" spans="1:26" ht="29.25">
      <c r="A85" s="12" t="s">
        <v>246</v>
      </c>
      <c r="B85" s="6" t="s">
        <v>494</v>
      </c>
      <c r="C85" s="6"/>
      <c r="D85" s="6"/>
      <c r="E85" s="6" t="s">
        <v>522</v>
      </c>
      <c r="F85" s="6" t="s">
        <v>54</v>
      </c>
      <c r="G85" s="6" t="s">
        <v>60</v>
      </c>
      <c r="H85" s="6" t="s">
        <v>247</v>
      </c>
      <c r="I85" s="10" t="s">
        <v>247</v>
      </c>
      <c r="J85" s="10" t="s">
        <v>138</v>
      </c>
      <c r="K85" s="9" t="str">
        <f>"965717"</f>
        <v>965717</v>
      </c>
      <c r="L85" s="9" t="str">
        <f>"TM8-COMP-9658"</f>
        <v>TM8-COMP-9658</v>
      </c>
      <c r="M85" s="12" t="s">
        <v>543</v>
      </c>
      <c r="N85" s="8">
        <v>7</v>
      </c>
      <c r="O85" s="11">
        <f>IF(B85="KEEP EXISTING",N85,'Cost Review'!H80)</f>
        <v>7</v>
      </c>
      <c r="P85" s="8" t="str">
        <f t="shared" si="8"/>
        <v>REVIEW</v>
      </c>
      <c r="Q85" s="8">
        <v>49.95</v>
      </c>
      <c r="R85" s="11">
        <f>IF(B85="KEEP EXISTING",Q85,'Cost Review'!J80)</f>
        <v>49.95</v>
      </c>
      <c r="S85" s="6" t="str">
        <f t="shared" si="9"/>
        <v>OK</v>
      </c>
      <c r="T85" s="9" t="str">
        <f>"2998000096582"</f>
        <v>2998000096582</v>
      </c>
      <c r="U85" s="10" t="s">
        <v>615</v>
      </c>
      <c r="V85" s="6" t="str">
        <f t="shared" si="10"/>
        <v>FOUND</v>
      </c>
      <c r="W85" s="9">
        <v>37</v>
      </c>
      <c r="X85" s="9">
        <v>0</v>
      </c>
      <c r="Y85" s="6" t="str">
        <f>IF(B85="KEEP EXISTING","Already in POS",IF(O85&lt;=0,"Blocked: cost",IF(OR(R85&lt;=0,R85&gt;100000),"Blocked: retail",IF(U85="","Blocked: image",IF(Summary!$B$3="APPROVED","READY","Pending approval")))))</f>
        <v>Pending approval</v>
      </c>
      <c r="Z85" s="6" t="s">
        <v>248</v>
      </c>
    </row>
    <row r="86" spans="1:26" ht="43.5">
      <c r="A86" s="12" t="s">
        <v>249</v>
      </c>
      <c r="B86" s="6" t="s">
        <v>494</v>
      </c>
      <c r="C86" s="6"/>
      <c r="D86" s="6"/>
      <c r="E86" s="6" t="s">
        <v>522</v>
      </c>
      <c r="F86" s="6" t="s">
        <v>54</v>
      </c>
      <c r="G86" s="6" t="s">
        <v>60</v>
      </c>
      <c r="H86" s="6" t="s">
        <v>250</v>
      </c>
      <c r="I86" s="10" t="s">
        <v>250</v>
      </c>
      <c r="J86" s="10" t="s">
        <v>138</v>
      </c>
      <c r="K86" s="9" t="str">
        <f>"965717"</f>
        <v>965717</v>
      </c>
      <c r="L86" s="9" t="str">
        <f>"TM8-COMP-9657"</f>
        <v>TM8-COMP-9657</v>
      </c>
      <c r="M86" s="12" t="s">
        <v>543</v>
      </c>
      <c r="N86" s="8">
        <v>7</v>
      </c>
      <c r="O86" s="11">
        <f>IF(B86="KEEP EXISTING",N86,'Cost Review'!H81)</f>
        <v>7</v>
      </c>
      <c r="P86" s="8" t="str">
        <f t="shared" si="8"/>
        <v>REVIEW</v>
      </c>
      <c r="Q86" s="8">
        <v>49.95</v>
      </c>
      <c r="R86" s="11">
        <f>IF(B86="KEEP EXISTING",Q86,'Cost Review'!J81)</f>
        <v>49.95</v>
      </c>
      <c r="S86" s="6" t="str">
        <f t="shared" si="9"/>
        <v>OK</v>
      </c>
      <c r="T86" s="9" t="str">
        <f>"2998000096575"</f>
        <v>2998000096575</v>
      </c>
      <c r="U86" s="10" t="s">
        <v>616</v>
      </c>
      <c r="V86" s="6" t="str">
        <f t="shared" si="10"/>
        <v>FOUND</v>
      </c>
      <c r="W86" s="9">
        <v>0</v>
      </c>
      <c r="X86" s="9">
        <v>0</v>
      </c>
      <c r="Y86" s="6" t="str">
        <f>IF(B86="KEEP EXISTING","Already in POS",IF(O86&lt;=0,"Blocked: cost",IF(OR(R86&lt;=0,R86&gt;100000),"Blocked: retail",IF(U86="","Blocked: image",IF(Summary!$B$3="APPROVED","READY","Pending approval")))))</f>
        <v>Pending approval</v>
      </c>
      <c r="Z86" s="6"/>
    </row>
    <row r="87" spans="1:26" ht="43.5">
      <c r="A87" s="12" t="s">
        <v>251</v>
      </c>
      <c r="B87" s="6" t="s">
        <v>494</v>
      </c>
      <c r="C87" s="6"/>
      <c r="D87" s="6"/>
      <c r="E87" s="6" t="s">
        <v>522</v>
      </c>
      <c r="F87" s="6" t="s">
        <v>54</v>
      </c>
      <c r="G87" s="6" t="s">
        <v>60</v>
      </c>
      <c r="H87" s="6" t="s">
        <v>252</v>
      </c>
      <c r="I87" s="10" t="s">
        <v>252</v>
      </c>
      <c r="J87" s="10" t="s">
        <v>39</v>
      </c>
      <c r="K87" s="9" t="str">
        <f>"965616"</f>
        <v>965616</v>
      </c>
      <c r="L87" s="9" t="str">
        <f>"965616"</f>
        <v>965616</v>
      </c>
      <c r="M87" s="12" t="s">
        <v>496</v>
      </c>
      <c r="N87" s="8">
        <v>20</v>
      </c>
      <c r="O87" s="11">
        <f>IF(B87="KEEP EXISTING",N87,'Cost Review'!H82)</f>
        <v>20</v>
      </c>
      <c r="P87" s="8" t="str">
        <f t="shared" si="8"/>
        <v>REVIEW</v>
      </c>
      <c r="Q87" s="8">
        <v>99</v>
      </c>
      <c r="R87" s="11">
        <f>IF(B87="KEEP EXISTING",Q87,'Cost Review'!J82)</f>
        <v>99</v>
      </c>
      <c r="S87" s="6" t="str">
        <f t="shared" si="9"/>
        <v>OK</v>
      </c>
      <c r="T87" s="9" t="str">
        <f>"2998000096568"</f>
        <v>2998000096568</v>
      </c>
      <c r="U87" s="10" t="s">
        <v>617</v>
      </c>
      <c r="V87" s="6" t="str">
        <f t="shared" si="10"/>
        <v>FOUND</v>
      </c>
      <c r="W87" s="9">
        <v>31</v>
      </c>
      <c r="X87" s="9">
        <v>0</v>
      </c>
      <c r="Y87" s="6" t="str">
        <f>IF(B87="KEEP EXISTING","Already in POS",IF(O87&lt;=0,"Blocked: cost",IF(OR(R87&lt;=0,R87&gt;100000),"Blocked: retail",IF(U87="","Blocked: image",IF(Summary!$B$3="APPROVED","READY","Pending approval")))))</f>
        <v>Pending approval</v>
      </c>
      <c r="Z87" s="6" t="s">
        <v>253</v>
      </c>
    </row>
    <row r="88" spans="1:26" ht="43.5">
      <c r="A88" s="12" t="s">
        <v>254</v>
      </c>
      <c r="B88" s="6" t="s">
        <v>494</v>
      </c>
      <c r="C88" s="6"/>
      <c r="D88" s="6"/>
      <c r="E88" s="6" t="s">
        <v>522</v>
      </c>
      <c r="F88" s="6" t="s">
        <v>54</v>
      </c>
      <c r="G88" s="6" t="s">
        <v>60</v>
      </c>
      <c r="H88" s="6" t="s">
        <v>255</v>
      </c>
      <c r="I88" s="10" t="s">
        <v>255</v>
      </c>
      <c r="J88" s="10" t="s">
        <v>138</v>
      </c>
      <c r="K88" s="9" t="str">
        <f>"965515"</f>
        <v>965515</v>
      </c>
      <c r="L88" s="9" t="str">
        <f>"965515"</f>
        <v>965515</v>
      </c>
      <c r="M88" s="12" t="s">
        <v>496</v>
      </c>
      <c r="N88" s="8">
        <v>20</v>
      </c>
      <c r="O88" s="11">
        <f>IF(B88="KEEP EXISTING",N88,'Cost Review'!H83)</f>
        <v>20</v>
      </c>
      <c r="P88" s="8" t="str">
        <f t="shared" si="8"/>
        <v>REVIEW</v>
      </c>
      <c r="Q88" s="8">
        <v>79</v>
      </c>
      <c r="R88" s="11">
        <f>IF(B88="KEEP EXISTING",Q88,'Cost Review'!J83)</f>
        <v>79</v>
      </c>
      <c r="S88" s="6" t="str">
        <f t="shared" si="9"/>
        <v>OK</v>
      </c>
      <c r="T88" s="9" t="str">
        <f>"2998000096551"</f>
        <v>2998000096551</v>
      </c>
      <c r="U88" s="10" t="s">
        <v>618</v>
      </c>
      <c r="V88" s="6" t="str">
        <f t="shared" si="10"/>
        <v>FOUND</v>
      </c>
      <c r="W88" s="9">
        <v>1</v>
      </c>
      <c r="X88" s="9">
        <v>0</v>
      </c>
      <c r="Y88" s="6" t="str">
        <f>IF(B88="KEEP EXISTING","Already in POS",IF(O88&lt;=0,"Blocked: cost",IF(OR(R88&lt;=0,R88&gt;100000),"Blocked: retail",IF(U88="","Blocked: image",IF(Summary!$B$3="APPROVED","READY","Pending approval")))))</f>
        <v>Pending approval</v>
      </c>
      <c r="Z88" s="6" t="s">
        <v>75</v>
      </c>
    </row>
    <row r="89" spans="1:26" ht="43.5">
      <c r="A89" s="12" t="s">
        <v>256</v>
      </c>
      <c r="B89" s="6" t="s">
        <v>494</v>
      </c>
      <c r="C89" s="6"/>
      <c r="D89" s="6"/>
      <c r="E89" s="6" t="s">
        <v>504</v>
      </c>
      <c r="F89" s="6" t="s">
        <v>54</v>
      </c>
      <c r="G89" s="6" t="s">
        <v>60</v>
      </c>
      <c r="H89" s="6" t="s">
        <v>257</v>
      </c>
      <c r="I89" s="10" t="s">
        <v>257</v>
      </c>
      <c r="J89" s="10" t="s">
        <v>138</v>
      </c>
      <c r="K89" s="9" t="str">
        <f>"965414"</f>
        <v>965414</v>
      </c>
      <c r="L89" s="9" t="str">
        <f>"965414"</f>
        <v>965414</v>
      </c>
      <c r="M89" s="12" t="s">
        <v>496</v>
      </c>
      <c r="N89" s="8">
        <v>25</v>
      </c>
      <c r="O89" s="11">
        <f>IF(B89="KEEP EXISTING",N89,'Cost Review'!H84)</f>
        <v>25</v>
      </c>
      <c r="P89" s="8" t="str">
        <f t="shared" si="8"/>
        <v>REVIEW</v>
      </c>
      <c r="Q89" s="8">
        <v>99</v>
      </c>
      <c r="R89" s="11">
        <f>IF(B89="KEEP EXISTING",Q89,'Cost Review'!J84)</f>
        <v>99</v>
      </c>
      <c r="S89" s="6" t="str">
        <f t="shared" si="9"/>
        <v>OK</v>
      </c>
      <c r="T89" s="9" t="str">
        <f>"2998000096544"</f>
        <v>2998000096544</v>
      </c>
      <c r="U89" s="10" t="s">
        <v>619</v>
      </c>
      <c r="V89" s="6" t="str">
        <f t="shared" si="10"/>
        <v>FOUND</v>
      </c>
      <c r="W89" s="9">
        <v>17</v>
      </c>
      <c r="X89" s="9">
        <v>0</v>
      </c>
      <c r="Y89" s="6" t="str">
        <f>IF(B89="KEEP EXISTING","Already in POS",IF(O89&lt;=0,"Blocked: cost",IF(OR(R89&lt;=0,R89&gt;100000),"Blocked: retail",IF(U89="","Blocked: image",IF(Summary!$B$3="APPROVED","READY","Pending approval")))))</f>
        <v>Pending approval</v>
      </c>
      <c r="Z89" s="6" t="s">
        <v>258</v>
      </c>
    </row>
    <row r="90" spans="1:26" ht="43.5">
      <c r="A90" s="12" t="s">
        <v>259</v>
      </c>
      <c r="B90" s="6" t="s">
        <v>494</v>
      </c>
      <c r="C90" s="6"/>
      <c r="D90" s="6"/>
      <c r="E90" s="6" t="s">
        <v>522</v>
      </c>
      <c r="F90" s="6" t="s">
        <v>54</v>
      </c>
      <c r="G90" s="6" t="s">
        <v>60</v>
      </c>
      <c r="H90" s="6" t="s">
        <v>260</v>
      </c>
      <c r="I90" s="10" t="s">
        <v>260</v>
      </c>
      <c r="J90" s="10" t="s">
        <v>261</v>
      </c>
      <c r="K90" s="9" t="str">
        <f>"965313"</f>
        <v>965313</v>
      </c>
      <c r="L90" s="9" t="str">
        <f>"965313"</f>
        <v>965313</v>
      </c>
      <c r="M90" s="12" t="s">
        <v>496</v>
      </c>
      <c r="N90" s="8">
        <v>45</v>
      </c>
      <c r="O90" s="11">
        <f>IF(B90="KEEP EXISTING",N90,'Cost Review'!H85)</f>
        <v>45</v>
      </c>
      <c r="P90" s="8" t="str">
        <f t="shared" si="8"/>
        <v>REVIEW</v>
      </c>
      <c r="Q90" s="8">
        <v>69</v>
      </c>
      <c r="R90" s="11">
        <f>IF(B90="KEEP EXISTING",Q90,'Cost Review'!J85)</f>
        <v>69</v>
      </c>
      <c r="S90" s="6" t="str">
        <f t="shared" si="9"/>
        <v>OK</v>
      </c>
      <c r="T90" s="9" t="str">
        <f>"2998000096537"</f>
        <v>2998000096537</v>
      </c>
      <c r="U90" s="10" t="s">
        <v>620</v>
      </c>
      <c r="V90" s="6" t="str">
        <f t="shared" si="10"/>
        <v>FOUND</v>
      </c>
      <c r="W90" s="9">
        <v>0</v>
      </c>
      <c r="X90" s="9">
        <v>0</v>
      </c>
      <c r="Y90" s="6" t="str">
        <f>IF(B90="KEEP EXISTING","Already in POS",IF(O90&lt;=0,"Blocked: cost",IF(OR(R90&lt;=0,R90&gt;100000),"Blocked: retail",IF(U90="","Blocked: image",IF(Summary!$B$3="APPROVED","READY","Pending approval")))))</f>
        <v>Pending approval</v>
      </c>
      <c r="Z90" s="6"/>
    </row>
    <row r="91" spans="1:26" ht="43.5">
      <c r="A91" s="12" t="s">
        <v>262</v>
      </c>
      <c r="B91" s="6" t="s">
        <v>494</v>
      </c>
      <c r="C91" s="6"/>
      <c r="D91" s="6"/>
      <c r="E91" s="6" t="s">
        <v>515</v>
      </c>
      <c r="F91" s="6" t="s">
        <v>54</v>
      </c>
      <c r="G91" s="6" t="s">
        <v>55</v>
      </c>
      <c r="H91" s="6" t="s">
        <v>263</v>
      </c>
      <c r="I91" s="10" t="s">
        <v>263</v>
      </c>
      <c r="J91" s="10" t="s">
        <v>226</v>
      </c>
      <c r="K91" s="9" t="str">
        <f>"964912"</f>
        <v>964912</v>
      </c>
      <c r="L91" s="9" t="str">
        <f>"TM8-COMP-9649"</f>
        <v>TM8-COMP-9649</v>
      </c>
      <c r="M91" s="12" t="s">
        <v>543</v>
      </c>
      <c r="N91" s="8">
        <v>0</v>
      </c>
      <c r="O91" s="11">
        <f>IF(B91="KEEP EXISTING",N91,'Cost Review'!H86)</f>
        <v>0</v>
      </c>
      <c r="P91" s="8" t="str">
        <f t="shared" si="8"/>
        <v>MISSING</v>
      </c>
      <c r="Q91" s="8">
        <v>119</v>
      </c>
      <c r="R91" s="11">
        <f>IF(B91="KEEP EXISTING",Q91,'Cost Review'!J86)</f>
        <v>119</v>
      </c>
      <c r="S91" s="6" t="str">
        <f t="shared" si="9"/>
        <v>OK</v>
      </c>
      <c r="T91" s="9" t="str">
        <f>"2998000096490"</f>
        <v>2998000096490</v>
      </c>
      <c r="U91" s="10" t="s">
        <v>621</v>
      </c>
      <c r="V91" s="6" t="str">
        <f t="shared" si="10"/>
        <v>FOUND</v>
      </c>
      <c r="W91" s="9">
        <v>0</v>
      </c>
      <c r="X91" s="9">
        <v>0</v>
      </c>
      <c r="Y91" s="6" t="str">
        <f>IF(B91="KEEP EXISTING","Already in POS",IF(O91&lt;=0,"Blocked: cost",IF(OR(R91&lt;=0,R91&gt;100000),"Blocked: retail",IF(U91="","Blocked: image",IF(Summary!$B$3="APPROVED","READY","Pending approval")))))</f>
        <v>Blocked: cost</v>
      </c>
      <c r="Z91" s="6" t="s">
        <v>223</v>
      </c>
    </row>
    <row r="92" spans="1:26" ht="43.5">
      <c r="A92" s="12" t="s">
        <v>264</v>
      </c>
      <c r="B92" s="6" t="s">
        <v>494</v>
      </c>
      <c r="C92" s="6"/>
      <c r="D92" s="6"/>
      <c r="E92" s="6" t="s">
        <v>519</v>
      </c>
      <c r="F92" s="6" t="s">
        <v>69</v>
      </c>
      <c r="G92" s="6" t="s">
        <v>93</v>
      </c>
      <c r="H92" s="6" t="s">
        <v>265</v>
      </c>
      <c r="I92" s="10" t="s">
        <v>265</v>
      </c>
      <c r="J92" s="10" t="s">
        <v>138</v>
      </c>
      <c r="K92" s="9" t="str">
        <f>"964710"</f>
        <v>964710</v>
      </c>
      <c r="L92" s="9" t="str">
        <f>"964710"</f>
        <v>964710</v>
      </c>
      <c r="M92" s="12" t="s">
        <v>496</v>
      </c>
      <c r="N92" s="8">
        <v>7</v>
      </c>
      <c r="O92" s="11">
        <f>IF(B92="KEEP EXISTING",N92,'Cost Review'!H87)</f>
        <v>7</v>
      </c>
      <c r="P92" s="8" t="str">
        <f t="shared" si="8"/>
        <v>REVIEW</v>
      </c>
      <c r="Q92" s="8">
        <v>29</v>
      </c>
      <c r="R92" s="11">
        <f>IF(B92="KEEP EXISTING",Q92,'Cost Review'!J87)</f>
        <v>29</v>
      </c>
      <c r="S92" s="6" t="str">
        <f t="shared" si="9"/>
        <v>OK</v>
      </c>
      <c r="T92" s="9" t="str">
        <f>"2998000096476"</f>
        <v>2998000096476</v>
      </c>
      <c r="U92" s="10" t="s">
        <v>622</v>
      </c>
      <c r="V92" s="6" t="str">
        <f t="shared" si="10"/>
        <v>FOUND</v>
      </c>
      <c r="W92" s="9">
        <v>19</v>
      </c>
      <c r="X92" s="9">
        <v>0</v>
      </c>
      <c r="Y92" s="6" t="str">
        <f>IF(B92="KEEP EXISTING","Already in POS",IF(O92&lt;=0,"Blocked: cost",IF(OR(R92&lt;=0,R92&gt;100000),"Blocked: retail",IF(U92="","Blocked: image",IF(Summary!$B$3="APPROVED","READY","Pending approval")))))</f>
        <v>Pending approval</v>
      </c>
      <c r="Z92" s="6" t="s">
        <v>266</v>
      </c>
    </row>
    <row r="93" spans="1:26" ht="43.5">
      <c r="A93" s="12" t="s">
        <v>267</v>
      </c>
      <c r="B93" s="6" t="s">
        <v>494</v>
      </c>
      <c r="C93" s="6"/>
      <c r="D93" s="6"/>
      <c r="E93" s="6" t="s">
        <v>519</v>
      </c>
      <c r="F93" s="6" t="s">
        <v>69</v>
      </c>
      <c r="G93" s="6" t="s">
        <v>93</v>
      </c>
      <c r="H93" s="6" t="s">
        <v>268</v>
      </c>
      <c r="I93" s="10" t="s">
        <v>268</v>
      </c>
      <c r="J93" s="10" t="s">
        <v>269</v>
      </c>
      <c r="K93" s="9" t="str">
        <f>"96469"</f>
        <v>96469</v>
      </c>
      <c r="L93" s="9" t="str">
        <f>"96469"</f>
        <v>96469</v>
      </c>
      <c r="M93" s="12" t="s">
        <v>496</v>
      </c>
      <c r="N93" s="8">
        <v>91</v>
      </c>
      <c r="O93" s="11">
        <f>IF(B93="KEEP EXISTING",N93,'Cost Review'!H88)</f>
        <v>91</v>
      </c>
      <c r="P93" s="8" t="str">
        <f t="shared" si="8"/>
        <v>REVIEW</v>
      </c>
      <c r="Q93" s="8">
        <v>159</v>
      </c>
      <c r="R93" s="11">
        <f>IF(B93="KEEP EXISTING",Q93,'Cost Review'!J88)</f>
        <v>159</v>
      </c>
      <c r="S93" s="6" t="str">
        <f t="shared" si="9"/>
        <v>OK</v>
      </c>
      <c r="T93" s="9" t="str">
        <f>"2998000096469"</f>
        <v>2998000096469</v>
      </c>
      <c r="U93" s="10" t="s">
        <v>623</v>
      </c>
      <c r="V93" s="6" t="str">
        <f t="shared" si="10"/>
        <v>FOUND</v>
      </c>
      <c r="W93" s="9">
        <v>-1</v>
      </c>
      <c r="X93" s="9">
        <v>0</v>
      </c>
      <c r="Y93" s="6" t="str">
        <f>IF(B93="KEEP EXISTING","Already in POS",IF(O93&lt;=0,"Blocked: cost",IF(OR(R93&lt;=0,R93&gt;100000),"Blocked: retail",IF(U93="","Blocked: image",IF(Summary!$B$3="APPROVED","READY","Pending approval")))))</f>
        <v>Pending approval</v>
      </c>
      <c r="Z93" s="6" t="s">
        <v>238</v>
      </c>
    </row>
    <row r="94" spans="1:26" ht="43.5">
      <c r="A94" s="12" t="s">
        <v>270</v>
      </c>
      <c r="B94" s="6" t="s">
        <v>494</v>
      </c>
      <c r="C94" s="6"/>
      <c r="D94" s="6"/>
      <c r="E94" s="6" t="s">
        <v>519</v>
      </c>
      <c r="F94" s="6" t="s">
        <v>69</v>
      </c>
      <c r="G94" s="6" t="s">
        <v>93</v>
      </c>
      <c r="H94" s="6" t="s">
        <v>271</v>
      </c>
      <c r="I94" s="10" t="s">
        <v>271</v>
      </c>
      <c r="J94" s="10" t="s">
        <v>269</v>
      </c>
      <c r="K94" s="9" t="str">
        <f>"96458"</f>
        <v>96458</v>
      </c>
      <c r="L94" s="9" t="str">
        <f>"96458"</f>
        <v>96458</v>
      </c>
      <c r="M94" s="12" t="s">
        <v>496</v>
      </c>
      <c r="N94" s="8">
        <v>180</v>
      </c>
      <c r="O94" s="11">
        <f>IF(B94="KEEP EXISTING",N94,'Cost Review'!H89)</f>
        <v>180</v>
      </c>
      <c r="P94" s="8" t="str">
        <f t="shared" si="8"/>
        <v>REVIEW</v>
      </c>
      <c r="Q94" s="8">
        <v>269</v>
      </c>
      <c r="R94" s="11">
        <f>IF(B94="KEEP EXISTING",Q94,'Cost Review'!J89)</f>
        <v>269</v>
      </c>
      <c r="S94" s="6" t="str">
        <f t="shared" si="9"/>
        <v>OK</v>
      </c>
      <c r="T94" s="9" t="str">
        <f>"2998000096452"</f>
        <v>2998000096452</v>
      </c>
      <c r="U94" s="10" t="s">
        <v>624</v>
      </c>
      <c r="V94" s="6" t="str">
        <f t="shared" si="10"/>
        <v>FOUND</v>
      </c>
      <c r="W94" s="9">
        <v>0</v>
      </c>
      <c r="X94" s="9">
        <v>0</v>
      </c>
      <c r="Y94" s="6" t="str">
        <f>IF(B94="KEEP EXISTING","Already in POS",IF(O94&lt;=0,"Blocked: cost",IF(OR(R94&lt;=0,R94&gt;100000),"Blocked: retail",IF(U94="","Blocked: image",IF(Summary!$B$3="APPROVED","READY","Pending approval")))))</f>
        <v>Pending approval</v>
      </c>
      <c r="Z94" s="6"/>
    </row>
    <row r="95" spans="1:26" ht="43.5">
      <c r="A95" s="12" t="s">
        <v>272</v>
      </c>
      <c r="B95" s="6" t="s">
        <v>494</v>
      </c>
      <c r="C95" s="6"/>
      <c r="D95" s="6"/>
      <c r="E95" s="6" t="s">
        <v>519</v>
      </c>
      <c r="F95" s="6" t="s">
        <v>69</v>
      </c>
      <c r="G95" s="6" t="s">
        <v>93</v>
      </c>
      <c r="H95" s="6" t="s">
        <v>273</v>
      </c>
      <c r="I95" s="10" t="s">
        <v>273</v>
      </c>
      <c r="J95" s="10" t="s">
        <v>269</v>
      </c>
      <c r="K95" s="9" t="str">
        <f>"96447"</f>
        <v>96447</v>
      </c>
      <c r="L95" s="9" t="str">
        <f>"96447"</f>
        <v>96447</v>
      </c>
      <c r="M95" s="12" t="s">
        <v>496</v>
      </c>
      <c r="N95" s="8">
        <v>110</v>
      </c>
      <c r="O95" s="11">
        <f>IF(B95="KEEP EXISTING",N95,'Cost Review'!H90)</f>
        <v>110</v>
      </c>
      <c r="P95" s="8" t="str">
        <f t="shared" si="8"/>
        <v>REVIEW</v>
      </c>
      <c r="Q95" s="8">
        <v>149</v>
      </c>
      <c r="R95" s="11">
        <f>IF(B95="KEEP EXISTING",Q95,'Cost Review'!J90)</f>
        <v>149</v>
      </c>
      <c r="S95" s="6" t="str">
        <f t="shared" si="9"/>
        <v>OK</v>
      </c>
      <c r="T95" s="9" t="str">
        <f>"2998000096445"</f>
        <v>2998000096445</v>
      </c>
      <c r="U95" s="10" t="s">
        <v>625</v>
      </c>
      <c r="V95" s="6" t="str">
        <f t="shared" si="10"/>
        <v>FOUND</v>
      </c>
      <c r="W95" s="9">
        <v>0</v>
      </c>
      <c r="X95" s="9">
        <v>0</v>
      </c>
      <c r="Y95" s="6" t="str">
        <f>IF(B95="KEEP EXISTING","Already in POS",IF(O95&lt;=0,"Blocked: cost",IF(OR(R95&lt;=0,R95&gt;100000),"Blocked: retail",IF(U95="","Blocked: image",IF(Summary!$B$3="APPROVED","READY","Pending approval")))))</f>
        <v>Pending approval</v>
      </c>
      <c r="Z95" s="6"/>
    </row>
    <row r="96" spans="1:26" ht="43.5">
      <c r="A96" s="12" t="s">
        <v>274</v>
      </c>
      <c r="B96" s="6" t="s">
        <v>494</v>
      </c>
      <c r="C96" s="6"/>
      <c r="D96" s="6"/>
      <c r="E96" s="6" t="s">
        <v>519</v>
      </c>
      <c r="F96" s="6" t="s">
        <v>69</v>
      </c>
      <c r="G96" s="6" t="s">
        <v>93</v>
      </c>
      <c r="H96" s="6" t="s">
        <v>275</v>
      </c>
      <c r="I96" s="10" t="s">
        <v>275</v>
      </c>
      <c r="J96" s="10" t="s">
        <v>269</v>
      </c>
      <c r="K96" s="9" t="str">
        <f>"96392"</f>
        <v>96392</v>
      </c>
      <c r="L96" s="9" t="str">
        <f>"96392"</f>
        <v>96392</v>
      </c>
      <c r="M96" s="12" t="s">
        <v>496</v>
      </c>
      <c r="N96" s="8">
        <v>0</v>
      </c>
      <c r="O96" s="11">
        <f>IF(B96="KEEP EXISTING",N96,'Cost Review'!H91)</f>
        <v>170</v>
      </c>
      <c r="P96" s="8" t="str">
        <f t="shared" si="8"/>
        <v>REVIEW</v>
      </c>
      <c r="Q96" s="8">
        <v>319</v>
      </c>
      <c r="R96" s="11">
        <f>IF(B96="KEEP EXISTING",Q96,'Cost Review'!J91)</f>
        <v>319</v>
      </c>
      <c r="S96" s="6" t="str">
        <f t="shared" si="9"/>
        <v>OK</v>
      </c>
      <c r="T96" s="9" t="str">
        <f>"2998000096391"</f>
        <v>2998000096391</v>
      </c>
      <c r="U96" s="10" t="s">
        <v>626</v>
      </c>
      <c r="V96" s="6" t="str">
        <f t="shared" si="10"/>
        <v>FOUND</v>
      </c>
      <c r="W96" s="9">
        <v>0</v>
      </c>
      <c r="X96" s="9">
        <v>0</v>
      </c>
      <c r="Y96" s="6" t="str">
        <f>IF(B96="KEEP EXISTING","Already in POS",IF(O96&lt;=0,"Blocked: cost",IF(OR(R96&lt;=0,R96&gt;100000),"Blocked: retail",IF(U96="","Blocked: image",IF(Summary!$B$3="APPROVED","READY","Pending approval")))))</f>
        <v>Pending approval</v>
      </c>
      <c r="Z96" s="6" t="s">
        <v>223</v>
      </c>
    </row>
    <row r="97" spans="1:26" ht="29.25">
      <c r="A97" s="12" t="s">
        <v>276</v>
      </c>
      <c r="B97" s="6" t="s">
        <v>494</v>
      </c>
      <c r="C97" s="6"/>
      <c r="D97" s="6"/>
      <c r="E97" s="6" t="s">
        <v>522</v>
      </c>
      <c r="F97" s="6" t="s">
        <v>54</v>
      </c>
      <c r="G97" s="6" t="s">
        <v>60</v>
      </c>
      <c r="H97" s="6" t="s">
        <v>277</v>
      </c>
      <c r="I97" s="10" t="s">
        <v>277</v>
      </c>
      <c r="J97" s="10" t="s">
        <v>261</v>
      </c>
      <c r="K97" s="9" t="str">
        <f>"6920377913779"</f>
        <v>6920377913779</v>
      </c>
      <c r="L97" s="9" t="str">
        <f>"6920377913779"</f>
        <v>6920377913779</v>
      </c>
      <c r="M97" s="12" t="s">
        <v>496</v>
      </c>
      <c r="N97" s="8">
        <v>102</v>
      </c>
      <c r="O97" s="11">
        <f>IF(B97="KEEP EXISTING",N97,'Cost Review'!H92)</f>
        <v>102</v>
      </c>
      <c r="P97" s="8" t="str">
        <f t="shared" si="8"/>
        <v>REVIEW</v>
      </c>
      <c r="Q97" s="8">
        <v>249</v>
      </c>
      <c r="R97" s="11">
        <f>IF(B97="KEEP EXISTING",Q97,'Cost Review'!J92)</f>
        <v>249</v>
      </c>
      <c r="S97" s="6" t="str">
        <f t="shared" si="9"/>
        <v>OK</v>
      </c>
      <c r="T97" s="9" t="str">
        <f>"6920377913779"</f>
        <v>6920377913779</v>
      </c>
      <c r="U97" s="10" t="s">
        <v>627</v>
      </c>
      <c r="V97" s="6" t="str">
        <f t="shared" si="10"/>
        <v>FOUND</v>
      </c>
      <c r="W97" s="9">
        <v>0</v>
      </c>
      <c r="X97" s="9">
        <v>0</v>
      </c>
      <c r="Y97" s="6" t="str">
        <f>IF(B97="KEEP EXISTING","Already in POS",IF(O97&lt;=0,"Blocked: cost",IF(OR(R97&lt;=0,R97&gt;100000),"Blocked: retail",IF(U97="","Blocked: image",IF(Summary!$B$3="APPROVED","READY","Pending approval")))))</f>
        <v>Pending approval</v>
      </c>
      <c r="Z97" s="6"/>
    </row>
    <row r="98" spans="1:26" ht="29.25">
      <c r="A98" s="12" t="s">
        <v>278</v>
      </c>
      <c r="B98" s="6" t="s">
        <v>494</v>
      </c>
      <c r="C98" s="6"/>
      <c r="D98" s="6"/>
      <c r="E98" s="6" t="s">
        <v>522</v>
      </c>
      <c r="F98" s="6" t="s">
        <v>54</v>
      </c>
      <c r="G98" s="6" t="s">
        <v>60</v>
      </c>
      <c r="H98" s="6" t="s">
        <v>279</v>
      </c>
      <c r="I98" s="10" t="s">
        <v>279</v>
      </c>
      <c r="J98" s="10" t="s">
        <v>261</v>
      </c>
      <c r="K98" s="9" t="str">
        <f>"6920377913786"</f>
        <v>6920377913786</v>
      </c>
      <c r="L98" s="9" t="str">
        <f>"6920377913786"</f>
        <v>6920377913786</v>
      </c>
      <c r="M98" s="12" t="s">
        <v>496</v>
      </c>
      <c r="N98" s="8">
        <v>102</v>
      </c>
      <c r="O98" s="11">
        <f>IF(B98="KEEP EXISTING",N98,'Cost Review'!H93)</f>
        <v>102</v>
      </c>
      <c r="P98" s="8" t="str">
        <f t="shared" ref="P98:P129" si="11">IF(B98="KEEP EXISTING","Existing",IF(O98&lt;=0,"MISSING","REVIEW"))</f>
        <v>REVIEW</v>
      </c>
      <c r="Q98" s="8">
        <v>249</v>
      </c>
      <c r="R98" s="11">
        <f>IF(B98="KEEP EXISTING",Q98,'Cost Review'!J93)</f>
        <v>249</v>
      </c>
      <c r="S98" s="6" t="str">
        <f t="shared" ref="S98:S129" si="12">IF(B98="KEEP EXISTING","Existing",IF(OR(R98&lt;=0,R98&gt;100000),"CHECK","OK"))</f>
        <v>OK</v>
      </c>
      <c r="T98" s="9" t="str">
        <f>"6920377913786"</f>
        <v>6920377913786</v>
      </c>
      <c r="U98" s="10" t="s">
        <v>628</v>
      </c>
      <c r="V98" s="6" t="str">
        <f t="shared" ref="V98:V129" si="13">IF(B98="KEEP EXISTING","Existing",IF(U98="","MISSING","FOUND"))</f>
        <v>FOUND</v>
      </c>
      <c r="W98" s="9">
        <v>0</v>
      </c>
      <c r="X98" s="9">
        <v>0</v>
      </c>
      <c r="Y98" s="6" t="str">
        <f>IF(B98="KEEP EXISTING","Already in POS",IF(O98&lt;=0,"Blocked: cost",IF(OR(R98&lt;=0,R98&gt;100000),"Blocked: retail",IF(U98="","Blocked: image",IF(Summary!$B$3="APPROVED","READY","Pending approval")))))</f>
        <v>Pending approval</v>
      </c>
      <c r="Z98" s="6"/>
    </row>
    <row r="99" spans="1:26" ht="29.25">
      <c r="A99" s="12" t="s">
        <v>280</v>
      </c>
      <c r="B99" s="6" t="s">
        <v>494</v>
      </c>
      <c r="C99" s="6"/>
      <c r="D99" s="6"/>
      <c r="E99" s="6" t="s">
        <v>522</v>
      </c>
      <c r="F99" s="6" t="s">
        <v>54</v>
      </c>
      <c r="G99" s="6" t="s">
        <v>60</v>
      </c>
      <c r="H99" s="6" t="s">
        <v>281</v>
      </c>
      <c r="I99" s="10" t="s">
        <v>281</v>
      </c>
      <c r="J99" s="10" t="s">
        <v>261</v>
      </c>
      <c r="K99" s="9" t="str">
        <f>"6920377913748"</f>
        <v>6920377913748</v>
      </c>
      <c r="L99" s="9" t="str">
        <f>"6920377913748"</f>
        <v>6920377913748</v>
      </c>
      <c r="M99" s="12" t="s">
        <v>496</v>
      </c>
      <c r="N99" s="8">
        <v>65</v>
      </c>
      <c r="O99" s="11">
        <f>IF(B99="KEEP EXISTING",N99,'Cost Review'!H94)</f>
        <v>65</v>
      </c>
      <c r="P99" s="8" t="str">
        <f t="shared" si="11"/>
        <v>REVIEW</v>
      </c>
      <c r="Q99" s="8">
        <v>149</v>
      </c>
      <c r="R99" s="11">
        <f>IF(B99="KEEP EXISTING",Q99,'Cost Review'!J94)</f>
        <v>149</v>
      </c>
      <c r="S99" s="6" t="str">
        <f t="shared" si="12"/>
        <v>OK</v>
      </c>
      <c r="T99" s="9" t="str">
        <f>"6920377913748"</f>
        <v>6920377913748</v>
      </c>
      <c r="U99" s="10" t="s">
        <v>629</v>
      </c>
      <c r="V99" s="6" t="str">
        <f t="shared" si="13"/>
        <v>FOUND</v>
      </c>
      <c r="W99" s="9">
        <v>0</v>
      </c>
      <c r="X99" s="9">
        <v>0</v>
      </c>
      <c r="Y99" s="6" t="str">
        <f>IF(B99="KEEP EXISTING","Already in POS",IF(O99&lt;=0,"Blocked: cost",IF(OR(R99&lt;=0,R99&gt;100000),"Blocked: retail",IF(U99="","Blocked: image",IF(Summary!$B$3="APPROVED","READY","Pending approval")))))</f>
        <v>Pending approval</v>
      </c>
      <c r="Z99" s="6"/>
    </row>
    <row r="100" spans="1:26" ht="29.25">
      <c r="A100" s="12" t="s">
        <v>282</v>
      </c>
      <c r="B100" s="6" t="s">
        <v>494</v>
      </c>
      <c r="C100" s="6"/>
      <c r="D100" s="6"/>
      <c r="E100" s="6" t="s">
        <v>522</v>
      </c>
      <c r="F100" s="6" t="s">
        <v>54</v>
      </c>
      <c r="G100" s="6" t="s">
        <v>60</v>
      </c>
      <c r="H100" s="6" t="s">
        <v>283</v>
      </c>
      <c r="I100" s="10" t="s">
        <v>283</v>
      </c>
      <c r="J100" s="10" t="s">
        <v>261</v>
      </c>
      <c r="K100" s="9" t="str">
        <f>"6920377913731"</f>
        <v>6920377913731</v>
      </c>
      <c r="L100" s="9" t="str">
        <f>"6920377913731"</f>
        <v>6920377913731</v>
      </c>
      <c r="M100" s="12" t="s">
        <v>496</v>
      </c>
      <c r="N100" s="8">
        <v>65</v>
      </c>
      <c r="O100" s="11">
        <f>IF(B100="KEEP EXISTING",N100,'Cost Review'!H95)</f>
        <v>65</v>
      </c>
      <c r="P100" s="8" t="str">
        <f t="shared" si="11"/>
        <v>REVIEW</v>
      </c>
      <c r="Q100" s="8">
        <v>149</v>
      </c>
      <c r="R100" s="11">
        <f>IF(B100="KEEP EXISTING",Q100,'Cost Review'!J95)</f>
        <v>149</v>
      </c>
      <c r="S100" s="6" t="str">
        <f t="shared" si="12"/>
        <v>OK</v>
      </c>
      <c r="T100" s="9" t="str">
        <f>"6920377913731"</f>
        <v>6920377913731</v>
      </c>
      <c r="U100" s="10" t="s">
        <v>630</v>
      </c>
      <c r="V100" s="6" t="str">
        <f t="shared" si="13"/>
        <v>FOUND</v>
      </c>
      <c r="W100" s="9">
        <v>0</v>
      </c>
      <c r="X100" s="9">
        <v>0</v>
      </c>
      <c r="Y100" s="6" t="str">
        <f>IF(B100="KEEP EXISTING","Already in POS",IF(O100&lt;=0,"Blocked: cost",IF(OR(R100&lt;=0,R100&gt;100000),"Blocked: retail",IF(U100="","Blocked: image",IF(Summary!$B$3="APPROVED","READY","Pending approval")))))</f>
        <v>Pending approval</v>
      </c>
      <c r="Z100" s="6"/>
    </row>
    <row r="101" spans="1:26" ht="29.25">
      <c r="A101" s="12" t="s">
        <v>284</v>
      </c>
      <c r="B101" s="6" t="s">
        <v>494</v>
      </c>
      <c r="C101" s="6"/>
      <c r="D101" s="6"/>
      <c r="E101" s="6" t="s">
        <v>631</v>
      </c>
      <c r="F101" s="6" t="s">
        <v>54</v>
      </c>
      <c r="G101" s="6" t="s">
        <v>60</v>
      </c>
      <c r="H101" s="6" t="s">
        <v>285</v>
      </c>
      <c r="I101" s="10" t="s">
        <v>285</v>
      </c>
      <c r="J101" s="10" t="s">
        <v>261</v>
      </c>
      <c r="K101" s="9" t="str">
        <f>"097855078001"</f>
        <v>097855078001</v>
      </c>
      <c r="L101" s="9" t="str">
        <f>"097855078001"</f>
        <v>097855078001</v>
      </c>
      <c r="M101" s="12" t="s">
        <v>496</v>
      </c>
      <c r="N101" s="8">
        <v>20</v>
      </c>
      <c r="O101" s="11">
        <f>IF(B101="KEEP EXISTING",N101,'Cost Review'!H96)</f>
        <v>20</v>
      </c>
      <c r="P101" s="8" t="str">
        <f t="shared" si="11"/>
        <v>REVIEW</v>
      </c>
      <c r="Q101" s="8">
        <v>54.99</v>
      </c>
      <c r="R101" s="11">
        <f>IF(B101="KEEP EXISTING",Q101,'Cost Review'!J96)</f>
        <v>54.99</v>
      </c>
      <c r="S101" s="6" t="str">
        <f t="shared" si="12"/>
        <v>OK</v>
      </c>
      <c r="T101" s="9" t="str">
        <f>"097855078001"</f>
        <v>097855078001</v>
      </c>
      <c r="U101" s="10" t="s">
        <v>632</v>
      </c>
      <c r="V101" s="6" t="str">
        <f t="shared" si="13"/>
        <v>FOUND</v>
      </c>
      <c r="W101" s="9">
        <v>1</v>
      </c>
      <c r="X101" s="9">
        <v>0</v>
      </c>
      <c r="Y101" s="6" t="str">
        <f>IF(B101="KEEP EXISTING","Already in POS",IF(O101&lt;=0,"Blocked: cost",IF(OR(R101&lt;=0,R101&gt;100000),"Blocked: retail",IF(U101="","Blocked: image",IF(Summary!$B$3="APPROVED","READY","Pending approval")))))</f>
        <v>Pending approval</v>
      </c>
      <c r="Z101" s="6" t="s">
        <v>75</v>
      </c>
    </row>
    <row r="102" spans="1:26" ht="29.25">
      <c r="A102" s="12" t="s">
        <v>286</v>
      </c>
      <c r="B102" s="6" t="s">
        <v>494</v>
      </c>
      <c r="C102" s="6"/>
      <c r="D102" s="6"/>
      <c r="E102" s="6" t="s">
        <v>631</v>
      </c>
      <c r="F102" s="6" t="s">
        <v>54</v>
      </c>
      <c r="G102" s="6" t="s">
        <v>60</v>
      </c>
      <c r="H102" s="6" t="s">
        <v>287</v>
      </c>
      <c r="I102" s="10" t="s">
        <v>287</v>
      </c>
      <c r="J102" s="10" t="s">
        <v>261</v>
      </c>
      <c r="K102" s="9" t="str">
        <f>"097855067067"</f>
        <v>097855067067</v>
      </c>
      <c r="L102" s="9" t="str">
        <f>"097855067067"</f>
        <v>097855067067</v>
      </c>
      <c r="M102" s="12" t="s">
        <v>496</v>
      </c>
      <c r="N102" s="8">
        <v>20</v>
      </c>
      <c r="O102" s="11">
        <f>IF(B102="KEEP EXISTING",N102,'Cost Review'!H97)</f>
        <v>20</v>
      </c>
      <c r="P102" s="8" t="str">
        <f t="shared" si="11"/>
        <v>REVIEW</v>
      </c>
      <c r="Q102" s="8">
        <v>39</v>
      </c>
      <c r="R102" s="11">
        <f>IF(B102="KEEP EXISTING",Q102,'Cost Review'!J97)</f>
        <v>39</v>
      </c>
      <c r="S102" s="6" t="str">
        <f t="shared" si="12"/>
        <v>OK</v>
      </c>
      <c r="T102" s="9" t="str">
        <f>"097855067067"</f>
        <v>097855067067</v>
      </c>
      <c r="U102" s="10" t="s">
        <v>633</v>
      </c>
      <c r="V102" s="6" t="str">
        <f t="shared" si="13"/>
        <v>FOUND</v>
      </c>
      <c r="W102" s="9">
        <v>4</v>
      </c>
      <c r="X102" s="9">
        <v>0</v>
      </c>
      <c r="Y102" s="6" t="str">
        <f>IF(B102="KEEP EXISTING","Already in POS",IF(O102&lt;=0,"Blocked: cost",IF(OR(R102&lt;=0,R102&gt;100000),"Blocked: retail",IF(U102="","Blocked: image",IF(Summary!$B$3="APPROVED","READY","Pending approval")))))</f>
        <v>Pending approval</v>
      </c>
      <c r="Z102" s="6" t="s">
        <v>45</v>
      </c>
    </row>
    <row r="103" spans="1:26" ht="43.5">
      <c r="A103" s="12" t="s">
        <v>288</v>
      </c>
      <c r="B103" s="6" t="s">
        <v>494</v>
      </c>
      <c r="C103" s="6"/>
      <c r="D103" s="6"/>
      <c r="E103" s="6" t="s">
        <v>504</v>
      </c>
      <c r="F103" s="6" t="s">
        <v>54</v>
      </c>
      <c r="G103" s="6" t="s">
        <v>60</v>
      </c>
      <c r="H103" s="6" t="s">
        <v>289</v>
      </c>
      <c r="I103" s="10" t="s">
        <v>289</v>
      </c>
      <c r="J103" s="10" t="s">
        <v>269</v>
      </c>
      <c r="K103" s="9" t="str">
        <f>"196188049273"</f>
        <v>196188049273</v>
      </c>
      <c r="L103" s="9" t="str">
        <f>"196188049273"</f>
        <v>196188049273</v>
      </c>
      <c r="M103" s="12" t="s">
        <v>496</v>
      </c>
      <c r="N103" s="8">
        <v>90</v>
      </c>
      <c r="O103" s="11">
        <f>IF(B103="KEEP EXISTING",N103,'Cost Review'!H98)</f>
        <v>90</v>
      </c>
      <c r="P103" s="8" t="str">
        <f t="shared" si="11"/>
        <v>REVIEW</v>
      </c>
      <c r="Q103" s="8">
        <v>179</v>
      </c>
      <c r="R103" s="11">
        <f>IF(B103="KEEP EXISTING",Q103,'Cost Review'!J98)</f>
        <v>179</v>
      </c>
      <c r="S103" s="6" t="str">
        <f t="shared" si="12"/>
        <v>OK</v>
      </c>
      <c r="T103" s="9" t="str">
        <f>"196188049273"</f>
        <v>196188049273</v>
      </c>
      <c r="U103" s="10" t="s">
        <v>634</v>
      </c>
      <c r="V103" s="6" t="str">
        <f t="shared" si="13"/>
        <v>FOUND</v>
      </c>
      <c r="W103" s="9">
        <v>1</v>
      </c>
      <c r="X103" s="9">
        <v>0</v>
      </c>
      <c r="Y103" s="6" t="str">
        <f>IF(B103="KEEP EXISTING","Already in POS",IF(O103&lt;=0,"Blocked: cost",IF(OR(R103&lt;=0,R103&gt;100000),"Blocked: retail",IF(U103="","Blocked: image",IF(Summary!$B$3="APPROVED","READY","Pending approval")))))</f>
        <v>Pending approval</v>
      </c>
      <c r="Z103" s="6" t="s">
        <v>75</v>
      </c>
    </row>
    <row r="104" spans="1:26" ht="43.5">
      <c r="A104" s="12" t="s">
        <v>290</v>
      </c>
      <c r="B104" s="6" t="s">
        <v>494</v>
      </c>
      <c r="C104" s="6"/>
      <c r="D104" s="6"/>
      <c r="E104" s="6" t="s">
        <v>504</v>
      </c>
      <c r="F104" s="6" t="s">
        <v>54</v>
      </c>
      <c r="G104" s="6" t="s">
        <v>60</v>
      </c>
      <c r="H104" s="6" t="s">
        <v>291</v>
      </c>
      <c r="I104" s="10" t="s">
        <v>291</v>
      </c>
      <c r="J104" s="10" t="s">
        <v>269</v>
      </c>
      <c r="K104" s="9" t="str">
        <f>"196188046074"</f>
        <v>196188046074</v>
      </c>
      <c r="L104" s="9" t="str">
        <f>"196188046074"</f>
        <v>196188046074</v>
      </c>
      <c r="M104" s="12" t="s">
        <v>496</v>
      </c>
      <c r="N104" s="8">
        <v>90</v>
      </c>
      <c r="O104" s="11">
        <f>IF(B104="KEEP EXISTING",N104,'Cost Review'!H99)</f>
        <v>90</v>
      </c>
      <c r="P104" s="8" t="str">
        <f t="shared" si="11"/>
        <v>REVIEW</v>
      </c>
      <c r="Q104" s="8">
        <v>179</v>
      </c>
      <c r="R104" s="11">
        <f>IF(B104="KEEP EXISTING",Q104,'Cost Review'!J99)</f>
        <v>179</v>
      </c>
      <c r="S104" s="6" t="str">
        <f t="shared" si="12"/>
        <v>OK</v>
      </c>
      <c r="T104" s="9" t="str">
        <f>"196188046074"</f>
        <v>196188046074</v>
      </c>
      <c r="U104" s="10" t="s">
        <v>635</v>
      </c>
      <c r="V104" s="6" t="str">
        <f t="shared" si="13"/>
        <v>FOUND</v>
      </c>
      <c r="W104" s="9">
        <v>1</v>
      </c>
      <c r="X104" s="9">
        <v>0</v>
      </c>
      <c r="Y104" s="6" t="str">
        <f>IF(B104="KEEP EXISTING","Already in POS",IF(O104&lt;=0,"Blocked: cost",IF(OR(R104&lt;=0,R104&gt;100000),"Blocked: retail",IF(U104="","Blocked: image",IF(Summary!$B$3="APPROVED","READY","Pending approval")))))</f>
        <v>Pending approval</v>
      </c>
      <c r="Z104" s="6" t="s">
        <v>75</v>
      </c>
    </row>
    <row r="105" spans="1:26" ht="43.5">
      <c r="A105" s="12" t="s">
        <v>292</v>
      </c>
      <c r="B105" s="6" t="s">
        <v>494</v>
      </c>
      <c r="C105" s="6"/>
      <c r="D105" s="6"/>
      <c r="E105" s="6" t="s">
        <v>504</v>
      </c>
      <c r="F105" s="6" t="s">
        <v>54</v>
      </c>
      <c r="G105" s="6" t="s">
        <v>60</v>
      </c>
      <c r="H105" s="6" t="s">
        <v>293</v>
      </c>
      <c r="I105" s="10" t="s">
        <v>293</v>
      </c>
      <c r="J105" s="10" t="s">
        <v>269</v>
      </c>
      <c r="K105" s="9" t="str">
        <f>"196188048948"</f>
        <v>196188048948</v>
      </c>
      <c r="L105" s="9" t="str">
        <f>"196188048948"</f>
        <v>196188048948</v>
      </c>
      <c r="M105" s="12" t="s">
        <v>496</v>
      </c>
      <c r="N105" s="8">
        <v>90</v>
      </c>
      <c r="O105" s="11">
        <f>IF(B105="KEEP EXISTING",N105,'Cost Review'!H100)</f>
        <v>90</v>
      </c>
      <c r="P105" s="8" t="str">
        <f t="shared" si="11"/>
        <v>REVIEW</v>
      </c>
      <c r="Q105" s="8">
        <v>179</v>
      </c>
      <c r="R105" s="11">
        <f>IF(B105="KEEP EXISTING",Q105,'Cost Review'!J100)</f>
        <v>179</v>
      </c>
      <c r="S105" s="6" t="str">
        <f t="shared" si="12"/>
        <v>OK</v>
      </c>
      <c r="T105" s="9" t="str">
        <f>"196188048948"</f>
        <v>196188048948</v>
      </c>
      <c r="U105" s="10" t="s">
        <v>636</v>
      </c>
      <c r="V105" s="6" t="str">
        <f t="shared" si="13"/>
        <v>FOUND</v>
      </c>
      <c r="W105" s="9">
        <v>0</v>
      </c>
      <c r="X105" s="9">
        <v>0</v>
      </c>
      <c r="Y105" s="6" t="str">
        <f>IF(B105="KEEP EXISTING","Already in POS",IF(O105&lt;=0,"Blocked: cost",IF(OR(R105&lt;=0,R105&gt;100000),"Blocked: retail",IF(U105="","Blocked: image",IF(Summary!$B$3="APPROVED","READY","Pending approval")))))</f>
        <v>Pending approval</v>
      </c>
      <c r="Z105" s="6"/>
    </row>
    <row r="106" spans="1:26" ht="43.5">
      <c r="A106" s="12" t="s">
        <v>294</v>
      </c>
      <c r="B106" s="6" t="s">
        <v>494</v>
      </c>
      <c r="C106" s="6"/>
      <c r="D106" s="6"/>
      <c r="E106" s="6" t="s">
        <v>504</v>
      </c>
      <c r="F106" s="6" t="s">
        <v>54</v>
      </c>
      <c r="G106" s="6" t="s">
        <v>60</v>
      </c>
      <c r="H106" s="6" t="s">
        <v>295</v>
      </c>
      <c r="I106" s="10" t="s">
        <v>295</v>
      </c>
      <c r="J106" s="10" t="s">
        <v>269</v>
      </c>
      <c r="K106" s="9" t="str">
        <f>"196188042779"</f>
        <v>196188042779</v>
      </c>
      <c r="L106" s="9" t="str">
        <f>"196188042779"</f>
        <v>196188042779</v>
      </c>
      <c r="M106" s="12" t="s">
        <v>496</v>
      </c>
      <c r="N106" s="8">
        <v>90</v>
      </c>
      <c r="O106" s="11">
        <f>IF(B106="KEEP EXISTING",N106,'Cost Review'!H101)</f>
        <v>90</v>
      </c>
      <c r="P106" s="8" t="str">
        <f t="shared" si="11"/>
        <v>REVIEW</v>
      </c>
      <c r="Q106" s="8">
        <v>179</v>
      </c>
      <c r="R106" s="11">
        <f>IF(B106="KEEP EXISTING",Q106,'Cost Review'!J101)</f>
        <v>179</v>
      </c>
      <c r="S106" s="6" t="str">
        <f t="shared" si="12"/>
        <v>OK</v>
      </c>
      <c r="T106" s="9" t="str">
        <f>"196188042779"</f>
        <v>196188042779</v>
      </c>
      <c r="U106" s="10" t="s">
        <v>637</v>
      </c>
      <c r="V106" s="6" t="str">
        <f t="shared" si="13"/>
        <v>FOUND</v>
      </c>
      <c r="W106" s="9">
        <v>1</v>
      </c>
      <c r="X106" s="9">
        <v>0</v>
      </c>
      <c r="Y106" s="6" t="str">
        <f>IF(B106="KEEP EXISTING","Already in POS",IF(O106&lt;=0,"Blocked: cost",IF(OR(R106&lt;=0,R106&gt;100000),"Blocked: retail",IF(U106="","Blocked: image",IF(Summary!$B$3="APPROVED","READY","Pending approval")))))</f>
        <v>Pending approval</v>
      </c>
      <c r="Z106" s="6" t="s">
        <v>75</v>
      </c>
    </row>
    <row r="107" spans="1:26" ht="43.5">
      <c r="A107" s="12" t="s">
        <v>296</v>
      </c>
      <c r="B107" s="6" t="s">
        <v>494</v>
      </c>
      <c r="C107" s="6"/>
      <c r="D107" s="6"/>
      <c r="E107" s="6" t="s">
        <v>548</v>
      </c>
      <c r="F107" s="6" t="s">
        <v>54</v>
      </c>
      <c r="G107" s="6" t="s">
        <v>60</v>
      </c>
      <c r="H107" s="6" t="s">
        <v>297</v>
      </c>
      <c r="I107" s="10" t="s">
        <v>297</v>
      </c>
      <c r="J107" s="10" t="s">
        <v>39</v>
      </c>
      <c r="K107" s="9" t="str">
        <f>"302949478033"</f>
        <v>302949478033</v>
      </c>
      <c r="L107" s="9" t="str">
        <f>"302949478033"</f>
        <v>302949478033</v>
      </c>
      <c r="M107" s="12" t="s">
        <v>496</v>
      </c>
      <c r="N107" s="8">
        <v>10</v>
      </c>
      <c r="O107" s="11">
        <f>IF(B107="KEEP EXISTING",N107,'Cost Review'!H102)</f>
        <v>15</v>
      </c>
      <c r="P107" s="8" t="str">
        <f t="shared" si="11"/>
        <v>REVIEW</v>
      </c>
      <c r="Q107" s="8">
        <v>69</v>
      </c>
      <c r="R107" s="11">
        <f>IF(B107="KEEP EXISTING",Q107,'Cost Review'!J102)</f>
        <v>69</v>
      </c>
      <c r="S107" s="6" t="str">
        <f t="shared" si="12"/>
        <v>OK</v>
      </c>
      <c r="T107" s="9" t="str">
        <f>"302949478033"</f>
        <v>302949478033</v>
      </c>
      <c r="U107" s="10" t="s">
        <v>638</v>
      </c>
      <c r="V107" s="6" t="str">
        <f t="shared" si="13"/>
        <v>FOUND</v>
      </c>
      <c r="W107" s="9">
        <v>2</v>
      </c>
      <c r="X107" s="9">
        <v>0</v>
      </c>
      <c r="Y107" s="6" t="str">
        <f>IF(B107="KEEP EXISTING","Already in POS",IF(O107&lt;=0,"Blocked: cost",IF(OR(R107&lt;=0,R107&gt;100000),"Blocked: retail",IF(U107="","Blocked: image",IF(Summary!$B$3="APPROVED","READY","Pending approval")))))</f>
        <v>Pending approval</v>
      </c>
      <c r="Z107" s="6" t="s">
        <v>56</v>
      </c>
    </row>
    <row r="108" spans="1:26" ht="43.5">
      <c r="A108" s="12" t="s">
        <v>298</v>
      </c>
      <c r="B108" s="6" t="s">
        <v>494</v>
      </c>
      <c r="C108" s="6"/>
      <c r="D108" s="6"/>
      <c r="E108" s="6" t="s">
        <v>548</v>
      </c>
      <c r="F108" s="6" t="s">
        <v>54</v>
      </c>
      <c r="G108" s="6" t="s">
        <v>60</v>
      </c>
      <c r="H108" s="6" t="s">
        <v>299</v>
      </c>
      <c r="I108" s="10" t="s">
        <v>299</v>
      </c>
      <c r="J108" s="10" t="s">
        <v>39</v>
      </c>
      <c r="K108" s="9" t="str">
        <f>"384483204910"</f>
        <v>384483204910</v>
      </c>
      <c r="L108" s="9" t="str">
        <f>"384483204910"</f>
        <v>384483204910</v>
      </c>
      <c r="M108" s="12" t="s">
        <v>496</v>
      </c>
      <c r="N108" s="8">
        <v>20</v>
      </c>
      <c r="O108" s="11">
        <f>IF(B108="KEEP EXISTING",N108,'Cost Review'!H103)</f>
        <v>20</v>
      </c>
      <c r="P108" s="8" t="str">
        <f t="shared" si="11"/>
        <v>REVIEW</v>
      </c>
      <c r="Q108" s="8">
        <v>69</v>
      </c>
      <c r="R108" s="11">
        <f>IF(B108="KEEP EXISTING",Q108,'Cost Review'!J103)</f>
        <v>69</v>
      </c>
      <c r="S108" s="6" t="str">
        <f t="shared" si="12"/>
        <v>OK</v>
      </c>
      <c r="T108" s="9" t="str">
        <f>"384483204910"</f>
        <v>384483204910</v>
      </c>
      <c r="U108" s="10" t="s">
        <v>639</v>
      </c>
      <c r="V108" s="6" t="str">
        <f t="shared" si="13"/>
        <v>FOUND</v>
      </c>
      <c r="W108" s="9">
        <v>0</v>
      </c>
      <c r="X108" s="9">
        <v>0</v>
      </c>
      <c r="Y108" s="6" t="str">
        <f>IF(B108="KEEP EXISTING","Already in POS",IF(O108&lt;=0,"Blocked: cost",IF(OR(R108&lt;=0,R108&gt;100000),"Blocked: retail",IF(U108="","Blocked: image",IF(Summary!$B$3="APPROVED","READY","Pending approval")))))</f>
        <v>Pending approval</v>
      </c>
      <c r="Z108" s="6"/>
    </row>
    <row r="109" spans="1:26" ht="43.5">
      <c r="A109" s="12" t="s">
        <v>300</v>
      </c>
      <c r="B109" s="6" t="s">
        <v>494</v>
      </c>
      <c r="C109" s="6"/>
      <c r="D109" s="6"/>
      <c r="E109" s="6" t="s">
        <v>548</v>
      </c>
      <c r="F109" s="6" t="s">
        <v>54</v>
      </c>
      <c r="G109" s="6" t="s">
        <v>60</v>
      </c>
      <c r="H109" s="6" t="s">
        <v>301</v>
      </c>
      <c r="I109" s="10" t="s">
        <v>301</v>
      </c>
      <c r="J109" s="10" t="s">
        <v>39</v>
      </c>
      <c r="K109" s="9" t="str">
        <f>"6941592742128"</f>
        <v>6941592742128</v>
      </c>
      <c r="L109" s="9" t="str">
        <f>"6941592742128"</f>
        <v>6941592742128</v>
      </c>
      <c r="M109" s="12" t="s">
        <v>496</v>
      </c>
      <c r="N109" s="8">
        <v>10</v>
      </c>
      <c r="O109" s="11">
        <f>IF(B109="KEEP EXISTING",N109,'Cost Review'!H104)</f>
        <v>10</v>
      </c>
      <c r="P109" s="8" t="str">
        <f t="shared" si="11"/>
        <v>REVIEW</v>
      </c>
      <c r="Q109" s="8">
        <v>69</v>
      </c>
      <c r="R109" s="11">
        <f>IF(B109="KEEP EXISTING",Q109,'Cost Review'!J104)</f>
        <v>69</v>
      </c>
      <c r="S109" s="6" t="str">
        <f t="shared" si="12"/>
        <v>OK</v>
      </c>
      <c r="T109" s="9" t="str">
        <f>"6941592742128"</f>
        <v>6941592742128</v>
      </c>
      <c r="U109" s="10" t="s">
        <v>640</v>
      </c>
      <c r="V109" s="6" t="str">
        <f t="shared" si="13"/>
        <v>FOUND</v>
      </c>
      <c r="W109" s="9">
        <v>1</v>
      </c>
      <c r="X109" s="9">
        <v>0</v>
      </c>
      <c r="Y109" s="6" t="str">
        <f>IF(B109="KEEP EXISTING","Already in POS",IF(O109&lt;=0,"Blocked: cost",IF(OR(R109&lt;=0,R109&gt;100000),"Blocked: retail",IF(U109="","Blocked: image",IF(Summary!$B$3="APPROVED","READY","Pending approval")))))</f>
        <v>Pending approval</v>
      </c>
      <c r="Z109" s="6" t="s">
        <v>75</v>
      </c>
    </row>
    <row r="110" spans="1:26" ht="29.25">
      <c r="A110" s="12" t="s">
        <v>302</v>
      </c>
      <c r="B110" s="6" t="s">
        <v>494</v>
      </c>
      <c r="C110" s="6"/>
      <c r="D110" s="6"/>
      <c r="E110" s="6" t="s">
        <v>522</v>
      </c>
      <c r="F110" s="6" t="s">
        <v>54</v>
      </c>
      <c r="G110" s="6" t="s">
        <v>60</v>
      </c>
      <c r="H110" s="6" t="s">
        <v>303</v>
      </c>
      <c r="I110" s="10" t="s">
        <v>303</v>
      </c>
      <c r="J110" s="10" t="s">
        <v>39</v>
      </c>
      <c r="K110" s="9" t="str">
        <f>"6970344732452"</f>
        <v>6970344732452</v>
      </c>
      <c r="L110" s="9" t="str">
        <f>"TM8-COMP-9198"</f>
        <v>TM8-COMP-9198</v>
      </c>
      <c r="M110" s="12" t="s">
        <v>543</v>
      </c>
      <c r="N110" s="8">
        <v>4</v>
      </c>
      <c r="O110" s="11">
        <f>IF(B110="KEEP EXISTING",N110,'Cost Review'!H105)</f>
        <v>4</v>
      </c>
      <c r="P110" s="8" t="str">
        <f t="shared" si="11"/>
        <v>REVIEW</v>
      </c>
      <c r="Q110" s="8">
        <v>24.99</v>
      </c>
      <c r="R110" s="11">
        <f>IF(B110="KEEP EXISTING",Q110,'Cost Review'!J105)</f>
        <v>24.99</v>
      </c>
      <c r="S110" s="6" t="str">
        <f t="shared" si="12"/>
        <v>OK</v>
      </c>
      <c r="T110" s="9" t="str">
        <f>"2998000091983"</f>
        <v>2998000091983</v>
      </c>
      <c r="U110" s="10" t="s">
        <v>641</v>
      </c>
      <c r="V110" s="6" t="str">
        <f t="shared" si="13"/>
        <v>FOUND</v>
      </c>
      <c r="W110" s="9">
        <v>0</v>
      </c>
      <c r="X110" s="9">
        <v>0</v>
      </c>
      <c r="Y110" s="6" t="str">
        <f>IF(B110="KEEP EXISTING","Already in POS",IF(O110&lt;=0,"Blocked: cost",IF(OR(R110&lt;=0,R110&gt;100000),"Blocked: retail",IF(U110="","Blocked: image",IF(Summary!$B$3="APPROVED","READY","Pending approval")))))</f>
        <v>Pending approval</v>
      </c>
      <c r="Z110" s="6"/>
    </row>
    <row r="111" spans="1:26" ht="43.5">
      <c r="A111" s="12" t="s">
        <v>304</v>
      </c>
      <c r="B111" s="6" t="s">
        <v>494</v>
      </c>
      <c r="C111" s="6"/>
      <c r="D111" s="6"/>
      <c r="E111" s="6" t="s">
        <v>535</v>
      </c>
      <c r="F111" s="6" t="s">
        <v>54</v>
      </c>
      <c r="G111" s="6" t="s">
        <v>125</v>
      </c>
      <c r="H111" s="6" t="s">
        <v>305</v>
      </c>
      <c r="I111" s="10" t="s">
        <v>305</v>
      </c>
      <c r="J111" s="10" t="s">
        <v>39</v>
      </c>
      <c r="K111" s="9" t="str">
        <f>"281783162660"</f>
        <v>281783162660</v>
      </c>
      <c r="L111" s="9" t="str">
        <f>"281783162660"</f>
        <v>281783162660</v>
      </c>
      <c r="M111" s="12" t="s">
        <v>496</v>
      </c>
      <c r="N111" s="8">
        <v>5</v>
      </c>
      <c r="O111" s="11">
        <f>IF(B111="KEEP EXISTING",N111,'Cost Review'!H106)</f>
        <v>5</v>
      </c>
      <c r="P111" s="8" t="str">
        <f t="shared" si="11"/>
        <v>REVIEW</v>
      </c>
      <c r="Q111" s="8">
        <v>15.99</v>
      </c>
      <c r="R111" s="11">
        <f>IF(B111="KEEP EXISTING",Q111,'Cost Review'!J106)</f>
        <v>15.99</v>
      </c>
      <c r="S111" s="6" t="str">
        <f t="shared" si="12"/>
        <v>OK</v>
      </c>
      <c r="T111" s="9" t="str">
        <f>"281783162660"</f>
        <v>281783162660</v>
      </c>
      <c r="U111" s="10" t="s">
        <v>642</v>
      </c>
      <c r="V111" s="6" t="str">
        <f t="shared" si="13"/>
        <v>FOUND</v>
      </c>
      <c r="W111" s="9">
        <v>0</v>
      </c>
      <c r="X111" s="9">
        <v>0</v>
      </c>
      <c r="Y111" s="6" t="str">
        <f>IF(B111="KEEP EXISTING","Already in POS",IF(O111&lt;=0,"Blocked: cost",IF(OR(R111&lt;=0,R111&gt;100000),"Blocked: retail",IF(U111="","Blocked: image",IF(Summary!$B$3="APPROVED","READY","Pending approval")))))</f>
        <v>Pending approval</v>
      </c>
      <c r="Z111" s="6"/>
    </row>
    <row r="112" spans="1:26" ht="43.5">
      <c r="A112" s="12" t="s">
        <v>306</v>
      </c>
      <c r="B112" s="6" t="s">
        <v>494</v>
      </c>
      <c r="C112" s="6"/>
      <c r="D112" s="6"/>
      <c r="E112" s="6" t="s">
        <v>535</v>
      </c>
      <c r="F112" s="6" t="s">
        <v>54</v>
      </c>
      <c r="G112" s="6" t="s">
        <v>125</v>
      </c>
      <c r="H112" s="6" t="s">
        <v>307</v>
      </c>
      <c r="I112" s="10" t="s">
        <v>307</v>
      </c>
      <c r="J112" s="10" t="s">
        <v>39</v>
      </c>
      <c r="K112" s="9" t="str">
        <f>"6972989040367"</f>
        <v>6972989040367</v>
      </c>
      <c r="L112" s="9" t="str">
        <f>"6972989040367"</f>
        <v>6972989040367</v>
      </c>
      <c r="M112" s="12" t="s">
        <v>496</v>
      </c>
      <c r="N112" s="8">
        <v>9</v>
      </c>
      <c r="O112" s="11">
        <f>IF(B112="KEEP EXISTING",N112,'Cost Review'!H107)</f>
        <v>9</v>
      </c>
      <c r="P112" s="8" t="str">
        <f t="shared" si="11"/>
        <v>REVIEW</v>
      </c>
      <c r="Q112" s="8">
        <v>39.950000000000003</v>
      </c>
      <c r="R112" s="11">
        <f>IF(B112="KEEP EXISTING",Q112,'Cost Review'!J107)</f>
        <v>39.950000000000003</v>
      </c>
      <c r="S112" s="6" t="str">
        <f t="shared" si="12"/>
        <v>OK</v>
      </c>
      <c r="T112" s="9" t="str">
        <f>"6972989040367"</f>
        <v>6972989040367</v>
      </c>
      <c r="U112" s="10" t="s">
        <v>643</v>
      </c>
      <c r="V112" s="6" t="str">
        <f t="shared" si="13"/>
        <v>FOUND</v>
      </c>
      <c r="W112" s="9">
        <v>4</v>
      </c>
      <c r="X112" s="9">
        <v>0</v>
      </c>
      <c r="Y112" s="6" t="str">
        <f>IF(B112="KEEP EXISTING","Already in POS",IF(O112&lt;=0,"Blocked: cost",IF(OR(R112&lt;=0,R112&gt;100000),"Blocked: retail",IF(U112="","Blocked: image",IF(Summary!$B$3="APPROVED","READY","Pending approval")))))</f>
        <v>Pending approval</v>
      </c>
      <c r="Z112" s="6" t="s">
        <v>45</v>
      </c>
    </row>
    <row r="113" spans="1:26" ht="43.5">
      <c r="A113" s="12" t="s">
        <v>308</v>
      </c>
      <c r="B113" s="6" t="s">
        <v>494</v>
      </c>
      <c r="C113" s="6"/>
      <c r="D113" s="6"/>
      <c r="E113" s="6" t="s">
        <v>535</v>
      </c>
      <c r="F113" s="6" t="s">
        <v>54</v>
      </c>
      <c r="G113" s="6" t="s">
        <v>125</v>
      </c>
      <c r="H113" s="6" t="s">
        <v>309</v>
      </c>
      <c r="I113" s="10" t="s">
        <v>309</v>
      </c>
      <c r="J113" s="10" t="s">
        <v>39</v>
      </c>
      <c r="K113" s="9" t="str">
        <f>"6972989041326"</f>
        <v>6972989041326</v>
      </c>
      <c r="L113" s="9" t="str">
        <f>"6972989041326"</f>
        <v>6972989041326</v>
      </c>
      <c r="M113" s="12" t="s">
        <v>496</v>
      </c>
      <c r="N113" s="8">
        <v>17</v>
      </c>
      <c r="O113" s="11">
        <f>IF(B113="KEEP EXISTING",N113,'Cost Review'!H108)</f>
        <v>17</v>
      </c>
      <c r="P113" s="8" t="str">
        <f t="shared" si="11"/>
        <v>REVIEW</v>
      </c>
      <c r="Q113" s="8">
        <v>39.950000000000003</v>
      </c>
      <c r="R113" s="11">
        <f>IF(B113="KEEP EXISTING",Q113,'Cost Review'!J108)</f>
        <v>39.950000000000003</v>
      </c>
      <c r="S113" s="6" t="str">
        <f t="shared" si="12"/>
        <v>OK</v>
      </c>
      <c r="T113" s="9" t="str">
        <f>"6972989041326"</f>
        <v>6972989041326</v>
      </c>
      <c r="U113" s="10" t="s">
        <v>644</v>
      </c>
      <c r="V113" s="6" t="str">
        <f t="shared" si="13"/>
        <v>FOUND</v>
      </c>
      <c r="W113" s="9">
        <v>1</v>
      </c>
      <c r="X113" s="9">
        <v>0</v>
      </c>
      <c r="Y113" s="6" t="str">
        <f>IF(B113="KEEP EXISTING","Already in POS",IF(O113&lt;=0,"Blocked: cost",IF(OR(R113&lt;=0,R113&gt;100000),"Blocked: retail",IF(U113="","Blocked: image",IF(Summary!$B$3="APPROVED","READY","Pending approval")))))</f>
        <v>Pending approval</v>
      </c>
      <c r="Z113" s="6" t="s">
        <v>75</v>
      </c>
    </row>
    <row r="114" spans="1:26" ht="43.5">
      <c r="A114" s="12" t="s">
        <v>310</v>
      </c>
      <c r="B114" s="6" t="s">
        <v>494</v>
      </c>
      <c r="C114" s="6"/>
      <c r="D114" s="6"/>
      <c r="E114" s="6" t="s">
        <v>535</v>
      </c>
      <c r="F114" s="6" t="s">
        <v>54</v>
      </c>
      <c r="G114" s="6" t="s">
        <v>125</v>
      </c>
      <c r="H114" s="6" t="s">
        <v>311</v>
      </c>
      <c r="I114" s="10" t="s">
        <v>311</v>
      </c>
      <c r="J114" s="10" t="s">
        <v>124</v>
      </c>
      <c r="K114" s="9" t="str">
        <f>"9166454"</f>
        <v>9166454</v>
      </c>
      <c r="L114" s="9" t="str">
        <f>"9166454"</f>
        <v>9166454</v>
      </c>
      <c r="M114" s="12" t="s">
        <v>496</v>
      </c>
      <c r="N114" s="8">
        <v>7</v>
      </c>
      <c r="O114" s="11">
        <f>IF(B114="KEEP EXISTING",N114,'Cost Review'!H109)</f>
        <v>7</v>
      </c>
      <c r="P114" s="8" t="str">
        <f t="shared" si="11"/>
        <v>REVIEW</v>
      </c>
      <c r="Q114" s="8">
        <v>25</v>
      </c>
      <c r="R114" s="11">
        <f>IF(B114="KEEP EXISTING",Q114,'Cost Review'!J109)</f>
        <v>25</v>
      </c>
      <c r="S114" s="6" t="str">
        <f t="shared" si="12"/>
        <v>OK</v>
      </c>
      <c r="T114" s="9" t="str">
        <f>"2998000091662"</f>
        <v>2998000091662</v>
      </c>
      <c r="U114" s="10" t="s">
        <v>645</v>
      </c>
      <c r="V114" s="6" t="str">
        <f t="shared" si="13"/>
        <v>FOUND</v>
      </c>
      <c r="W114" s="9">
        <v>8</v>
      </c>
      <c r="X114" s="9">
        <v>0</v>
      </c>
      <c r="Y114" s="6" t="str">
        <f>IF(B114="KEEP EXISTING","Already in POS",IF(O114&lt;=0,"Blocked: cost",IF(OR(R114&lt;=0,R114&gt;100000),"Blocked: retail",IF(U114="","Blocked: image",IF(Summary!$B$3="APPROVED","READY","Pending approval")))))</f>
        <v>Pending approval</v>
      </c>
      <c r="Z114" s="6" t="s">
        <v>71</v>
      </c>
    </row>
    <row r="115" spans="1:26" ht="29.25">
      <c r="A115" s="12" t="s">
        <v>312</v>
      </c>
      <c r="B115" s="6" t="s">
        <v>494</v>
      </c>
      <c r="C115" s="6"/>
      <c r="D115" s="6"/>
      <c r="E115" s="6" t="s">
        <v>580</v>
      </c>
      <c r="F115" s="6" t="s">
        <v>54</v>
      </c>
      <c r="G115" s="6" t="s">
        <v>216</v>
      </c>
      <c r="H115" s="6" t="s">
        <v>313</v>
      </c>
      <c r="I115" s="10" t="s">
        <v>313</v>
      </c>
      <c r="J115" s="10" t="s">
        <v>314</v>
      </c>
      <c r="K115" s="9" t="str">
        <f>"6935364088897"</f>
        <v>6935364088897</v>
      </c>
      <c r="L115" s="9" t="str">
        <f>"6935364088897"</f>
        <v>6935364088897</v>
      </c>
      <c r="M115" s="12" t="s">
        <v>496</v>
      </c>
      <c r="N115" s="8">
        <v>0</v>
      </c>
      <c r="O115" s="11">
        <f>IF(B115="KEEP EXISTING",N115,'Cost Review'!H110)</f>
        <v>0</v>
      </c>
      <c r="P115" s="8" t="str">
        <f t="shared" si="11"/>
        <v>MISSING</v>
      </c>
      <c r="Q115" s="8">
        <v>99</v>
      </c>
      <c r="R115" s="11">
        <f>IF(B115="KEEP EXISTING",Q115,'Cost Review'!J110)</f>
        <v>99</v>
      </c>
      <c r="S115" s="6" t="str">
        <f t="shared" si="12"/>
        <v>OK</v>
      </c>
      <c r="T115" s="9" t="str">
        <f>"6935364088897"</f>
        <v>6935364088897</v>
      </c>
      <c r="U115" s="10" t="s">
        <v>646</v>
      </c>
      <c r="V115" s="6" t="str">
        <f t="shared" si="13"/>
        <v>FOUND</v>
      </c>
      <c r="W115" s="9">
        <v>0</v>
      </c>
      <c r="X115" s="9">
        <v>0</v>
      </c>
      <c r="Y115" s="6" t="str">
        <f>IF(B115="KEEP EXISTING","Already in POS",IF(O115&lt;=0,"Blocked: cost",IF(OR(R115&lt;=0,R115&gt;100000),"Blocked: retail",IF(U115="","Blocked: image",IF(Summary!$B$3="APPROVED","READY","Pending approval")))))</f>
        <v>Blocked: cost</v>
      </c>
      <c r="Z115" s="6" t="s">
        <v>223</v>
      </c>
    </row>
    <row r="116" spans="1:26" ht="29.25">
      <c r="A116" s="12" t="s">
        <v>315</v>
      </c>
      <c r="B116" s="6" t="s">
        <v>494</v>
      </c>
      <c r="C116" s="6"/>
      <c r="D116" s="6"/>
      <c r="E116" s="6" t="s">
        <v>580</v>
      </c>
      <c r="F116" s="6" t="s">
        <v>54</v>
      </c>
      <c r="G116" s="6" t="s">
        <v>216</v>
      </c>
      <c r="H116" s="6" t="s">
        <v>316</v>
      </c>
      <c r="I116" s="10" t="s">
        <v>316</v>
      </c>
      <c r="J116" s="10" t="s">
        <v>314</v>
      </c>
      <c r="K116" s="9" t="str">
        <f>"6935364050368"</f>
        <v>6935364050368</v>
      </c>
      <c r="L116" s="9" t="str">
        <f>"6935364050368"</f>
        <v>6935364050368</v>
      </c>
      <c r="M116" s="12" t="s">
        <v>496</v>
      </c>
      <c r="N116" s="8">
        <v>0</v>
      </c>
      <c r="O116" s="11">
        <f>IF(B116="KEEP EXISTING",N116,'Cost Review'!H111)</f>
        <v>0</v>
      </c>
      <c r="P116" s="8" t="str">
        <f t="shared" si="11"/>
        <v>MISSING</v>
      </c>
      <c r="Q116" s="8">
        <v>55</v>
      </c>
      <c r="R116" s="11">
        <f>IF(B116="KEEP EXISTING",Q116,'Cost Review'!J111)</f>
        <v>55</v>
      </c>
      <c r="S116" s="6" t="str">
        <f t="shared" si="12"/>
        <v>OK</v>
      </c>
      <c r="T116" s="9" t="str">
        <f>"6935364050368"</f>
        <v>6935364050368</v>
      </c>
      <c r="U116" s="10" t="s">
        <v>647</v>
      </c>
      <c r="V116" s="6" t="str">
        <f t="shared" si="13"/>
        <v>FOUND</v>
      </c>
      <c r="W116" s="9">
        <v>2</v>
      </c>
      <c r="X116" s="9">
        <v>0</v>
      </c>
      <c r="Y116" s="6" t="str">
        <f>IF(B116="KEEP EXISTING","Already in POS",IF(O116&lt;=0,"Blocked: cost",IF(OR(R116&lt;=0,R116&gt;100000),"Blocked: retail",IF(U116="","Blocked: image",IF(Summary!$B$3="APPROVED","READY","Pending approval")))))</f>
        <v>Blocked: cost</v>
      </c>
      <c r="Z116" s="6" t="s">
        <v>317</v>
      </c>
    </row>
    <row r="117" spans="1:26" ht="29.25">
      <c r="A117" s="12" t="s">
        <v>318</v>
      </c>
      <c r="B117" s="6" t="s">
        <v>494</v>
      </c>
      <c r="C117" s="6"/>
      <c r="D117" s="6"/>
      <c r="E117" s="6" t="s">
        <v>495</v>
      </c>
      <c r="F117" s="6" t="s">
        <v>40</v>
      </c>
      <c r="G117" s="6" t="s">
        <v>41</v>
      </c>
      <c r="H117" s="6" t="s">
        <v>319</v>
      </c>
      <c r="I117" s="10" t="s">
        <v>319</v>
      </c>
      <c r="J117" s="10" t="s">
        <v>39</v>
      </c>
      <c r="K117" s="9" t="str">
        <f>"642410771325"</f>
        <v>642410771325</v>
      </c>
      <c r="L117" s="9" t="str">
        <f>"TM8-COMP-8840"</f>
        <v>TM8-COMP-8840</v>
      </c>
      <c r="M117" s="12" t="s">
        <v>543</v>
      </c>
      <c r="N117" s="8">
        <v>0</v>
      </c>
      <c r="O117" s="11">
        <f>IF(B117="KEEP EXISTING",N117,'Cost Review'!H112)</f>
        <v>8</v>
      </c>
      <c r="P117" s="8" t="str">
        <f t="shared" si="11"/>
        <v>REVIEW</v>
      </c>
      <c r="Q117" s="8">
        <v>29</v>
      </c>
      <c r="R117" s="11">
        <f>IF(B117="KEEP EXISTING",Q117,'Cost Review'!J112)</f>
        <v>29</v>
      </c>
      <c r="S117" s="6" t="str">
        <f t="shared" si="12"/>
        <v>OK</v>
      </c>
      <c r="T117" s="9" t="str">
        <f>"2998000088402"</f>
        <v>2998000088402</v>
      </c>
      <c r="U117" s="10" t="s">
        <v>648</v>
      </c>
      <c r="V117" s="6" t="str">
        <f t="shared" si="13"/>
        <v>FOUND</v>
      </c>
      <c r="W117" s="9">
        <v>-1</v>
      </c>
      <c r="X117" s="9">
        <v>0</v>
      </c>
      <c r="Y117" s="6" t="str">
        <f>IF(B117="KEEP EXISTING","Already in POS",IF(O117&lt;=0,"Blocked: cost",IF(OR(R117&lt;=0,R117&gt;100000),"Blocked: retail",IF(U117="","Blocked: image",IF(Summary!$B$3="APPROVED","READY","Pending approval")))))</f>
        <v>Pending approval</v>
      </c>
      <c r="Z117" s="6" t="s">
        <v>320</v>
      </c>
    </row>
    <row r="118" spans="1:26" ht="29.25">
      <c r="A118" s="12" t="s">
        <v>321</v>
      </c>
      <c r="B118" s="6" t="s">
        <v>494</v>
      </c>
      <c r="C118" s="6"/>
      <c r="D118" s="6"/>
      <c r="E118" s="6" t="s">
        <v>495</v>
      </c>
      <c r="F118" s="6" t="s">
        <v>40</v>
      </c>
      <c r="G118" s="6" t="s">
        <v>41</v>
      </c>
      <c r="H118" s="6" t="s">
        <v>322</v>
      </c>
      <c r="I118" s="10" t="s">
        <v>322</v>
      </c>
      <c r="J118" s="10" t="s">
        <v>39</v>
      </c>
      <c r="K118" s="9" t="str">
        <f>"030215178096"</f>
        <v>030215178096</v>
      </c>
      <c r="L118" s="9" t="str">
        <f>"030215178096"</f>
        <v>030215178096</v>
      </c>
      <c r="M118" s="12" t="s">
        <v>496</v>
      </c>
      <c r="N118" s="8">
        <v>0</v>
      </c>
      <c r="O118" s="11">
        <f>IF(B118="KEEP EXISTING",N118,'Cost Review'!H113)</f>
        <v>0</v>
      </c>
      <c r="P118" s="8" t="str">
        <f t="shared" si="11"/>
        <v>MISSING</v>
      </c>
      <c r="Q118" s="8">
        <v>35</v>
      </c>
      <c r="R118" s="11">
        <f>IF(B118="KEEP EXISTING",Q118,'Cost Review'!J113)</f>
        <v>35</v>
      </c>
      <c r="S118" s="6" t="str">
        <f t="shared" si="12"/>
        <v>OK</v>
      </c>
      <c r="T118" s="9" t="str">
        <f>"030215178096"</f>
        <v>030215178096</v>
      </c>
      <c r="U118" s="10" t="s">
        <v>649</v>
      </c>
      <c r="V118" s="6" t="str">
        <f t="shared" si="13"/>
        <v>FOUND</v>
      </c>
      <c r="W118" s="9">
        <v>2</v>
      </c>
      <c r="X118" s="9">
        <v>0</v>
      </c>
      <c r="Y118" s="6" t="str">
        <f>IF(B118="KEEP EXISTING","Already in POS",IF(O118&lt;=0,"Blocked: cost",IF(OR(R118&lt;=0,R118&gt;100000),"Blocked: retail",IF(U118="","Blocked: image",IF(Summary!$B$3="APPROVED","READY","Pending approval")))))</f>
        <v>Blocked: cost</v>
      </c>
      <c r="Z118" s="6" t="s">
        <v>317</v>
      </c>
    </row>
    <row r="119" spans="1:26" ht="29.25">
      <c r="A119" s="12" t="s">
        <v>323</v>
      </c>
      <c r="B119" s="6" t="s">
        <v>494</v>
      </c>
      <c r="C119" s="6"/>
      <c r="D119" s="6"/>
      <c r="E119" s="6" t="s">
        <v>495</v>
      </c>
      <c r="F119" s="6" t="s">
        <v>40</v>
      </c>
      <c r="G119" s="6" t="s">
        <v>41</v>
      </c>
      <c r="H119" s="6" t="s">
        <v>324</v>
      </c>
      <c r="I119" s="10" t="s">
        <v>324</v>
      </c>
      <c r="J119" s="10" t="s">
        <v>39</v>
      </c>
      <c r="K119" s="9" t="str">
        <f>"459668800598"</f>
        <v>459668800598</v>
      </c>
      <c r="L119" s="9" t="str">
        <f>"459668800598"</f>
        <v>459668800598</v>
      </c>
      <c r="M119" s="12" t="s">
        <v>496</v>
      </c>
      <c r="N119" s="8">
        <v>0</v>
      </c>
      <c r="O119" s="11">
        <f>IF(B119="KEEP EXISTING",N119,'Cost Review'!H114)</f>
        <v>0</v>
      </c>
      <c r="P119" s="8" t="str">
        <f t="shared" si="11"/>
        <v>MISSING</v>
      </c>
      <c r="Q119" s="8">
        <v>35</v>
      </c>
      <c r="R119" s="11">
        <f>IF(B119="KEEP EXISTING",Q119,'Cost Review'!J114)</f>
        <v>35</v>
      </c>
      <c r="S119" s="6" t="str">
        <f t="shared" si="12"/>
        <v>OK</v>
      </c>
      <c r="T119" s="9" t="str">
        <f>"459668800598"</f>
        <v>459668800598</v>
      </c>
      <c r="U119" s="10" t="s">
        <v>650</v>
      </c>
      <c r="V119" s="6" t="str">
        <f t="shared" si="13"/>
        <v>FOUND</v>
      </c>
      <c r="W119" s="9">
        <v>1</v>
      </c>
      <c r="X119" s="9">
        <v>0</v>
      </c>
      <c r="Y119" s="6" t="str">
        <f>IF(B119="KEEP EXISTING","Already in POS",IF(O119&lt;=0,"Blocked: cost",IF(OR(R119&lt;=0,R119&gt;100000),"Blocked: retail",IF(U119="","Blocked: image",IF(Summary!$B$3="APPROVED","READY","Pending approval")))))</f>
        <v>Blocked: cost</v>
      </c>
      <c r="Z119" s="6" t="s">
        <v>325</v>
      </c>
    </row>
    <row r="120" spans="1:26" ht="29.25">
      <c r="A120" s="12" t="s">
        <v>326</v>
      </c>
      <c r="B120" s="6" t="s">
        <v>494</v>
      </c>
      <c r="C120" s="6"/>
      <c r="D120" s="6"/>
      <c r="E120" s="6" t="s">
        <v>495</v>
      </c>
      <c r="F120" s="6" t="s">
        <v>40</v>
      </c>
      <c r="G120" s="6" t="s">
        <v>41</v>
      </c>
      <c r="H120" s="6" t="s">
        <v>327</v>
      </c>
      <c r="I120" s="10" t="s">
        <v>327</v>
      </c>
      <c r="J120" s="10" t="s">
        <v>39</v>
      </c>
      <c r="K120" s="9" t="str">
        <f>"057586534054"</f>
        <v>057586534054</v>
      </c>
      <c r="L120" s="9" t="str">
        <f>"057586534054"</f>
        <v>057586534054</v>
      </c>
      <c r="M120" s="12" t="s">
        <v>496</v>
      </c>
      <c r="N120" s="8">
        <v>0</v>
      </c>
      <c r="O120" s="11">
        <f>IF(B120="KEEP EXISTING",N120,'Cost Review'!H115)</f>
        <v>0</v>
      </c>
      <c r="P120" s="8" t="str">
        <f t="shared" si="11"/>
        <v>MISSING</v>
      </c>
      <c r="Q120" s="8">
        <v>25</v>
      </c>
      <c r="R120" s="11">
        <f>IF(B120="KEEP EXISTING",Q120,'Cost Review'!J115)</f>
        <v>25</v>
      </c>
      <c r="S120" s="6" t="str">
        <f t="shared" si="12"/>
        <v>OK</v>
      </c>
      <c r="T120" s="9" t="str">
        <f>"057586534054"</f>
        <v>057586534054</v>
      </c>
      <c r="U120" s="10" t="s">
        <v>651</v>
      </c>
      <c r="V120" s="6" t="str">
        <f t="shared" si="13"/>
        <v>FOUND</v>
      </c>
      <c r="W120" s="9">
        <v>7</v>
      </c>
      <c r="X120" s="9">
        <v>0</v>
      </c>
      <c r="Y120" s="6" t="str">
        <f>IF(B120="KEEP EXISTING","Already in POS",IF(O120&lt;=0,"Blocked: cost",IF(OR(R120&lt;=0,R120&gt;100000),"Blocked: retail",IF(U120="","Blocked: image",IF(Summary!$B$3="APPROVED","READY","Pending approval")))))</f>
        <v>Blocked: cost</v>
      </c>
      <c r="Z120" s="6" t="s">
        <v>328</v>
      </c>
    </row>
    <row r="121" spans="1:26" ht="29.25">
      <c r="A121" s="12" t="s">
        <v>329</v>
      </c>
      <c r="B121" s="6" t="s">
        <v>494</v>
      </c>
      <c r="C121" s="6"/>
      <c r="D121" s="6"/>
      <c r="E121" s="6" t="s">
        <v>495</v>
      </c>
      <c r="F121" s="6" t="s">
        <v>40</v>
      </c>
      <c r="G121" s="6" t="s">
        <v>41</v>
      </c>
      <c r="H121" s="6" t="s">
        <v>330</v>
      </c>
      <c r="I121" s="10" t="s">
        <v>330</v>
      </c>
      <c r="J121" s="10" t="s">
        <v>39</v>
      </c>
      <c r="K121" s="9" t="str">
        <f>"838286574782"</f>
        <v>838286574782</v>
      </c>
      <c r="L121" s="9" t="str">
        <f>"838286574782"</f>
        <v>838286574782</v>
      </c>
      <c r="M121" s="12" t="s">
        <v>496</v>
      </c>
      <c r="N121" s="8">
        <v>0</v>
      </c>
      <c r="O121" s="11">
        <f>IF(B121="KEEP EXISTING",N121,'Cost Review'!H116)</f>
        <v>3.8</v>
      </c>
      <c r="P121" s="8" t="str">
        <f t="shared" si="11"/>
        <v>REVIEW</v>
      </c>
      <c r="Q121" s="8">
        <v>15</v>
      </c>
      <c r="R121" s="11">
        <f>IF(B121="KEEP EXISTING",Q121,'Cost Review'!J116)</f>
        <v>15</v>
      </c>
      <c r="S121" s="6" t="str">
        <f t="shared" si="12"/>
        <v>OK</v>
      </c>
      <c r="T121" s="9" t="str">
        <f>"838286574782"</f>
        <v>838286574782</v>
      </c>
      <c r="U121" s="10" t="s">
        <v>652</v>
      </c>
      <c r="V121" s="6" t="str">
        <f t="shared" si="13"/>
        <v>FOUND</v>
      </c>
      <c r="W121" s="9">
        <v>5</v>
      </c>
      <c r="X121" s="9">
        <v>0</v>
      </c>
      <c r="Y121" s="6" t="str">
        <f>IF(B121="KEEP EXISTING","Already in POS",IF(O121&lt;=0,"Blocked: cost",IF(OR(R121&lt;=0,R121&gt;100000),"Blocked: retail",IF(U121="","Blocked: image",IF(Summary!$B$3="APPROVED","READY","Pending approval")))))</f>
        <v>Pending approval</v>
      </c>
      <c r="Z121" s="6" t="s">
        <v>331</v>
      </c>
    </row>
    <row r="122" spans="1:26" ht="29.25">
      <c r="A122" s="12" t="s">
        <v>332</v>
      </c>
      <c r="B122" s="6" t="s">
        <v>494</v>
      </c>
      <c r="C122" s="6"/>
      <c r="D122" s="6"/>
      <c r="E122" s="6" t="s">
        <v>653</v>
      </c>
      <c r="F122" s="6" t="s">
        <v>69</v>
      </c>
      <c r="G122" s="6" t="s">
        <v>334</v>
      </c>
      <c r="H122" s="6" t="s">
        <v>333</v>
      </c>
      <c r="I122" s="10" t="s">
        <v>333</v>
      </c>
      <c r="J122" s="10" t="s">
        <v>138</v>
      </c>
      <c r="K122" s="9" t="str">
        <f>"6970344732841"</f>
        <v>6970344732841</v>
      </c>
      <c r="L122" s="9" t="str">
        <f>"6970344732841"</f>
        <v>6970344732841</v>
      </c>
      <c r="M122" s="12" t="s">
        <v>496</v>
      </c>
      <c r="N122" s="8">
        <v>0</v>
      </c>
      <c r="O122" s="11">
        <f>IF(B122="KEEP EXISTING",N122,'Cost Review'!H117)</f>
        <v>20</v>
      </c>
      <c r="P122" s="8" t="str">
        <f t="shared" si="11"/>
        <v>REVIEW</v>
      </c>
      <c r="Q122" s="8">
        <v>49.99</v>
      </c>
      <c r="R122" s="11">
        <f>IF(B122="KEEP EXISTING",Q122,'Cost Review'!J117)</f>
        <v>49.99</v>
      </c>
      <c r="S122" s="6" t="str">
        <f t="shared" si="12"/>
        <v>OK</v>
      </c>
      <c r="T122" s="9" t="str">
        <f>"6970344732841"</f>
        <v>6970344732841</v>
      </c>
      <c r="U122" s="10" t="s">
        <v>654</v>
      </c>
      <c r="V122" s="6" t="str">
        <f t="shared" si="13"/>
        <v>FOUND</v>
      </c>
      <c r="W122" s="9">
        <v>2</v>
      </c>
      <c r="X122" s="9">
        <v>0</v>
      </c>
      <c r="Y122" s="6" t="str">
        <f>IF(B122="KEEP EXISTING","Already in POS",IF(O122&lt;=0,"Blocked: cost",IF(OR(R122&lt;=0,R122&gt;100000),"Blocked: retail",IF(U122="","Blocked: image",IF(Summary!$B$3="APPROVED","READY","Pending approval")))))</f>
        <v>Pending approval</v>
      </c>
      <c r="Z122" s="6" t="s">
        <v>317</v>
      </c>
    </row>
    <row r="123" spans="1:26" ht="29.25">
      <c r="A123" s="12" t="s">
        <v>335</v>
      </c>
      <c r="B123" s="6" t="s">
        <v>494</v>
      </c>
      <c r="C123" s="6"/>
      <c r="D123" s="6"/>
      <c r="E123" s="6" t="s">
        <v>522</v>
      </c>
      <c r="F123" s="6" t="s">
        <v>54</v>
      </c>
      <c r="G123" s="6" t="s">
        <v>60</v>
      </c>
      <c r="H123" s="6" t="s">
        <v>336</v>
      </c>
      <c r="I123" s="10" t="s">
        <v>336</v>
      </c>
      <c r="J123" s="10" t="s">
        <v>39</v>
      </c>
      <c r="K123" s="9" t="str">
        <f>"155422166039"</f>
        <v>155422166039</v>
      </c>
      <c r="L123" s="9" t="str">
        <f>"155422166039"</f>
        <v>155422166039</v>
      </c>
      <c r="M123" s="12" t="s">
        <v>496</v>
      </c>
      <c r="N123" s="8">
        <v>0</v>
      </c>
      <c r="O123" s="11">
        <f>IF(B123="KEEP EXISTING",N123,'Cost Review'!H118)</f>
        <v>3</v>
      </c>
      <c r="P123" s="8" t="str">
        <f t="shared" si="11"/>
        <v>REVIEW</v>
      </c>
      <c r="Q123" s="8">
        <v>15</v>
      </c>
      <c r="R123" s="11">
        <f>IF(B123="KEEP EXISTING",Q123,'Cost Review'!J118)</f>
        <v>15</v>
      </c>
      <c r="S123" s="6" t="str">
        <f t="shared" si="12"/>
        <v>OK</v>
      </c>
      <c r="T123" s="9" t="str">
        <f>"155422166039"</f>
        <v>155422166039</v>
      </c>
      <c r="U123" s="10" t="s">
        <v>655</v>
      </c>
      <c r="V123" s="6" t="str">
        <f t="shared" si="13"/>
        <v>FOUND</v>
      </c>
      <c r="W123" s="9">
        <v>36</v>
      </c>
      <c r="X123" s="9">
        <v>0</v>
      </c>
      <c r="Y123" s="6" t="str">
        <f>IF(B123="KEEP EXISTING","Already in POS",IF(O123&lt;=0,"Blocked: cost",IF(OR(R123&lt;=0,R123&gt;100000),"Blocked: retail",IF(U123="","Blocked: image",IF(Summary!$B$3="APPROVED","READY","Pending approval")))))</f>
        <v>Pending approval</v>
      </c>
      <c r="Z123" s="6" t="s">
        <v>337</v>
      </c>
    </row>
    <row r="124" spans="1:26" ht="29.25">
      <c r="A124" s="12" t="s">
        <v>338</v>
      </c>
      <c r="B124" s="6" t="s">
        <v>494</v>
      </c>
      <c r="C124" s="6"/>
      <c r="D124" s="6"/>
      <c r="E124" s="6" t="s">
        <v>504</v>
      </c>
      <c r="F124" s="6" t="s">
        <v>54</v>
      </c>
      <c r="G124" s="6" t="s">
        <v>60</v>
      </c>
      <c r="H124" s="6" t="s">
        <v>339</v>
      </c>
      <c r="I124" s="10" t="s">
        <v>339</v>
      </c>
      <c r="J124" s="10" t="s">
        <v>138</v>
      </c>
      <c r="K124" s="9" t="str">
        <f>"KB1356MT072000064"</f>
        <v>KB1356MT072000064</v>
      </c>
      <c r="L124" s="9" t="str">
        <f>"KB1356MT072000064"</f>
        <v>KB1356MT072000064</v>
      </c>
      <c r="M124" s="12" t="s">
        <v>496</v>
      </c>
      <c r="N124" s="8">
        <v>0</v>
      </c>
      <c r="O124" s="11">
        <f>IF(B124="KEEP EXISTING",N124,'Cost Review'!H119)</f>
        <v>8</v>
      </c>
      <c r="P124" s="8" t="str">
        <f t="shared" si="11"/>
        <v>REVIEW</v>
      </c>
      <c r="Q124" s="8">
        <v>24.99</v>
      </c>
      <c r="R124" s="11">
        <f>IF(B124="KEEP EXISTING",Q124,'Cost Review'!J119)</f>
        <v>24.99</v>
      </c>
      <c r="S124" s="6" t="str">
        <f t="shared" si="12"/>
        <v>OK</v>
      </c>
      <c r="T124" s="9" t="str">
        <f>"2998000083568"</f>
        <v>2998000083568</v>
      </c>
      <c r="U124" s="10" t="s">
        <v>656</v>
      </c>
      <c r="V124" s="6" t="str">
        <f t="shared" si="13"/>
        <v>FOUND</v>
      </c>
      <c r="W124" s="9">
        <v>12</v>
      </c>
      <c r="X124" s="9">
        <v>0</v>
      </c>
      <c r="Y124" s="6" t="str">
        <f>IF(B124="KEEP EXISTING","Already in POS",IF(O124&lt;=0,"Blocked: cost",IF(OR(R124&lt;=0,R124&gt;100000),"Blocked: retail",IF(U124="","Blocked: image",IF(Summary!$B$3="APPROVED","READY","Pending approval")))))</f>
        <v>Pending approval</v>
      </c>
      <c r="Z124" s="6" t="s">
        <v>340</v>
      </c>
    </row>
    <row r="125" spans="1:26" ht="29.25">
      <c r="A125" s="12" t="s">
        <v>341</v>
      </c>
      <c r="B125" s="6" t="s">
        <v>494</v>
      </c>
      <c r="C125" s="6"/>
      <c r="D125" s="6"/>
      <c r="E125" s="6" t="s">
        <v>657</v>
      </c>
      <c r="F125" s="6" t="s">
        <v>54</v>
      </c>
      <c r="G125" s="6" t="s">
        <v>74</v>
      </c>
      <c r="H125" s="6" t="s">
        <v>342</v>
      </c>
      <c r="I125" s="10" t="s">
        <v>342</v>
      </c>
      <c r="J125" s="10" t="s">
        <v>39</v>
      </c>
      <c r="K125" s="9" t="str">
        <f>"6954851295891"</f>
        <v>6954851295891</v>
      </c>
      <c r="L125" s="9" t="str">
        <f>"6954851295891"</f>
        <v>6954851295891</v>
      </c>
      <c r="M125" s="12" t="s">
        <v>496</v>
      </c>
      <c r="N125" s="8">
        <v>33.5</v>
      </c>
      <c r="O125" s="11">
        <f>IF(B125="KEEP EXISTING",N125,'Cost Review'!H120)</f>
        <v>33.5</v>
      </c>
      <c r="P125" s="8" t="str">
        <f t="shared" si="11"/>
        <v>REVIEW</v>
      </c>
      <c r="Q125" s="8">
        <v>79</v>
      </c>
      <c r="R125" s="11">
        <f>IF(B125="KEEP EXISTING",Q125,'Cost Review'!J120)</f>
        <v>79</v>
      </c>
      <c r="S125" s="6" t="str">
        <f t="shared" si="12"/>
        <v>OK</v>
      </c>
      <c r="T125" s="9" t="str">
        <f>"6954851295891"</f>
        <v>6954851295891</v>
      </c>
      <c r="U125" s="10" t="s">
        <v>658</v>
      </c>
      <c r="V125" s="6" t="str">
        <f t="shared" si="13"/>
        <v>FOUND</v>
      </c>
      <c r="W125" s="9">
        <v>0</v>
      </c>
      <c r="X125" s="9">
        <v>0</v>
      </c>
      <c r="Y125" s="6" t="str">
        <f>IF(B125="KEEP EXISTING","Already in POS",IF(O125&lt;=0,"Blocked: cost",IF(OR(R125&lt;=0,R125&gt;100000),"Blocked: retail",IF(U125="","Blocked: image",IF(Summary!$B$3="APPROVED","READY","Pending approval")))))</f>
        <v>Pending approval</v>
      </c>
      <c r="Z125" s="6"/>
    </row>
    <row r="126" spans="1:26" ht="29.25">
      <c r="A126" s="12" t="s">
        <v>343</v>
      </c>
      <c r="B126" s="6" t="s">
        <v>494</v>
      </c>
      <c r="C126" s="6"/>
      <c r="D126" s="6"/>
      <c r="E126" s="6" t="s">
        <v>657</v>
      </c>
      <c r="F126" s="6" t="s">
        <v>54</v>
      </c>
      <c r="G126" s="6" t="s">
        <v>74</v>
      </c>
      <c r="H126" s="6" t="s">
        <v>344</v>
      </c>
      <c r="I126" s="10" t="s">
        <v>344</v>
      </c>
      <c r="J126" s="10" t="s">
        <v>39</v>
      </c>
      <c r="K126" s="9" t="str">
        <f>"6954851252191"</f>
        <v>6954851252191</v>
      </c>
      <c r="L126" s="9" t="str">
        <f>"6954851252191"</f>
        <v>6954851252191</v>
      </c>
      <c r="M126" s="12" t="s">
        <v>496</v>
      </c>
      <c r="N126" s="8">
        <v>18</v>
      </c>
      <c r="O126" s="11">
        <f>IF(B126="KEEP EXISTING",N126,'Cost Review'!H121)</f>
        <v>18</v>
      </c>
      <c r="P126" s="8" t="str">
        <f t="shared" si="11"/>
        <v>REVIEW</v>
      </c>
      <c r="Q126" s="8">
        <v>39</v>
      </c>
      <c r="R126" s="11">
        <f>IF(B126="KEEP EXISTING",Q126,'Cost Review'!J121)</f>
        <v>39</v>
      </c>
      <c r="S126" s="6" t="str">
        <f t="shared" si="12"/>
        <v>OK</v>
      </c>
      <c r="T126" s="9" t="str">
        <f>"6954851252191"</f>
        <v>6954851252191</v>
      </c>
      <c r="U126" s="10" t="s">
        <v>659</v>
      </c>
      <c r="V126" s="6" t="str">
        <f t="shared" si="13"/>
        <v>FOUND</v>
      </c>
      <c r="W126" s="9">
        <v>-1</v>
      </c>
      <c r="X126" s="9">
        <v>0</v>
      </c>
      <c r="Y126" s="6" t="str">
        <f>IF(B126="KEEP EXISTING","Already in POS",IF(O126&lt;=0,"Blocked: cost",IF(OR(R126&lt;=0,R126&gt;100000),"Blocked: retail",IF(U126="","Blocked: image",IF(Summary!$B$3="APPROVED","READY","Pending approval")))))</f>
        <v>Pending approval</v>
      </c>
      <c r="Z126" s="6" t="s">
        <v>238</v>
      </c>
    </row>
    <row r="127" spans="1:26" ht="29.25">
      <c r="A127" s="12" t="s">
        <v>345</v>
      </c>
      <c r="B127" s="6" t="s">
        <v>494</v>
      </c>
      <c r="C127" s="6"/>
      <c r="D127" s="6"/>
      <c r="E127" s="6" t="s">
        <v>657</v>
      </c>
      <c r="F127" s="6" t="s">
        <v>54</v>
      </c>
      <c r="G127" s="6" t="s">
        <v>74</v>
      </c>
      <c r="H127" s="6" t="s">
        <v>346</v>
      </c>
      <c r="I127" s="10" t="s">
        <v>346</v>
      </c>
      <c r="J127" s="10" t="s">
        <v>39</v>
      </c>
      <c r="K127" s="9" t="str">
        <f>"6954851252092"</f>
        <v>6954851252092</v>
      </c>
      <c r="L127" s="9" t="str">
        <f>"6954851252092"</f>
        <v>6954851252092</v>
      </c>
      <c r="M127" s="12" t="s">
        <v>496</v>
      </c>
      <c r="N127" s="8">
        <v>6.38</v>
      </c>
      <c r="O127" s="11">
        <f>IF(B127="KEEP EXISTING",N127,'Cost Review'!H122)</f>
        <v>6.38</v>
      </c>
      <c r="P127" s="8" t="str">
        <f t="shared" si="11"/>
        <v>REVIEW</v>
      </c>
      <c r="Q127" s="8">
        <v>28</v>
      </c>
      <c r="R127" s="11">
        <f>IF(B127="KEEP EXISTING",Q127,'Cost Review'!J122)</f>
        <v>28</v>
      </c>
      <c r="S127" s="6" t="str">
        <f t="shared" si="12"/>
        <v>OK</v>
      </c>
      <c r="T127" s="9" t="str">
        <f>"6954851252092"</f>
        <v>6954851252092</v>
      </c>
      <c r="U127" s="10" t="s">
        <v>660</v>
      </c>
      <c r="V127" s="6" t="str">
        <f t="shared" si="13"/>
        <v>FOUND</v>
      </c>
      <c r="W127" s="9">
        <v>3</v>
      </c>
      <c r="X127" s="9">
        <v>0</v>
      </c>
      <c r="Y127" s="6" t="str">
        <f>IF(B127="KEEP EXISTING","Already in POS",IF(O127&lt;=0,"Blocked: cost",IF(OR(R127&lt;=0,R127&gt;100000),"Blocked: retail",IF(U127="","Blocked: image",IF(Summary!$B$3="APPROVED","READY","Pending approval")))))</f>
        <v>Pending approval</v>
      </c>
      <c r="Z127" s="6" t="s">
        <v>85</v>
      </c>
    </row>
    <row r="128" spans="1:26" ht="29.25">
      <c r="A128" s="12" t="s">
        <v>347</v>
      </c>
      <c r="B128" s="6" t="s">
        <v>494</v>
      </c>
      <c r="C128" s="6"/>
      <c r="D128" s="6"/>
      <c r="E128" s="6" t="s">
        <v>657</v>
      </c>
      <c r="F128" s="6" t="s">
        <v>54</v>
      </c>
      <c r="G128" s="6" t="s">
        <v>74</v>
      </c>
      <c r="H128" s="6" t="s">
        <v>348</v>
      </c>
      <c r="I128" s="10" t="s">
        <v>348</v>
      </c>
      <c r="J128" s="10" t="s">
        <v>39</v>
      </c>
      <c r="K128" s="9" t="str">
        <f>"7812488"</f>
        <v>7812488</v>
      </c>
      <c r="L128" s="9" t="str">
        <f>"7812488"</f>
        <v>7812488</v>
      </c>
      <c r="M128" s="12" t="s">
        <v>496</v>
      </c>
      <c r="N128" s="8">
        <v>4.5</v>
      </c>
      <c r="O128" s="11">
        <f>IF(B128="KEEP EXISTING",N128,'Cost Review'!H123)</f>
        <v>4.5</v>
      </c>
      <c r="P128" s="8" t="str">
        <f t="shared" si="11"/>
        <v>REVIEW</v>
      </c>
      <c r="Q128" s="8">
        <v>19</v>
      </c>
      <c r="R128" s="11">
        <f>IF(B128="KEEP EXISTING",Q128,'Cost Review'!J123)</f>
        <v>19</v>
      </c>
      <c r="S128" s="6" t="str">
        <f t="shared" si="12"/>
        <v>OK</v>
      </c>
      <c r="T128" s="9" t="str">
        <f>"2998000078120"</f>
        <v>2998000078120</v>
      </c>
      <c r="U128" s="10" t="s">
        <v>661</v>
      </c>
      <c r="V128" s="6" t="str">
        <f t="shared" si="13"/>
        <v>FOUND</v>
      </c>
      <c r="W128" s="9">
        <v>0</v>
      </c>
      <c r="X128" s="9">
        <v>0</v>
      </c>
      <c r="Y128" s="6" t="str">
        <f>IF(B128="KEEP EXISTING","Already in POS",IF(O128&lt;=0,"Blocked: cost",IF(OR(R128&lt;=0,R128&gt;100000),"Blocked: retail",IF(U128="","Blocked: image",IF(Summary!$B$3="APPROVED","READY","Pending approval")))))</f>
        <v>Pending approval</v>
      </c>
      <c r="Z128" s="6"/>
    </row>
    <row r="129" spans="1:26" ht="29.25">
      <c r="A129" s="12" t="s">
        <v>349</v>
      </c>
      <c r="B129" s="6" t="s">
        <v>494</v>
      </c>
      <c r="C129" s="6"/>
      <c r="D129" s="6"/>
      <c r="E129" s="6" t="s">
        <v>504</v>
      </c>
      <c r="F129" s="6" t="s">
        <v>54</v>
      </c>
      <c r="G129" s="6" t="s">
        <v>60</v>
      </c>
      <c r="H129" s="6" t="s">
        <v>350</v>
      </c>
      <c r="I129" s="10" t="s">
        <v>350</v>
      </c>
      <c r="J129" s="10" t="s">
        <v>39</v>
      </c>
      <c r="K129" s="9" t="str">
        <f>"6970344731646"</f>
        <v>6970344731646</v>
      </c>
      <c r="L129" s="9" t="str">
        <f>"6970344731646"</f>
        <v>6970344731646</v>
      </c>
      <c r="M129" s="12" t="s">
        <v>496</v>
      </c>
      <c r="N129" s="8">
        <v>0</v>
      </c>
      <c r="O129" s="11">
        <f>IF(B129="KEEP EXISTING",N129,'Cost Review'!H124)</f>
        <v>19.84</v>
      </c>
      <c r="P129" s="8" t="str">
        <f t="shared" si="11"/>
        <v>REVIEW</v>
      </c>
      <c r="Q129" s="8">
        <v>29.99</v>
      </c>
      <c r="R129" s="11">
        <f>IF(B129="KEEP EXISTING",Q129,'Cost Review'!J124)</f>
        <v>29.99</v>
      </c>
      <c r="S129" s="6" t="str">
        <f t="shared" si="12"/>
        <v>OK</v>
      </c>
      <c r="T129" s="9" t="str">
        <f>"6970344731646"</f>
        <v>6970344731646</v>
      </c>
      <c r="U129" s="10" t="s">
        <v>662</v>
      </c>
      <c r="V129" s="6" t="str">
        <f t="shared" si="13"/>
        <v>FOUND</v>
      </c>
      <c r="W129" s="9">
        <v>13</v>
      </c>
      <c r="X129" s="9">
        <v>0</v>
      </c>
      <c r="Y129" s="6" t="str">
        <f>IF(B129="KEEP EXISTING","Already in POS",IF(O129&lt;=0,"Blocked: cost",IF(OR(R129&lt;=0,R129&gt;100000),"Blocked: retail",IF(U129="","Blocked: image",IF(Summary!$B$3="APPROVED","READY","Pending approval")))))</f>
        <v>Pending approval</v>
      </c>
      <c r="Z129" s="6" t="s">
        <v>351</v>
      </c>
    </row>
    <row r="130" spans="1:26" ht="29.25">
      <c r="A130" s="12" t="s">
        <v>352</v>
      </c>
      <c r="B130" s="6" t="s">
        <v>494</v>
      </c>
      <c r="C130" s="6"/>
      <c r="D130" s="6"/>
      <c r="E130" s="6" t="s">
        <v>519</v>
      </c>
      <c r="F130" s="6" t="s">
        <v>69</v>
      </c>
      <c r="G130" s="6" t="s">
        <v>96</v>
      </c>
      <c r="H130" s="6" t="s">
        <v>353</v>
      </c>
      <c r="I130" s="10" t="s">
        <v>353</v>
      </c>
      <c r="J130" s="10" t="s">
        <v>39</v>
      </c>
      <c r="K130" s="9" t="str">
        <f>"6972174159461"</f>
        <v>6972174159461</v>
      </c>
      <c r="L130" s="9" t="str">
        <f>"6972174159461"</f>
        <v>6972174159461</v>
      </c>
      <c r="M130" s="12" t="s">
        <v>496</v>
      </c>
      <c r="N130" s="8">
        <v>0</v>
      </c>
      <c r="O130" s="11">
        <f>IF(B130="KEEP EXISTING",N130,'Cost Review'!H125)</f>
        <v>20</v>
      </c>
      <c r="P130" s="8" t="str">
        <f t="shared" ref="P130:P161" si="14">IF(B130="KEEP EXISTING","Existing",IF(O130&lt;=0,"MISSING","REVIEW"))</f>
        <v>REVIEW</v>
      </c>
      <c r="Q130" s="8">
        <v>129</v>
      </c>
      <c r="R130" s="11">
        <f>IF(B130="KEEP EXISTING",Q130,'Cost Review'!J125)</f>
        <v>129</v>
      </c>
      <c r="S130" s="6" t="str">
        <f t="shared" ref="S130:S161" si="15">IF(B130="KEEP EXISTING","Existing",IF(OR(R130&lt;=0,R130&gt;100000),"CHECK","OK"))</f>
        <v>OK</v>
      </c>
      <c r="T130" s="9" t="str">
        <f>"6972174159461"</f>
        <v>6972174159461</v>
      </c>
      <c r="U130" s="10" t="s">
        <v>663</v>
      </c>
      <c r="V130" s="6" t="str">
        <f t="shared" ref="V130:V161" si="16">IF(B130="KEEP EXISTING","Existing",IF(U130="","MISSING","FOUND"))</f>
        <v>FOUND</v>
      </c>
      <c r="W130" s="9">
        <v>0</v>
      </c>
      <c r="X130" s="9">
        <v>0</v>
      </c>
      <c r="Y130" s="6" t="str">
        <f>IF(B130="KEEP EXISTING","Already in POS",IF(O130&lt;=0,"Blocked: cost",IF(OR(R130&lt;=0,R130&gt;100000),"Blocked: retail",IF(U130="","Blocked: image",IF(Summary!$B$3="APPROVED","READY","Pending approval")))))</f>
        <v>Pending approval</v>
      </c>
      <c r="Z130" s="6" t="s">
        <v>223</v>
      </c>
    </row>
    <row r="131" spans="1:26" ht="29.25">
      <c r="A131" s="12" t="s">
        <v>354</v>
      </c>
      <c r="B131" s="6" t="s">
        <v>494</v>
      </c>
      <c r="C131" s="6"/>
      <c r="D131" s="6"/>
      <c r="E131" s="6" t="s">
        <v>519</v>
      </c>
      <c r="F131" s="6" t="s">
        <v>69</v>
      </c>
      <c r="G131" s="6" t="s">
        <v>96</v>
      </c>
      <c r="H131" s="6" t="s">
        <v>355</v>
      </c>
      <c r="I131" s="10" t="s">
        <v>355</v>
      </c>
      <c r="J131" s="10" t="s">
        <v>39</v>
      </c>
      <c r="K131" s="9" t="str">
        <f>"6972174159454"</f>
        <v>6972174159454</v>
      </c>
      <c r="L131" s="9" t="str">
        <f>"6972174159454"</f>
        <v>6972174159454</v>
      </c>
      <c r="M131" s="12" t="s">
        <v>496</v>
      </c>
      <c r="N131" s="8">
        <v>0</v>
      </c>
      <c r="O131" s="11">
        <f>IF(B131="KEEP EXISTING",N131,'Cost Review'!H126)</f>
        <v>20</v>
      </c>
      <c r="P131" s="8" t="str">
        <f t="shared" si="14"/>
        <v>REVIEW</v>
      </c>
      <c r="Q131" s="8">
        <v>129</v>
      </c>
      <c r="R131" s="11">
        <f>IF(B131="KEEP EXISTING",Q131,'Cost Review'!J126)</f>
        <v>129</v>
      </c>
      <c r="S131" s="6" t="str">
        <f t="shared" si="15"/>
        <v>OK</v>
      </c>
      <c r="T131" s="9" t="str">
        <f>"6972174159454"</f>
        <v>6972174159454</v>
      </c>
      <c r="U131" s="10" t="s">
        <v>664</v>
      </c>
      <c r="V131" s="6" t="str">
        <f t="shared" si="16"/>
        <v>FOUND</v>
      </c>
      <c r="W131" s="9">
        <v>-3</v>
      </c>
      <c r="X131" s="9">
        <v>0</v>
      </c>
      <c r="Y131" s="6" t="str">
        <f>IF(B131="KEEP EXISTING","Already in POS",IF(O131&lt;=0,"Blocked: cost",IF(OR(R131&lt;=0,R131&gt;100000),"Blocked: retail",IF(U131="","Blocked: image",IF(Summary!$B$3="APPROVED","READY","Pending approval")))))</f>
        <v>Pending approval</v>
      </c>
      <c r="Z131" s="6" t="s">
        <v>356</v>
      </c>
    </row>
    <row r="132" spans="1:26" ht="29.25">
      <c r="A132" s="12" t="s">
        <v>357</v>
      </c>
      <c r="B132" s="6" t="s">
        <v>494</v>
      </c>
      <c r="C132" s="6"/>
      <c r="D132" s="6"/>
      <c r="E132" s="6" t="s">
        <v>580</v>
      </c>
      <c r="F132" s="6" t="s">
        <v>54</v>
      </c>
      <c r="G132" s="6" t="s">
        <v>216</v>
      </c>
      <c r="H132" s="6" t="s">
        <v>358</v>
      </c>
      <c r="I132" s="10" t="s">
        <v>358</v>
      </c>
      <c r="J132" s="10" t="s">
        <v>314</v>
      </c>
      <c r="K132" s="9" t="str">
        <f>"6935364050573"</f>
        <v>6935364050573</v>
      </c>
      <c r="L132" s="9" t="str">
        <f>"6935364050573"</f>
        <v>6935364050573</v>
      </c>
      <c r="M132" s="12" t="s">
        <v>496</v>
      </c>
      <c r="N132" s="8">
        <v>0</v>
      </c>
      <c r="O132" s="11">
        <f>IF(B132="KEEP EXISTING",N132,'Cost Review'!H127)</f>
        <v>0</v>
      </c>
      <c r="P132" s="8" t="str">
        <f t="shared" si="14"/>
        <v>MISSING</v>
      </c>
      <c r="Q132" s="8">
        <v>55</v>
      </c>
      <c r="R132" s="11">
        <f>IF(B132="KEEP EXISTING",Q132,'Cost Review'!J127)</f>
        <v>55</v>
      </c>
      <c r="S132" s="6" t="str">
        <f t="shared" si="15"/>
        <v>OK</v>
      </c>
      <c r="T132" s="9" t="str">
        <f>"6935364050573"</f>
        <v>6935364050573</v>
      </c>
      <c r="U132" s="10" t="s">
        <v>665</v>
      </c>
      <c r="V132" s="6" t="str">
        <f t="shared" si="16"/>
        <v>FOUND</v>
      </c>
      <c r="W132" s="9">
        <v>1</v>
      </c>
      <c r="X132" s="9">
        <v>0</v>
      </c>
      <c r="Y132" s="6" t="str">
        <f>IF(B132="KEEP EXISTING","Already in POS",IF(O132&lt;=0,"Blocked: cost",IF(OR(R132&lt;=0,R132&gt;100000),"Blocked: retail",IF(U132="","Blocked: image",IF(Summary!$B$3="APPROVED","READY","Pending approval")))))</f>
        <v>Blocked: cost</v>
      </c>
      <c r="Z132" s="6" t="s">
        <v>325</v>
      </c>
    </row>
    <row r="133" spans="1:26" ht="29.25">
      <c r="A133" s="12" t="s">
        <v>359</v>
      </c>
      <c r="B133" s="6" t="s">
        <v>494</v>
      </c>
      <c r="C133" s="6"/>
      <c r="D133" s="6"/>
      <c r="E133" s="6" t="s">
        <v>580</v>
      </c>
      <c r="F133" s="6" t="s">
        <v>54</v>
      </c>
      <c r="G133" s="6" t="s">
        <v>216</v>
      </c>
      <c r="H133" s="6" t="s">
        <v>360</v>
      </c>
      <c r="I133" s="10" t="s">
        <v>360</v>
      </c>
      <c r="J133" s="10" t="s">
        <v>314</v>
      </c>
      <c r="K133" s="9" t="str">
        <f>"6845174"</f>
        <v>6845174</v>
      </c>
      <c r="L133" s="9" t="str">
        <f>"6845174"</f>
        <v>6845174</v>
      </c>
      <c r="M133" s="12" t="s">
        <v>496</v>
      </c>
      <c r="N133" s="8">
        <v>0</v>
      </c>
      <c r="O133" s="11">
        <f>IF(B133="KEEP EXISTING",N133,'Cost Review'!H128)</f>
        <v>0</v>
      </c>
      <c r="P133" s="8" t="str">
        <f t="shared" si="14"/>
        <v>MISSING</v>
      </c>
      <c r="Q133" s="8">
        <v>45</v>
      </c>
      <c r="R133" s="11">
        <f>IF(B133="KEEP EXISTING",Q133,'Cost Review'!J128)</f>
        <v>45</v>
      </c>
      <c r="S133" s="6" t="str">
        <f t="shared" si="15"/>
        <v>OK</v>
      </c>
      <c r="T133" s="9" t="str">
        <f>"2998000068459"</f>
        <v>2998000068459</v>
      </c>
      <c r="U133" s="10" t="s">
        <v>666</v>
      </c>
      <c r="V133" s="6" t="str">
        <f t="shared" si="16"/>
        <v>FOUND</v>
      </c>
      <c r="W133" s="9">
        <v>-1</v>
      </c>
      <c r="X133" s="9">
        <v>0</v>
      </c>
      <c r="Y133" s="6" t="str">
        <f>IF(B133="KEEP EXISTING","Already in POS",IF(O133&lt;=0,"Blocked: cost",IF(OR(R133&lt;=0,R133&gt;100000),"Blocked: retail",IF(U133="","Blocked: image",IF(Summary!$B$3="APPROVED","READY","Pending approval")))))</f>
        <v>Blocked: cost</v>
      </c>
      <c r="Z133" s="6" t="s">
        <v>320</v>
      </c>
    </row>
    <row r="134" spans="1:26" ht="29.25">
      <c r="A134" s="12" t="s">
        <v>361</v>
      </c>
      <c r="B134" s="6" t="s">
        <v>494</v>
      </c>
      <c r="C134" s="6"/>
      <c r="D134" s="6"/>
      <c r="E134" s="6" t="s">
        <v>506</v>
      </c>
      <c r="F134" s="6" t="s">
        <v>54</v>
      </c>
      <c r="G134" s="6" t="s">
        <v>65</v>
      </c>
      <c r="H134" s="6" t="s">
        <v>362</v>
      </c>
      <c r="I134" s="10" t="s">
        <v>362</v>
      </c>
      <c r="J134" s="10" t="s">
        <v>39</v>
      </c>
      <c r="K134" s="9" t="str">
        <f>"2901353532461"</f>
        <v>2901353532461</v>
      </c>
      <c r="L134" s="9" t="str">
        <f>"2901353532461"</f>
        <v>2901353532461</v>
      </c>
      <c r="M134" s="12" t="s">
        <v>496</v>
      </c>
      <c r="N134" s="8">
        <v>0</v>
      </c>
      <c r="O134" s="11">
        <f>IF(B134="KEEP EXISTING",N134,'Cost Review'!H129)</f>
        <v>0</v>
      </c>
      <c r="P134" s="8" t="str">
        <f t="shared" si="14"/>
        <v>MISSING</v>
      </c>
      <c r="Q134" s="8">
        <v>35</v>
      </c>
      <c r="R134" s="11">
        <f>IF(B134="KEEP EXISTING",Q134,'Cost Review'!J129)</f>
        <v>35</v>
      </c>
      <c r="S134" s="6" t="str">
        <f t="shared" si="15"/>
        <v>OK</v>
      </c>
      <c r="T134" s="9" t="str">
        <f>"2901353532461"</f>
        <v>2901353532461</v>
      </c>
      <c r="U134" s="10" t="s">
        <v>667</v>
      </c>
      <c r="V134" s="6" t="str">
        <f t="shared" si="16"/>
        <v>FOUND</v>
      </c>
      <c r="W134" s="9">
        <v>3</v>
      </c>
      <c r="X134" s="9">
        <v>0</v>
      </c>
      <c r="Y134" s="6" t="str">
        <f>IF(B134="KEEP EXISTING","Already in POS",IF(O134&lt;=0,"Blocked: cost",IF(OR(R134&lt;=0,R134&gt;100000),"Blocked: retail",IF(U134="","Blocked: image",IF(Summary!$B$3="APPROVED","READY","Pending approval")))))</f>
        <v>Blocked: cost</v>
      </c>
      <c r="Z134" s="6" t="s">
        <v>363</v>
      </c>
    </row>
    <row r="135" spans="1:26" ht="29.25">
      <c r="A135" s="12" t="s">
        <v>364</v>
      </c>
      <c r="B135" s="6" t="s">
        <v>494</v>
      </c>
      <c r="C135" s="6"/>
      <c r="D135" s="6"/>
      <c r="E135" s="6" t="s">
        <v>506</v>
      </c>
      <c r="F135" s="6" t="s">
        <v>54</v>
      </c>
      <c r="G135" s="6" t="s">
        <v>65</v>
      </c>
      <c r="H135" s="6" t="s">
        <v>365</v>
      </c>
      <c r="I135" s="10" t="s">
        <v>365</v>
      </c>
      <c r="J135" s="10" t="s">
        <v>39</v>
      </c>
      <c r="K135" s="9" t="str">
        <f>"593450563718"</f>
        <v>593450563718</v>
      </c>
      <c r="L135" s="9" t="str">
        <f>"593450563718"</f>
        <v>593450563718</v>
      </c>
      <c r="M135" s="12" t="s">
        <v>496</v>
      </c>
      <c r="N135" s="8">
        <v>0</v>
      </c>
      <c r="O135" s="11">
        <f>IF(B135="KEEP EXISTING",N135,'Cost Review'!H130)</f>
        <v>15</v>
      </c>
      <c r="P135" s="8" t="str">
        <f t="shared" si="14"/>
        <v>REVIEW</v>
      </c>
      <c r="Q135" s="8">
        <v>55</v>
      </c>
      <c r="R135" s="11">
        <f>IF(B135="KEEP EXISTING",Q135,'Cost Review'!J130)</f>
        <v>55</v>
      </c>
      <c r="S135" s="6" t="str">
        <f t="shared" si="15"/>
        <v>OK</v>
      </c>
      <c r="T135" s="9" t="str">
        <f>"593450563718"</f>
        <v>593450563718</v>
      </c>
      <c r="U135" s="10" t="s">
        <v>668</v>
      </c>
      <c r="V135" s="6" t="str">
        <f t="shared" si="16"/>
        <v>FOUND</v>
      </c>
      <c r="W135" s="9">
        <v>1</v>
      </c>
      <c r="X135" s="9">
        <v>0</v>
      </c>
      <c r="Y135" s="6" t="str">
        <f>IF(B135="KEEP EXISTING","Already in POS",IF(O135&lt;=0,"Blocked: cost",IF(OR(R135&lt;=0,R135&gt;100000),"Blocked: retail",IF(U135="","Blocked: image",IF(Summary!$B$3="APPROVED","READY","Pending approval")))))</f>
        <v>Pending approval</v>
      </c>
      <c r="Z135" s="6" t="s">
        <v>325</v>
      </c>
    </row>
    <row r="136" spans="1:26" ht="29.25">
      <c r="A136" s="12" t="s">
        <v>366</v>
      </c>
      <c r="B136" s="6" t="s">
        <v>494</v>
      </c>
      <c r="C136" s="6"/>
      <c r="D136" s="6"/>
      <c r="E136" s="6" t="s">
        <v>657</v>
      </c>
      <c r="F136" s="6" t="s">
        <v>40</v>
      </c>
      <c r="G136" s="6" t="s">
        <v>368</v>
      </c>
      <c r="H136" s="6" t="s">
        <v>367</v>
      </c>
      <c r="I136" s="10" t="s">
        <v>367</v>
      </c>
      <c r="J136" s="10" t="s">
        <v>39</v>
      </c>
      <c r="K136" s="9" t="str">
        <f>"89421783370"</f>
        <v>89421783370</v>
      </c>
      <c r="L136" s="9" t="str">
        <f>"89421783370"</f>
        <v>89421783370</v>
      </c>
      <c r="M136" s="12" t="s">
        <v>496</v>
      </c>
      <c r="N136" s="8">
        <v>2</v>
      </c>
      <c r="O136" s="11">
        <f>IF(B136="KEEP EXISTING",N136,'Cost Review'!H131)</f>
        <v>2</v>
      </c>
      <c r="P136" s="8" t="str">
        <f t="shared" si="14"/>
        <v>REVIEW</v>
      </c>
      <c r="Q136" s="8">
        <v>19.989999999999998</v>
      </c>
      <c r="R136" s="11">
        <f>IF(B136="KEEP EXISTING",Q136,'Cost Review'!J131)</f>
        <v>19.989999999999998</v>
      </c>
      <c r="S136" s="6" t="str">
        <f t="shared" si="15"/>
        <v>OK</v>
      </c>
      <c r="T136" s="9" t="str">
        <f>"89421783370"</f>
        <v>89421783370</v>
      </c>
      <c r="U136" s="10" t="s">
        <v>669</v>
      </c>
      <c r="V136" s="6" t="str">
        <f t="shared" si="16"/>
        <v>FOUND</v>
      </c>
      <c r="W136" s="9">
        <v>4</v>
      </c>
      <c r="X136" s="9">
        <v>0</v>
      </c>
      <c r="Y136" s="6" t="str">
        <f>IF(B136="KEEP EXISTING","Already in POS",IF(O136&lt;=0,"Blocked: cost",IF(OR(R136&lt;=0,R136&gt;100000),"Blocked: retail",IF(U136="","Blocked: image",IF(Summary!$B$3="APPROVED","READY","Pending approval")))))</f>
        <v>Pending approval</v>
      </c>
      <c r="Z136" s="6" t="s">
        <v>45</v>
      </c>
    </row>
    <row r="137" spans="1:26" ht="29.25">
      <c r="A137" s="12" t="s">
        <v>369</v>
      </c>
      <c r="B137" s="6" t="s">
        <v>494</v>
      </c>
      <c r="C137" s="6"/>
      <c r="D137" s="6"/>
      <c r="E137" s="6" t="s">
        <v>522</v>
      </c>
      <c r="F137" s="6" t="s">
        <v>54</v>
      </c>
      <c r="G137" s="6" t="s">
        <v>60</v>
      </c>
      <c r="H137" s="6" t="s">
        <v>370</v>
      </c>
      <c r="I137" s="10" t="s">
        <v>370</v>
      </c>
      <c r="J137" s="10" t="s">
        <v>138</v>
      </c>
      <c r="K137" s="9" t="str">
        <f>"6970344732476"</f>
        <v>6970344732476</v>
      </c>
      <c r="L137" s="9" t="str">
        <f>"6970344732476"</f>
        <v>6970344732476</v>
      </c>
      <c r="M137" s="12" t="s">
        <v>496</v>
      </c>
      <c r="N137" s="8">
        <v>0</v>
      </c>
      <c r="O137" s="11">
        <f>IF(B137="KEEP EXISTING",N137,'Cost Review'!H132)</f>
        <v>7.76</v>
      </c>
      <c r="P137" s="8" t="str">
        <f t="shared" si="14"/>
        <v>REVIEW</v>
      </c>
      <c r="Q137" s="8">
        <v>24.99</v>
      </c>
      <c r="R137" s="11">
        <f>IF(B137="KEEP EXISTING",Q137,'Cost Review'!J132)</f>
        <v>24.99</v>
      </c>
      <c r="S137" s="6" t="str">
        <f t="shared" si="15"/>
        <v>OK</v>
      </c>
      <c r="T137" s="9" t="str">
        <f>"6970344732476"</f>
        <v>6970344732476</v>
      </c>
      <c r="U137" s="10" t="s">
        <v>670</v>
      </c>
      <c r="V137" s="6" t="str">
        <f t="shared" si="16"/>
        <v>FOUND</v>
      </c>
      <c r="W137" s="9">
        <v>1</v>
      </c>
      <c r="X137" s="9">
        <v>0</v>
      </c>
      <c r="Y137" s="6" t="str">
        <f>IF(B137="KEEP EXISTING","Already in POS",IF(O137&lt;=0,"Blocked: cost",IF(OR(R137&lt;=0,R137&gt;100000),"Blocked: retail",IF(U137="","Blocked: image",IF(Summary!$B$3="APPROVED","READY","Pending approval")))))</f>
        <v>Pending approval</v>
      </c>
      <c r="Z137" s="6" t="s">
        <v>325</v>
      </c>
    </row>
    <row r="138" spans="1:26" ht="29.25">
      <c r="A138" s="12" t="s">
        <v>371</v>
      </c>
      <c r="B138" s="6" t="s">
        <v>494</v>
      </c>
      <c r="C138" s="6"/>
      <c r="D138" s="6"/>
      <c r="E138" s="6" t="s">
        <v>495</v>
      </c>
      <c r="F138" s="6" t="s">
        <v>40</v>
      </c>
      <c r="G138" s="6" t="s">
        <v>41</v>
      </c>
      <c r="H138" s="6" t="s">
        <v>372</v>
      </c>
      <c r="I138" s="10" t="s">
        <v>372</v>
      </c>
      <c r="J138" s="10" t="s">
        <v>39</v>
      </c>
      <c r="K138" s="9" t="str">
        <f>"011739479791"</f>
        <v>011739479791</v>
      </c>
      <c r="L138" s="9" t="str">
        <f>"011739479791"</f>
        <v>011739479791</v>
      </c>
      <c r="M138" s="12" t="s">
        <v>496</v>
      </c>
      <c r="N138" s="8">
        <v>0</v>
      </c>
      <c r="O138" s="11">
        <f>IF(B138="KEEP EXISTING",N138,'Cost Review'!H133)</f>
        <v>5</v>
      </c>
      <c r="P138" s="8" t="str">
        <f t="shared" si="14"/>
        <v>REVIEW</v>
      </c>
      <c r="Q138" s="8">
        <v>15</v>
      </c>
      <c r="R138" s="11">
        <f>IF(B138="KEEP EXISTING",Q138,'Cost Review'!J133)</f>
        <v>15</v>
      </c>
      <c r="S138" s="6" t="str">
        <f t="shared" si="15"/>
        <v>OK</v>
      </c>
      <c r="T138" s="9" t="str">
        <f>"011739479791"</f>
        <v>011739479791</v>
      </c>
      <c r="U138" s="10" t="s">
        <v>671</v>
      </c>
      <c r="V138" s="6" t="str">
        <f t="shared" si="16"/>
        <v>FOUND</v>
      </c>
      <c r="W138" s="9">
        <v>1</v>
      </c>
      <c r="X138" s="9">
        <v>0</v>
      </c>
      <c r="Y138" s="6" t="str">
        <f>IF(B138="KEEP EXISTING","Already in POS",IF(O138&lt;=0,"Blocked: cost",IF(OR(R138&lt;=0,R138&gt;100000),"Blocked: retail",IF(U138="","Blocked: image",IF(Summary!$B$3="APPROVED","READY","Pending approval")))))</f>
        <v>Pending approval</v>
      </c>
      <c r="Z138" s="6" t="s">
        <v>325</v>
      </c>
    </row>
    <row r="139" spans="1:26" ht="29.25">
      <c r="A139" s="12" t="s">
        <v>373</v>
      </c>
      <c r="B139" s="6" t="s">
        <v>494</v>
      </c>
      <c r="C139" s="6"/>
      <c r="D139" s="6"/>
      <c r="E139" s="6" t="s">
        <v>495</v>
      </c>
      <c r="F139" s="6" t="s">
        <v>40</v>
      </c>
      <c r="G139" s="6" t="s">
        <v>375</v>
      </c>
      <c r="H139" s="6" t="s">
        <v>374</v>
      </c>
      <c r="I139" s="10" t="s">
        <v>374</v>
      </c>
      <c r="J139" s="10" t="s">
        <v>39</v>
      </c>
      <c r="K139" s="9" t="str">
        <f>"584665051299"</f>
        <v>584665051299</v>
      </c>
      <c r="L139" s="9" t="str">
        <f>"584665051299"</f>
        <v>584665051299</v>
      </c>
      <c r="M139" s="12" t="s">
        <v>496</v>
      </c>
      <c r="N139" s="8">
        <v>0</v>
      </c>
      <c r="O139" s="11">
        <f>IF(B139="KEEP EXISTING",N139,'Cost Review'!H134)</f>
        <v>5</v>
      </c>
      <c r="P139" s="8" t="str">
        <f t="shared" si="14"/>
        <v>REVIEW</v>
      </c>
      <c r="Q139" s="8">
        <v>20</v>
      </c>
      <c r="R139" s="11">
        <f>IF(B139="KEEP EXISTING",Q139,'Cost Review'!J134)</f>
        <v>20</v>
      </c>
      <c r="S139" s="6" t="str">
        <f t="shared" si="15"/>
        <v>OK</v>
      </c>
      <c r="T139" s="9" t="str">
        <f>"584665051299"</f>
        <v>584665051299</v>
      </c>
      <c r="U139" s="10" t="s">
        <v>672</v>
      </c>
      <c r="V139" s="6" t="str">
        <f t="shared" si="16"/>
        <v>FOUND</v>
      </c>
      <c r="W139" s="9">
        <v>5</v>
      </c>
      <c r="X139" s="9">
        <v>0</v>
      </c>
      <c r="Y139" s="6" t="str">
        <f>IF(B139="KEEP EXISTING","Already in POS",IF(O139&lt;=0,"Blocked: cost",IF(OR(R139&lt;=0,R139&gt;100000),"Blocked: retail",IF(U139="","Blocked: image",IF(Summary!$B$3="APPROVED","READY","Pending approval")))))</f>
        <v>Pending approval</v>
      </c>
      <c r="Z139" s="6" t="s">
        <v>331</v>
      </c>
    </row>
    <row r="140" spans="1:26" ht="29.25">
      <c r="A140" s="12" t="s">
        <v>376</v>
      </c>
      <c r="B140" s="6" t="s">
        <v>494</v>
      </c>
      <c r="C140" s="6"/>
      <c r="D140" s="6"/>
      <c r="E140" s="6" t="s">
        <v>495</v>
      </c>
      <c r="F140" s="6" t="s">
        <v>40</v>
      </c>
      <c r="G140" s="6" t="s">
        <v>41</v>
      </c>
      <c r="H140" s="6" t="s">
        <v>377</v>
      </c>
      <c r="I140" s="10" t="s">
        <v>377</v>
      </c>
      <c r="J140" s="10" t="s">
        <v>39</v>
      </c>
      <c r="K140" s="9" t="str">
        <f>"313231346411"</f>
        <v>313231346411</v>
      </c>
      <c r="L140" s="9" t="str">
        <f>"313231346411"</f>
        <v>313231346411</v>
      </c>
      <c r="M140" s="12" t="s">
        <v>496</v>
      </c>
      <c r="N140" s="8">
        <v>0</v>
      </c>
      <c r="O140" s="11">
        <f>IF(B140="KEEP EXISTING",N140,'Cost Review'!H135)</f>
        <v>5</v>
      </c>
      <c r="P140" s="8" t="str">
        <f t="shared" si="14"/>
        <v>REVIEW</v>
      </c>
      <c r="Q140" s="8">
        <v>15</v>
      </c>
      <c r="R140" s="11">
        <f>IF(B140="KEEP EXISTING",Q140,'Cost Review'!J135)</f>
        <v>15</v>
      </c>
      <c r="S140" s="6" t="str">
        <f t="shared" si="15"/>
        <v>OK</v>
      </c>
      <c r="T140" s="9" t="str">
        <f>"313231346411"</f>
        <v>313231346411</v>
      </c>
      <c r="U140" s="10" t="s">
        <v>673</v>
      </c>
      <c r="V140" s="6" t="str">
        <f t="shared" si="16"/>
        <v>FOUND</v>
      </c>
      <c r="W140" s="9">
        <v>2</v>
      </c>
      <c r="X140" s="9">
        <v>0</v>
      </c>
      <c r="Y140" s="6" t="str">
        <f>IF(B140="KEEP EXISTING","Already in POS",IF(O140&lt;=0,"Blocked: cost",IF(OR(R140&lt;=0,R140&gt;100000),"Blocked: retail",IF(U140="","Blocked: image",IF(Summary!$B$3="APPROVED","READY","Pending approval")))))</f>
        <v>Pending approval</v>
      </c>
      <c r="Z140" s="6" t="s">
        <v>317</v>
      </c>
    </row>
    <row r="141" spans="1:26" ht="29.25">
      <c r="A141" s="12" t="s">
        <v>378</v>
      </c>
      <c r="B141" s="6" t="s">
        <v>494</v>
      </c>
      <c r="C141" s="6"/>
      <c r="D141" s="6"/>
      <c r="E141" s="6" t="s">
        <v>495</v>
      </c>
      <c r="F141" s="6" t="s">
        <v>40</v>
      </c>
      <c r="G141" s="6" t="s">
        <v>41</v>
      </c>
      <c r="H141" s="6" t="s">
        <v>379</v>
      </c>
      <c r="I141" s="10" t="s">
        <v>379</v>
      </c>
      <c r="J141" s="10" t="s">
        <v>39</v>
      </c>
      <c r="K141" s="9" t="str">
        <f>"993835555152"</f>
        <v>993835555152</v>
      </c>
      <c r="L141" s="9" t="str">
        <f>"993835555152"</f>
        <v>993835555152</v>
      </c>
      <c r="M141" s="12" t="s">
        <v>496</v>
      </c>
      <c r="N141" s="8">
        <v>0</v>
      </c>
      <c r="O141" s="11">
        <f>IF(B141="KEEP EXISTING",N141,'Cost Review'!H136)</f>
        <v>8</v>
      </c>
      <c r="P141" s="8" t="str">
        <f t="shared" si="14"/>
        <v>REVIEW</v>
      </c>
      <c r="Q141" s="8">
        <v>30</v>
      </c>
      <c r="R141" s="11">
        <f>IF(B141="KEEP EXISTING",Q141,'Cost Review'!J136)</f>
        <v>30</v>
      </c>
      <c r="S141" s="6" t="str">
        <f t="shared" si="15"/>
        <v>OK</v>
      </c>
      <c r="T141" s="9" t="str">
        <f>"993835555152"</f>
        <v>993835555152</v>
      </c>
      <c r="U141" s="10" t="s">
        <v>674</v>
      </c>
      <c r="V141" s="6" t="str">
        <f t="shared" si="16"/>
        <v>FOUND</v>
      </c>
      <c r="W141" s="9">
        <v>5</v>
      </c>
      <c r="X141" s="9">
        <v>0</v>
      </c>
      <c r="Y141" s="6" t="str">
        <f>IF(B141="KEEP EXISTING","Already in POS",IF(O141&lt;=0,"Blocked: cost",IF(OR(R141&lt;=0,R141&gt;100000),"Blocked: retail",IF(U141="","Blocked: image",IF(Summary!$B$3="APPROVED","READY","Pending approval")))))</f>
        <v>Pending approval</v>
      </c>
      <c r="Z141" s="6" t="s">
        <v>331</v>
      </c>
    </row>
    <row r="142" spans="1:26" ht="29.25">
      <c r="A142" s="12" t="s">
        <v>380</v>
      </c>
      <c r="B142" s="6" t="s">
        <v>494</v>
      </c>
      <c r="C142" s="6"/>
      <c r="D142" s="6"/>
      <c r="E142" s="6" t="s">
        <v>495</v>
      </c>
      <c r="F142" s="6" t="s">
        <v>40</v>
      </c>
      <c r="G142" s="6" t="s">
        <v>41</v>
      </c>
      <c r="H142" s="6" t="s">
        <v>381</v>
      </c>
      <c r="I142" s="10" t="s">
        <v>381</v>
      </c>
      <c r="J142" s="10" t="s">
        <v>39</v>
      </c>
      <c r="K142" s="9" t="str">
        <f>"154975388936"</f>
        <v>154975388936</v>
      </c>
      <c r="L142" s="9" t="str">
        <f>"154975388936"</f>
        <v>154975388936</v>
      </c>
      <c r="M142" s="12" t="s">
        <v>496</v>
      </c>
      <c r="N142" s="8">
        <v>0</v>
      </c>
      <c r="O142" s="11">
        <f>IF(B142="KEEP EXISTING",N142,'Cost Review'!H137)</f>
        <v>5</v>
      </c>
      <c r="P142" s="8" t="str">
        <f t="shared" si="14"/>
        <v>REVIEW</v>
      </c>
      <c r="Q142" s="8">
        <v>30</v>
      </c>
      <c r="R142" s="11">
        <f>IF(B142="KEEP EXISTING",Q142,'Cost Review'!J137)</f>
        <v>30</v>
      </c>
      <c r="S142" s="6" t="str">
        <f t="shared" si="15"/>
        <v>OK</v>
      </c>
      <c r="T142" s="9" t="str">
        <f>"154975388936"</f>
        <v>154975388936</v>
      </c>
      <c r="U142" s="10" t="s">
        <v>675</v>
      </c>
      <c r="V142" s="6" t="str">
        <f t="shared" si="16"/>
        <v>FOUND</v>
      </c>
      <c r="W142" s="9">
        <v>1</v>
      </c>
      <c r="X142" s="9">
        <v>0</v>
      </c>
      <c r="Y142" s="6" t="str">
        <f>IF(B142="KEEP EXISTING","Already in POS",IF(O142&lt;=0,"Blocked: cost",IF(OR(R142&lt;=0,R142&gt;100000),"Blocked: retail",IF(U142="","Blocked: image",IF(Summary!$B$3="APPROVED","READY","Pending approval")))))</f>
        <v>Pending approval</v>
      </c>
      <c r="Z142" s="6" t="s">
        <v>325</v>
      </c>
    </row>
    <row r="143" spans="1:26" ht="29.25">
      <c r="A143" s="12" t="s">
        <v>382</v>
      </c>
      <c r="B143" s="6" t="s">
        <v>494</v>
      </c>
      <c r="C143" s="6"/>
      <c r="D143" s="6"/>
      <c r="E143" s="6" t="s">
        <v>495</v>
      </c>
      <c r="F143" s="6" t="s">
        <v>40</v>
      </c>
      <c r="G143" s="6" t="s">
        <v>41</v>
      </c>
      <c r="H143" s="6" t="s">
        <v>383</v>
      </c>
      <c r="I143" s="10" t="s">
        <v>383</v>
      </c>
      <c r="J143" s="10" t="s">
        <v>39</v>
      </c>
      <c r="K143" s="9" t="str">
        <f>"762992046694"</f>
        <v>762992046694</v>
      </c>
      <c r="L143" s="9" t="str">
        <f>"762992046694"</f>
        <v>762992046694</v>
      </c>
      <c r="M143" s="12" t="s">
        <v>496</v>
      </c>
      <c r="N143" s="8">
        <v>0</v>
      </c>
      <c r="O143" s="11">
        <f>IF(B143="KEEP EXISTING",N143,'Cost Review'!H138)</f>
        <v>5</v>
      </c>
      <c r="P143" s="8" t="str">
        <f t="shared" si="14"/>
        <v>REVIEW</v>
      </c>
      <c r="Q143" s="8">
        <v>20</v>
      </c>
      <c r="R143" s="11">
        <f>IF(B143="KEEP EXISTING",Q143,'Cost Review'!J138)</f>
        <v>20</v>
      </c>
      <c r="S143" s="6" t="str">
        <f t="shared" si="15"/>
        <v>OK</v>
      </c>
      <c r="T143" s="9" t="str">
        <f>"762992046694"</f>
        <v>762992046694</v>
      </c>
      <c r="U143" s="10" t="s">
        <v>676</v>
      </c>
      <c r="V143" s="6" t="str">
        <f t="shared" si="16"/>
        <v>FOUND</v>
      </c>
      <c r="W143" s="9">
        <v>0</v>
      </c>
      <c r="X143" s="9">
        <v>0</v>
      </c>
      <c r="Y143" s="6" t="str">
        <f>IF(B143="KEEP EXISTING","Already in POS",IF(O143&lt;=0,"Blocked: cost",IF(OR(R143&lt;=0,R143&gt;100000),"Blocked: retail",IF(U143="","Blocked: image",IF(Summary!$B$3="APPROVED","READY","Pending approval")))))</f>
        <v>Pending approval</v>
      </c>
      <c r="Z143" s="6" t="s">
        <v>223</v>
      </c>
    </row>
    <row r="144" spans="1:26" ht="29.25">
      <c r="A144" s="12" t="s">
        <v>384</v>
      </c>
      <c r="B144" s="6" t="s">
        <v>494</v>
      </c>
      <c r="C144" s="6"/>
      <c r="D144" s="6"/>
      <c r="E144" s="6" t="s">
        <v>495</v>
      </c>
      <c r="F144" s="6" t="s">
        <v>40</v>
      </c>
      <c r="G144" s="6" t="s">
        <v>41</v>
      </c>
      <c r="H144" s="6" t="s">
        <v>385</v>
      </c>
      <c r="I144" s="10" t="s">
        <v>385</v>
      </c>
      <c r="J144" s="10" t="s">
        <v>39</v>
      </c>
      <c r="K144" s="9" t="str">
        <f>"826584423956"</f>
        <v>826584423956</v>
      </c>
      <c r="L144" s="9" t="str">
        <f>"826584423956"</f>
        <v>826584423956</v>
      </c>
      <c r="M144" s="12" t="s">
        <v>496</v>
      </c>
      <c r="N144" s="8">
        <v>0</v>
      </c>
      <c r="O144" s="11">
        <f>IF(B144="KEEP EXISTING",N144,'Cost Review'!H139)</f>
        <v>0</v>
      </c>
      <c r="P144" s="8" t="str">
        <f t="shared" si="14"/>
        <v>MISSING</v>
      </c>
      <c r="Q144" s="8">
        <v>30</v>
      </c>
      <c r="R144" s="11">
        <f>IF(B144="KEEP EXISTING",Q144,'Cost Review'!J139)</f>
        <v>30</v>
      </c>
      <c r="S144" s="6" t="str">
        <f t="shared" si="15"/>
        <v>OK</v>
      </c>
      <c r="T144" s="9" t="str">
        <f>"826584423956"</f>
        <v>826584423956</v>
      </c>
      <c r="U144" s="10" t="s">
        <v>677</v>
      </c>
      <c r="V144" s="6" t="str">
        <f t="shared" si="16"/>
        <v>FOUND</v>
      </c>
      <c r="W144" s="9">
        <v>7</v>
      </c>
      <c r="X144" s="9">
        <v>0</v>
      </c>
      <c r="Y144" s="6" t="str">
        <f>IF(B144="KEEP EXISTING","Already in POS",IF(O144&lt;=0,"Blocked: cost",IF(OR(R144&lt;=0,R144&gt;100000),"Blocked: retail",IF(U144="","Blocked: image",IF(Summary!$B$3="APPROVED","READY","Pending approval")))))</f>
        <v>Blocked: cost</v>
      </c>
      <c r="Z144" s="6" t="s">
        <v>328</v>
      </c>
    </row>
    <row r="145" spans="1:26" ht="29.25">
      <c r="A145" s="12" t="s">
        <v>386</v>
      </c>
      <c r="B145" s="6" t="s">
        <v>494</v>
      </c>
      <c r="C145" s="6"/>
      <c r="D145" s="6"/>
      <c r="E145" s="6" t="s">
        <v>495</v>
      </c>
      <c r="F145" s="6" t="s">
        <v>40</v>
      </c>
      <c r="G145" s="6" t="s">
        <v>388</v>
      </c>
      <c r="H145" s="6" t="s">
        <v>387</v>
      </c>
      <c r="I145" s="10" t="s">
        <v>387</v>
      </c>
      <c r="J145" s="10" t="s">
        <v>39</v>
      </c>
      <c r="K145" s="9" t="str">
        <f>"122836009092"</f>
        <v>122836009092</v>
      </c>
      <c r="L145" s="9" t="str">
        <f>"122836009092"</f>
        <v>122836009092</v>
      </c>
      <c r="M145" s="12" t="s">
        <v>496</v>
      </c>
      <c r="N145" s="8">
        <v>5.5</v>
      </c>
      <c r="O145" s="11">
        <f>IF(B145="KEEP EXISTING",N145,'Cost Review'!H140)</f>
        <v>5.5</v>
      </c>
      <c r="P145" s="8" t="str">
        <f t="shared" si="14"/>
        <v>REVIEW</v>
      </c>
      <c r="Q145" s="8">
        <v>30</v>
      </c>
      <c r="R145" s="11">
        <f>IF(B145="KEEP EXISTING",Q145,'Cost Review'!J140)</f>
        <v>30</v>
      </c>
      <c r="S145" s="6" t="str">
        <f t="shared" si="15"/>
        <v>OK</v>
      </c>
      <c r="T145" s="9" t="str">
        <f>"122836009092"</f>
        <v>122836009092</v>
      </c>
      <c r="U145" s="10" t="s">
        <v>678</v>
      </c>
      <c r="V145" s="6" t="str">
        <f t="shared" si="16"/>
        <v>FOUND</v>
      </c>
      <c r="W145" s="9">
        <v>10</v>
      </c>
      <c r="X145" s="9">
        <v>0</v>
      </c>
      <c r="Y145" s="6" t="str">
        <f>IF(B145="KEEP EXISTING","Already in POS",IF(O145&lt;=0,"Blocked: cost",IF(OR(R145&lt;=0,R145&gt;100000),"Blocked: retail",IF(U145="","Blocked: image",IF(Summary!$B$3="APPROVED","READY","Pending approval")))))</f>
        <v>Pending approval</v>
      </c>
      <c r="Z145" s="6" t="s">
        <v>42</v>
      </c>
    </row>
    <row r="146" spans="1:26" ht="29.25">
      <c r="A146" s="12" t="s">
        <v>389</v>
      </c>
      <c r="B146" s="6" t="s">
        <v>494</v>
      </c>
      <c r="C146" s="6"/>
      <c r="D146" s="6"/>
      <c r="E146" s="6" t="s">
        <v>495</v>
      </c>
      <c r="F146" s="6" t="s">
        <v>40</v>
      </c>
      <c r="G146" s="6" t="s">
        <v>388</v>
      </c>
      <c r="H146" s="6" t="s">
        <v>390</v>
      </c>
      <c r="I146" s="10" t="s">
        <v>390</v>
      </c>
      <c r="J146" s="10" t="s">
        <v>39</v>
      </c>
      <c r="K146" s="9" t="str">
        <f>"294179874573"</f>
        <v>294179874573</v>
      </c>
      <c r="L146" s="9" t="str">
        <f>"294179874573"</f>
        <v>294179874573</v>
      </c>
      <c r="M146" s="12" t="s">
        <v>496</v>
      </c>
      <c r="N146" s="8">
        <v>4.5</v>
      </c>
      <c r="O146" s="11">
        <f>IF(B146="KEEP EXISTING",N146,'Cost Review'!H141)</f>
        <v>4.5</v>
      </c>
      <c r="P146" s="8" t="str">
        <f t="shared" si="14"/>
        <v>REVIEW</v>
      </c>
      <c r="Q146" s="8">
        <v>20</v>
      </c>
      <c r="R146" s="11">
        <f>IF(B146="KEEP EXISTING",Q146,'Cost Review'!J141)</f>
        <v>20</v>
      </c>
      <c r="S146" s="6" t="str">
        <f t="shared" si="15"/>
        <v>OK</v>
      </c>
      <c r="T146" s="9" t="str">
        <f>"294179874573"</f>
        <v>294179874573</v>
      </c>
      <c r="U146" s="10" t="s">
        <v>679</v>
      </c>
      <c r="V146" s="6" t="str">
        <f t="shared" si="16"/>
        <v>FOUND</v>
      </c>
      <c r="W146" s="9">
        <v>12</v>
      </c>
      <c r="X146" s="9">
        <v>0</v>
      </c>
      <c r="Y146" s="6" t="str">
        <f>IF(B146="KEEP EXISTING","Already in POS",IF(O146&lt;=0,"Blocked: cost",IF(OR(R146&lt;=0,R146&gt;100000),"Blocked: retail",IF(U146="","Blocked: image",IF(Summary!$B$3="APPROVED","READY","Pending approval")))))</f>
        <v>Pending approval</v>
      </c>
      <c r="Z146" s="6" t="s">
        <v>105</v>
      </c>
    </row>
    <row r="147" spans="1:26" ht="29.25">
      <c r="A147" s="12" t="s">
        <v>391</v>
      </c>
      <c r="B147" s="6" t="s">
        <v>494</v>
      </c>
      <c r="C147" s="6"/>
      <c r="D147" s="6"/>
      <c r="E147" s="6" t="s">
        <v>495</v>
      </c>
      <c r="F147" s="6" t="s">
        <v>40</v>
      </c>
      <c r="G147" s="6" t="s">
        <v>388</v>
      </c>
      <c r="H147" s="6" t="s">
        <v>392</v>
      </c>
      <c r="I147" s="10" t="s">
        <v>392</v>
      </c>
      <c r="J147" s="10" t="s">
        <v>39</v>
      </c>
      <c r="K147" s="9" t="str">
        <f>"001532223639"</f>
        <v>001532223639</v>
      </c>
      <c r="L147" s="9" t="str">
        <f>"001532223639"</f>
        <v>001532223639</v>
      </c>
      <c r="M147" s="12" t="s">
        <v>496</v>
      </c>
      <c r="N147" s="8">
        <v>3</v>
      </c>
      <c r="O147" s="11">
        <f>IF(B147="KEEP EXISTING",N147,'Cost Review'!H142)</f>
        <v>3</v>
      </c>
      <c r="P147" s="8" t="str">
        <f t="shared" si="14"/>
        <v>REVIEW</v>
      </c>
      <c r="Q147" s="8">
        <v>15</v>
      </c>
      <c r="R147" s="11">
        <f>IF(B147="KEEP EXISTING",Q147,'Cost Review'!J142)</f>
        <v>15</v>
      </c>
      <c r="S147" s="6" t="str">
        <f t="shared" si="15"/>
        <v>OK</v>
      </c>
      <c r="T147" s="9" t="str">
        <f>"001532223639"</f>
        <v>001532223639</v>
      </c>
      <c r="U147" s="10" t="s">
        <v>680</v>
      </c>
      <c r="V147" s="6" t="str">
        <f t="shared" si="16"/>
        <v>FOUND</v>
      </c>
      <c r="W147" s="9">
        <v>12</v>
      </c>
      <c r="X147" s="9">
        <v>0</v>
      </c>
      <c r="Y147" s="6" t="str">
        <f>IF(B147="KEEP EXISTING","Already in POS",IF(O147&lt;=0,"Blocked: cost",IF(OR(R147&lt;=0,R147&gt;100000),"Blocked: retail",IF(U147="","Blocked: image",IF(Summary!$B$3="APPROVED","READY","Pending approval")))))</f>
        <v>Pending approval</v>
      </c>
      <c r="Z147" s="6" t="s">
        <v>105</v>
      </c>
    </row>
    <row r="148" spans="1:26" ht="29.25">
      <c r="A148" s="12" t="s">
        <v>393</v>
      </c>
      <c r="B148" s="6" t="s">
        <v>494</v>
      </c>
      <c r="C148" s="6"/>
      <c r="D148" s="6"/>
      <c r="E148" s="6" t="s">
        <v>495</v>
      </c>
      <c r="F148" s="6" t="s">
        <v>40</v>
      </c>
      <c r="G148" s="6" t="s">
        <v>388</v>
      </c>
      <c r="H148" s="6" t="s">
        <v>394</v>
      </c>
      <c r="I148" s="10" t="s">
        <v>394</v>
      </c>
      <c r="J148" s="10" t="s">
        <v>39</v>
      </c>
      <c r="K148" s="9" t="str">
        <f>"32540161528"</f>
        <v>32540161528</v>
      </c>
      <c r="L148" s="9" t="str">
        <f>"32540161528"</f>
        <v>32540161528</v>
      </c>
      <c r="M148" s="12" t="s">
        <v>496</v>
      </c>
      <c r="N148" s="8">
        <v>1.8</v>
      </c>
      <c r="O148" s="11">
        <f>IF(B148="KEEP EXISTING",N148,'Cost Review'!H143)</f>
        <v>1.8</v>
      </c>
      <c r="P148" s="8" t="str">
        <f t="shared" si="14"/>
        <v>REVIEW</v>
      </c>
      <c r="Q148" s="8">
        <v>10</v>
      </c>
      <c r="R148" s="11">
        <f>IF(B148="KEEP EXISTING",Q148,'Cost Review'!J143)</f>
        <v>10</v>
      </c>
      <c r="S148" s="6" t="str">
        <f t="shared" si="15"/>
        <v>OK</v>
      </c>
      <c r="T148" s="9" t="str">
        <f>"32540161528"</f>
        <v>32540161528</v>
      </c>
      <c r="U148" s="10" t="s">
        <v>681</v>
      </c>
      <c r="V148" s="6" t="str">
        <f t="shared" si="16"/>
        <v>FOUND</v>
      </c>
      <c r="W148" s="9">
        <v>4</v>
      </c>
      <c r="X148" s="9">
        <v>0</v>
      </c>
      <c r="Y148" s="6" t="str">
        <f>IF(B148="KEEP EXISTING","Already in POS",IF(O148&lt;=0,"Blocked: cost",IF(OR(R148&lt;=0,R148&gt;100000),"Blocked: retail",IF(U148="","Blocked: image",IF(Summary!$B$3="APPROVED","READY","Pending approval")))))</f>
        <v>Pending approval</v>
      </c>
      <c r="Z148" s="6" t="s">
        <v>45</v>
      </c>
    </row>
    <row r="149" spans="1:26" ht="29.25">
      <c r="A149" s="12" t="s">
        <v>395</v>
      </c>
      <c r="B149" s="6" t="s">
        <v>494</v>
      </c>
      <c r="C149" s="6"/>
      <c r="D149" s="6"/>
      <c r="E149" s="6" t="s">
        <v>495</v>
      </c>
      <c r="F149" s="6" t="s">
        <v>40</v>
      </c>
      <c r="G149" s="6" t="s">
        <v>41</v>
      </c>
      <c r="H149" s="6" t="s">
        <v>396</v>
      </c>
      <c r="I149" s="10" t="s">
        <v>396</v>
      </c>
      <c r="J149" s="10" t="s">
        <v>39</v>
      </c>
      <c r="K149" s="9" t="str">
        <f>"497716085689"</f>
        <v>497716085689</v>
      </c>
      <c r="L149" s="9" t="str">
        <f>"497716085689"</f>
        <v>497716085689</v>
      </c>
      <c r="M149" s="12" t="s">
        <v>496</v>
      </c>
      <c r="N149" s="8">
        <v>0</v>
      </c>
      <c r="O149" s="11">
        <f>IF(B149="KEEP EXISTING",N149,'Cost Review'!H144)</f>
        <v>3.5</v>
      </c>
      <c r="P149" s="8" t="str">
        <f t="shared" si="14"/>
        <v>REVIEW</v>
      </c>
      <c r="Q149" s="8">
        <v>15</v>
      </c>
      <c r="R149" s="11">
        <f>IF(B149="KEEP EXISTING",Q149,'Cost Review'!J144)</f>
        <v>15</v>
      </c>
      <c r="S149" s="6" t="str">
        <f t="shared" si="15"/>
        <v>OK</v>
      </c>
      <c r="T149" s="9" t="str">
        <f>"497716085689"</f>
        <v>497716085689</v>
      </c>
      <c r="U149" s="10" t="s">
        <v>682</v>
      </c>
      <c r="V149" s="6" t="str">
        <f t="shared" si="16"/>
        <v>FOUND</v>
      </c>
      <c r="W149" s="9">
        <v>8</v>
      </c>
      <c r="X149" s="9">
        <v>0</v>
      </c>
      <c r="Y149" s="6" t="str">
        <f>IF(B149="KEEP EXISTING","Already in POS",IF(O149&lt;=0,"Blocked: cost",IF(OR(R149&lt;=0,R149&gt;100000),"Blocked: retail",IF(U149="","Blocked: image",IF(Summary!$B$3="APPROVED","READY","Pending approval")))))</f>
        <v>Pending approval</v>
      </c>
      <c r="Z149" s="6" t="s">
        <v>397</v>
      </c>
    </row>
    <row r="150" spans="1:26" ht="29.25">
      <c r="A150" s="12" t="s">
        <v>398</v>
      </c>
      <c r="B150" s="6" t="s">
        <v>494</v>
      </c>
      <c r="C150" s="6"/>
      <c r="D150" s="6"/>
      <c r="E150" s="6" t="s">
        <v>495</v>
      </c>
      <c r="F150" s="6" t="s">
        <v>40</v>
      </c>
      <c r="G150" s="6" t="s">
        <v>41</v>
      </c>
      <c r="H150" s="6" t="s">
        <v>399</v>
      </c>
      <c r="I150" s="10" t="s">
        <v>399</v>
      </c>
      <c r="J150" s="10" t="s">
        <v>39</v>
      </c>
      <c r="K150" s="9" t="str">
        <f>"397089842967"</f>
        <v>397089842967</v>
      </c>
      <c r="L150" s="9" t="str">
        <f>"397089842967"</f>
        <v>397089842967</v>
      </c>
      <c r="M150" s="12" t="s">
        <v>496</v>
      </c>
      <c r="N150" s="8">
        <v>0</v>
      </c>
      <c r="O150" s="11">
        <f>IF(B150="KEEP EXISTING",N150,'Cost Review'!H145)</f>
        <v>3.5</v>
      </c>
      <c r="P150" s="8" t="str">
        <f t="shared" si="14"/>
        <v>REVIEW</v>
      </c>
      <c r="Q150" s="8">
        <v>15</v>
      </c>
      <c r="R150" s="11">
        <f>IF(B150="KEEP EXISTING",Q150,'Cost Review'!J145)</f>
        <v>15</v>
      </c>
      <c r="S150" s="6" t="str">
        <f t="shared" si="15"/>
        <v>OK</v>
      </c>
      <c r="T150" s="9" t="str">
        <f>"397089842967"</f>
        <v>397089842967</v>
      </c>
      <c r="U150" s="10" t="s">
        <v>683</v>
      </c>
      <c r="V150" s="6" t="str">
        <f t="shared" si="16"/>
        <v>FOUND</v>
      </c>
      <c r="W150" s="9">
        <v>14</v>
      </c>
      <c r="X150" s="9">
        <v>0</v>
      </c>
      <c r="Y150" s="6" t="str">
        <f>IF(B150="KEEP EXISTING","Already in POS",IF(O150&lt;=0,"Blocked: cost",IF(OR(R150&lt;=0,R150&gt;100000),"Blocked: retail",IF(U150="","Blocked: image",IF(Summary!$B$3="APPROVED","READY","Pending approval")))))</f>
        <v>Pending approval</v>
      </c>
      <c r="Z150" s="6" t="s">
        <v>400</v>
      </c>
    </row>
    <row r="151" spans="1:26" ht="29.25">
      <c r="A151" s="12" t="s">
        <v>401</v>
      </c>
      <c r="B151" s="6" t="s">
        <v>494</v>
      </c>
      <c r="C151" s="6"/>
      <c r="D151" s="6"/>
      <c r="E151" s="6" t="s">
        <v>495</v>
      </c>
      <c r="F151" s="6" t="s">
        <v>40</v>
      </c>
      <c r="G151" s="6" t="s">
        <v>41</v>
      </c>
      <c r="H151" s="6" t="s">
        <v>402</v>
      </c>
      <c r="I151" s="10" t="s">
        <v>402</v>
      </c>
      <c r="J151" s="10" t="s">
        <v>39</v>
      </c>
      <c r="K151" s="9" t="str">
        <f>"468709432902"</f>
        <v>468709432902</v>
      </c>
      <c r="L151" s="9" t="str">
        <f>"468709432902"</f>
        <v>468709432902</v>
      </c>
      <c r="M151" s="12" t="s">
        <v>496</v>
      </c>
      <c r="N151" s="8">
        <v>0</v>
      </c>
      <c r="O151" s="11">
        <f>IF(B151="KEEP EXISTING",N151,'Cost Review'!H146)</f>
        <v>3.5</v>
      </c>
      <c r="P151" s="8" t="str">
        <f t="shared" si="14"/>
        <v>REVIEW</v>
      </c>
      <c r="Q151" s="8">
        <v>15</v>
      </c>
      <c r="R151" s="11">
        <f>IF(B151="KEEP EXISTING",Q151,'Cost Review'!J146)</f>
        <v>15</v>
      </c>
      <c r="S151" s="6" t="str">
        <f t="shared" si="15"/>
        <v>OK</v>
      </c>
      <c r="T151" s="9" t="str">
        <f>"468709432902"</f>
        <v>468709432902</v>
      </c>
      <c r="U151" s="10" t="s">
        <v>684</v>
      </c>
      <c r="V151" s="6" t="str">
        <f t="shared" si="16"/>
        <v>FOUND</v>
      </c>
      <c r="W151" s="9">
        <v>2</v>
      </c>
      <c r="X151" s="9">
        <v>0</v>
      </c>
      <c r="Y151" s="6" t="str">
        <f>IF(B151="KEEP EXISTING","Already in POS",IF(O151&lt;=0,"Blocked: cost",IF(OR(R151&lt;=0,R151&gt;100000),"Blocked: retail",IF(U151="","Blocked: image",IF(Summary!$B$3="APPROVED","READY","Pending approval")))))</f>
        <v>Pending approval</v>
      </c>
      <c r="Z151" s="6" t="s">
        <v>317</v>
      </c>
    </row>
    <row r="152" spans="1:26" ht="29.25">
      <c r="A152" s="12" t="s">
        <v>403</v>
      </c>
      <c r="B152" s="6" t="s">
        <v>494</v>
      </c>
      <c r="C152" s="6"/>
      <c r="D152" s="6"/>
      <c r="E152" s="6" t="s">
        <v>495</v>
      </c>
      <c r="F152" s="6" t="s">
        <v>40</v>
      </c>
      <c r="G152" s="6" t="s">
        <v>41</v>
      </c>
      <c r="H152" s="6" t="s">
        <v>404</v>
      </c>
      <c r="I152" s="10" t="s">
        <v>404</v>
      </c>
      <c r="J152" s="10" t="s">
        <v>39</v>
      </c>
      <c r="K152" s="9" t="str">
        <f>"565124307508"</f>
        <v>565124307508</v>
      </c>
      <c r="L152" s="9" t="str">
        <f>"565124307508"</f>
        <v>565124307508</v>
      </c>
      <c r="M152" s="12" t="s">
        <v>496</v>
      </c>
      <c r="N152" s="8">
        <v>0</v>
      </c>
      <c r="O152" s="11">
        <f>IF(B152="KEEP EXISTING",N152,'Cost Review'!H147)</f>
        <v>5</v>
      </c>
      <c r="P152" s="8" t="str">
        <f t="shared" si="14"/>
        <v>REVIEW</v>
      </c>
      <c r="Q152" s="8">
        <v>15</v>
      </c>
      <c r="R152" s="11">
        <f>IF(B152="KEEP EXISTING",Q152,'Cost Review'!J147)</f>
        <v>15</v>
      </c>
      <c r="S152" s="6" t="str">
        <f t="shared" si="15"/>
        <v>OK</v>
      </c>
      <c r="T152" s="9" t="str">
        <f>"565124307508"</f>
        <v>565124307508</v>
      </c>
      <c r="U152" s="10" t="s">
        <v>685</v>
      </c>
      <c r="V152" s="6" t="str">
        <f t="shared" si="16"/>
        <v>FOUND</v>
      </c>
      <c r="W152" s="9">
        <v>0</v>
      </c>
      <c r="X152" s="9">
        <v>0</v>
      </c>
      <c r="Y152" s="6" t="str">
        <f>IF(B152="KEEP EXISTING","Already in POS",IF(O152&lt;=0,"Blocked: cost",IF(OR(R152&lt;=0,R152&gt;100000),"Blocked: retail",IF(U152="","Blocked: image",IF(Summary!$B$3="APPROVED","READY","Pending approval")))))</f>
        <v>Pending approval</v>
      </c>
      <c r="Z152" s="6" t="s">
        <v>223</v>
      </c>
    </row>
    <row r="153" spans="1:26" ht="29.25">
      <c r="A153" s="12" t="s">
        <v>405</v>
      </c>
      <c r="B153" s="6" t="s">
        <v>494</v>
      </c>
      <c r="C153" s="6"/>
      <c r="D153" s="6"/>
      <c r="E153" s="6" t="s">
        <v>495</v>
      </c>
      <c r="F153" s="6" t="s">
        <v>40</v>
      </c>
      <c r="G153" s="6" t="s">
        <v>41</v>
      </c>
      <c r="H153" s="6" t="s">
        <v>406</v>
      </c>
      <c r="I153" s="10" t="s">
        <v>406</v>
      </c>
      <c r="J153" s="10" t="s">
        <v>39</v>
      </c>
      <c r="K153" s="9" t="str">
        <f>"860085245013"</f>
        <v>860085245013</v>
      </c>
      <c r="L153" s="9" t="str">
        <f>"860085245013"</f>
        <v>860085245013</v>
      </c>
      <c r="M153" s="12" t="s">
        <v>496</v>
      </c>
      <c r="N153" s="8">
        <v>0</v>
      </c>
      <c r="O153" s="11">
        <f>IF(B153="KEEP EXISTING",N153,'Cost Review'!H148)</f>
        <v>0</v>
      </c>
      <c r="P153" s="8" t="str">
        <f t="shared" si="14"/>
        <v>MISSING</v>
      </c>
      <c r="Q153" s="8">
        <v>25</v>
      </c>
      <c r="R153" s="11">
        <f>IF(B153="KEEP EXISTING",Q153,'Cost Review'!J148)</f>
        <v>25</v>
      </c>
      <c r="S153" s="6" t="str">
        <f t="shared" si="15"/>
        <v>OK</v>
      </c>
      <c r="T153" s="9" t="str">
        <f>"860085245013"</f>
        <v>860085245013</v>
      </c>
      <c r="U153" s="10" t="s">
        <v>686</v>
      </c>
      <c r="V153" s="6" t="str">
        <f t="shared" si="16"/>
        <v>FOUND</v>
      </c>
      <c r="W153" s="9">
        <v>-1</v>
      </c>
      <c r="X153" s="9">
        <v>0</v>
      </c>
      <c r="Y153" s="6" t="str">
        <f>IF(B153="KEEP EXISTING","Already in POS",IF(O153&lt;=0,"Blocked: cost",IF(OR(R153&lt;=0,R153&gt;100000),"Blocked: retail",IF(U153="","Blocked: image",IF(Summary!$B$3="APPROVED","READY","Pending approval")))))</f>
        <v>Blocked: cost</v>
      </c>
      <c r="Z153" s="6" t="s">
        <v>320</v>
      </c>
    </row>
    <row r="154" spans="1:26" ht="29.25">
      <c r="A154" s="12" t="s">
        <v>407</v>
      </c>
      <c r="B154" s="6" t="s">
        <v>494</v>
      </c>
      <c r="C154" s="6"/>
      <c r="D154" s="6"/>
      <c r="E154" s="6" t="s">
        <v>495</v>
      </c>
      <c r="F154" s="6" t="s">
        <v>40</v>
      </c>
      <c r="G154" s="6" t="s">
        <v>41</v>
      </c>
      <c r="H154" s="6" t="s">
        <v>408</v>
      </c>
      <c r="I154" s="10" t="s">
        <v>408</v>
      </c>
      <c r="J154" s="10" t="s">
        <v>39</v>
      </c>
      <c r="K154" s="9" t="str">
        <f>"981720708660"</f>
        <v>981720708660</v>
      </c>
      <c r="L154" s="9" t="str">
        <f>"981720708660"</f>
        <v>981720708660</v>
      </c>
      <c r="M154" s="12" t="s">
        <v>496</v>
      </c>
      <c r="N154" s="8">
        <v>0</v>
      </c>
      <c r="O154" s="11">
        <f>IF(B154="KEEP EXISTING",N154,'Cost Review'!H149)</f>
        <v>5</v>
      </c>
      <c r="P154" s="8" t="str">
        <f t="shared" si="14"/>
        <v>REVIEW</v>
      </c>
      <c r="Q154" s="8">
        <v>25</v>
      </c>
      <c r="R154" s="11">
        <f>IF(B154="KEEP EXISTING",Q154,'Cost Review'!J149)</f>
        <v>25</v>
      </c>
      <c r="S154" s="6" t="str">
        <f t="shared" si="15"/>
        <v>OK</v>
      </c>
      <c r="T154" s="9" t="str">
        <f>"981720708660"</f>
        <v>981720708660</v>
      </c>
      <c r="U154" s="10" t="s">
        <v>687</v>
      </c>
      <c r="V154" s="6" t="str">
        <f t="shared" si="16"/>
        <v>FOUND</v>
      </c>
      <c r="W154" s="9">
        <v>0</v>
      </c>
      <c r="X154" s="9">
        <v>0</v>
      </c>
      <c r="Y154" s="6" t="str">
        <f>IF(B154="KEEP EXISTING","Already in POS",IF(O154&lt;=0,"Blocked: cost",IF(OR(R154&lt;=0,R154&gt;100000),"Blocked: retail",IF(U154="","Blocked: image",IF(Summary!$B$3="APPROVED","READY","Pending approval")))))</f>
        <v>Pending approval</v>
      </c>
      <c r="Z154" s="6" t="s">
        <v>223</v>
      </c>
    </row>
    <row r="155" spans="1:26" ht="29.25">
      <c r="A155" s="12" t="s">
        <v>409</v>
      </c>
      <c r="B155" s="6" t="s">
        <v>494</v>
      </c>
      <c r="C155" s="6"/>
      <c r="D155" s="6"/>
      <c r="E155" s="6" t="s">
        <v>495</v>
      </c>
      <c r="F155" s="6" t="s">
        <v>40</v>
      </c>
      <c r="G155" s="6" t="s">
        <v>41</v>
      </c>
      <c r="H155" s="6" t="s">
        <v>410</v>
      </c>
      <c r="I155" s="10" t="s">
        <v>410</v>
      </c>
      <c r="J155" s="10" t="s">
        <v>39</v>
      </c>
      <c r="K155" s="9" t="str">
        <f>"757521758919"</f>
        <v>757521758919</v>
      </c>
      <c r="L155" s="9" t="str">
        <f>"757521758919"</f>
        <v>757521758919</v>
      </c>
      <c r="M155" s="12" t="s">
        <v>496</v>
      </c>
      <c r="N155" s="8">
        <v>0</v>
      </c>
      <c r="O155" s="11">
        <f>IF(B155="KEEP EXISTING",N155,'Cost Review'!H150)</f>
        <v>3.5</v>
      </c>
      <c r="P155" s="8" t="str">
        <f t="shared" si="14"/>
        <v>REVIEW</v>
      </c>
      <c r="Q155" s="8">
        <v>15</v>
      </c>
      <c r="R155" s="11">
        <f>IF(B155="KEEP EXISTING",Q155,'Cost Review'!J150)</f>
        <v>15</v>
      </c>
      <c r="S155" s="6" t="str">
        <f t="shared" si="15"/>
        <v>OK</v>
      </c>
      <c r="T155" s="9" t="str">
        <f>"757521758919"</f>
        <v>757521758919</v>
      </c>
      <c r="U155" s="10" t="s">
        <v>688</v>
      </c>
      <c r="V155" s="6" t="str">
        <f t="shared" si="16"/>
        <v>FOUND</v>
      </c>
      <c r="W155" s="9">
        <v>7</v>
      </c>
      <c r="X155" s="9">
        <v>0</v>
      </c>
      <c r="Y155" s="6" t="str">
        <f>IF(B155="KEEP EXISTING","Already in POS",IF(O155&lt;=0,"Blocked: cost",IF(OR(R155&lt;=0,R155&gt;100000),"Blocked: retail",IF(U155="","Blocked: image",IF(Summary!$B$3="APPROVED","READY","Pending approval")))))</f>
        <v>Pending approval</v>
      </c>
      <c r="Z155" s="6" t="s">
        <v>328</v>
      </c>
    </row>
    <row r="156" spans="1:26" ht="29.25">
      <c r="A156" s="12" t="s">
        <v>411</v>
      </c>
      <c r="B156" s="6" t="s">
        <v>494</v>
      </c>
      <c r="C156" s="6"/>
      <c r="D156" s="6"/>
      <c r="E156" s="6" t="s">
        <v>495</v>
      </c>
      <c r="F156" s="6" t="s">
        <v>40</v>
      </c>
      <c r="G156" s="6" t="s">
        <v>41</v>
      </c>
      <c r="H156" s="6" t="s">
        <v>412</v>
      </c>
      <c r="I156" s="10" t="s">
        <v>412</v>
      </c>
      <c r="J156" s="10" t="s">
        <v>39</v>
      </c>
      <c r="K156" s="9" t="str">
        <f>"983741083696"</f>
        <v>983741083696</v>
      </c>
      <c r="L156" s="9" t="str">
        <f>"983741083696"</f>
        <v>983741083696</v>
      </c>
      <c r="M156" s="12" t="s">
        <v>496</v>
      </c>
      <c r="N156" s="8">
        <v>0</v>
      </c>
      <c r="O156" s="11">
        <f>IF(B156="KEEP EXISTING",N156,'Cost Review'!H151)</f>
        <v>5</v>
      </c>
      <c r="P156" s="8" t="str">
        <f t="shared" si="14"/>
        <v>REVIEW</v>
      </c>
      <c r="Q156" s="8">
        <v>20</v>
      </c>
      <c r="R156" s="11">
        <f>IF(B156="KEEP EXISTING",Q156,'Cost Review'!J151)</f>
        <v>20</v>
      </c>
      <c r="S156" s="6" t="str">
        <f t="shared" si="15"/>
        <v>OK</v>
      </c>
      <c r="T156" s="9" t="str">
        <f>"983741083696"</f>
        <v>983741083696</v>
      </c>
      <c r="U156" s="10" t="s">
        <v>689</v>
      </c>
      <c r="V156" s="6" t="str">
        <f t="shared" si="16"/>
        <v>FOUND</v>
      </c>
      <c r="W156" s="9">
        <v>0</v>
      </c>
      <c r="X156" s="9">
        <v>0</v>
      </c>
      <c r="Y156" s="6" t="str">
        <f>IF(B156="KEEP EXISTING","Already in POS",IF(O156&lt;=0,"Blocked: cost",IF(OR(R156&lt;=0,R156&gt;100000),"Blocked: retail",IF(U156="","Blocked: image",IF(Summary!$B$3="APPROVED","READY","Pending approval")))))</f>
        <v>Pending approval</v>
      </c>
      <c r="Z156" s="6" t="s">
        <v>223</v>
      </c>
    </row>
    <row r="157" spans="1:26" ht="29.25">
      <c r="A157" s="12" t="s">
        <v>413</v>
      </c>
      <c r="B157" s="6" t="s">
        <v>494</v>
      </c>
      <c r="C157" s="6"/>
      <c r="D157" s="6"/>
      <c r="E157" s="6" t="s">
        <v>495</v>
      </c>
      <c r="F157" s="6" t="s">
        <v>40</v>
      </c>
      <c r="G157" s="6" t="s">
        <v>41</v>
      </c>
      <c r="H157" s="6" t="s">
        <v>414</v>
      </c>
      <c r="I157" s="10" t="s">
        <v>414</v>
      </c>
      <c r="J157" s="10" t="s">
        <v>39</v>
      </c>
      <c r="K157" s="9" t="str">
        <f>"221824527775"</f>
        <v>221824527775</v>
      </c>
      <c r="L157" s="9" t="str">
        <f>"221824527775"</f>
        <v>221824527775</v>
      </c>
      <c r="M157" s="12" t="s">
        <v>496</v>
      </c>
      <c r="N157" s="8">
        <v>0</v>
      </c>
      <c r="O157" s="11">
        <f>IF(B157="KEEP EXISTING",N157,'Cost Review'!H152)</f>
        <v>3.5</v>
      </c>
      <c r="P157" s="8" t="str">
        <f t="shared" si="14"/>
        <v>REVIEW</v>
      </c>
      <c r="Q157" s="8">
        <v>15</v>
      </c>
      <c r="R157" s="11">
        <f>IF(B157="KEEP EXISTING",Q157,'Cost Review'!J152)</f>
        <v>15</v>
      </c>
      <c r="S157" s="6" t="str">
        <f t="shared" si="15"/>
        <v>OK</v>
      </c>
      <c r="T157" s="9" t="str">
        <f>"221824527775"</f>
        <v>221824527775</v>
      </c>
      <c r="U157" s="10" t="s">
        <v>690</v>
      </c>
      <c r="V157" s="6" t="str">
        <f t="shared" si="16"/>
        <v>FOUND</v>
      </c>
      <c r="W157" s="9">
        <v>7</v>
      </c>
      <c r="X157" s="9">
        <v>0</v>
      </c>
      <c r="Y157" s="6" t="str">
        <f>IF(B157="KEEP EXISTING","Already in POS",IF(O157&lt;=0,"Blocked: cost",IF(OR(R157&lt;=0,R157&gt;100000),"Blocked: retail",IF(U157="","Blocked: image",IF(Summary!$B$3="APPROVED","READY","Pending approval")))))</f>
        <v>Pending approval</v>
      </c>
      <c r="Z157" s="6" t="s">
        <v>328</v>
      </c>
    </row>
    <row r="158" spans="1:26" ht="29.25">
      <c r="A158" s="12" t="s">
        <v>415</v>
      </c>
      <c r="B158" s="6" t="s">
        <v>494</v>
      </c>
      <c r="C158" s="6"/>
      <c r="D158" s="6"/>
      <c r="E158" s="6" t="s">
        <v>495</v>
      </c>
      <c r="F158" s="6" t="s">
        <v>40</v>
      </c>
      <c r="G158" s="6" t="s">
        <v>375</v>
      </c>
      <c r="H158" s="6" t="s">
        <v>416</v>
      </c>
      <c r="I158" s="10" t="s">
        <v>416</v>
      </c>
      <c r="J158" s="10" t="s">
        <v>39</v>
      </c>
      <c r="K158" s="9" t="str">
        <f>"213208711412"</f>
        <v>213208711412</v>
      </c>
      <c r="L158" s="9" t="str">
        <f>"213208711412"</f>
        <v>213208711412</v>
      </c>
      <c r="M158" s="12" t="s">
        <v>496</v>
      </c>
      <c r="N158" s="8">
        <v>0</v>
      </c>
      <c r="O158" s="11">
        <f>IF(B158="KEEP EXISTING",N158,'Cost Review'!H153)</f>
        <v>3.5</v>
      </c>
      <c r="P158" s="8" t="str">
        <f t="shared" si="14"/>
        <v>REVIEW</v>
      </c>
      <c r="Q158" s="8">
        <v>15</v>
      </c>
      <c r="R158" s="11">
        <f>IF(B158="KEEP EXISTING",Q158,'Cost Review'!J153)</f>
        <v>15</v>
      </c>
      <c r="S158" s="6" t="str">
        <f t="shared" si="15"/>
        <v>OK</v>
      </c>
      <c r="T158" s="9" t="str">
        <f>"213208711412"</f>
        <v>213208711412</v>
      </c>
      <c r="U158" s="10" t="s">
        <v>691</v>
      </c>
      <c r="V158" s="6" t="str">
        <f t="shared" si="16"/>
        <v>FOUND</v>
      </c>
      <c r="W158" s="9">
        <v>4</v>
      </c>
      <c r="X158" s="9">
        <v>0</v>
      </c>
      <c r="Y158" s="6" t="str">
        <f>IF(B158="KEEP EXISTING","Already in POS",IF(O158&lt;=0,"Blocked: cost",IF(OR(R158&lt;=0,R158&gt;100000),"Blocked: retail",IF(U158="","Blocked: image",IF(Summary!$B$3="APPROVED","READY","Pending approval")))))</f>
        <v>Pending approval</v>
      </c>
      <c r="Z158" s="6" t="s">
        <v>417</v>
      </c>
    </row>
    <row r="159" spans="1:26" ht="29.25">
      <c r="A159" s="12" t="s">
        <v>418</v>
      </c>
      <c r="B159" s="6" t="s">
        <v>494</v>
      </c>
      <c r="C159" s="6"/>
      <c r="D159" s="6"/>
      <c r="E159" s="6" t="s">
        <v>495</v>
      </c>
      <c r="F159" s="6" t="s">
        <v>40</v>
      </c>
      <c r="G159" s="6" t="s">
        <v>41</v>
      </c>
      <c r="H159" s="6" t="s">
        <v>419</v>
      </c>
      <c r="I159" s="10" t="s">
        <v>419</v>
      </c>
      <c r="J159" s="10" t="s">
        <v>39</v>
      </c>
      <c r="K159" s="9" t="str">
        <f>"297535793396"</f>
        <v>297535793396</v>
      </c>
      <c r="L159" s="9" t="str">
        <f>"297535793396"</f>
        <v>297535793396</v>
      </c>
      <c r="M159" s="12" t="s">
        <v>496</v>
      </c>
      <c r="N159" s="8">
        <v>0</v>
      </c>
      <c r="O159" s="11">
        <f>IF(B159="KEEP EXISTING",N159,'Cost Review'!H154)</f>
        <v>0</v>
      </c>
      <c r="P159" s="8" t="str">
        <f t="shared" si="14"/>
        <v>MISSING</v>
      </c>
      <c r="Q159" s="8">
        <v>20</v>
      </c>
      <c r="R159" s="11">
        <f>IF(B159="KEEP EXISTING",Q159,'Cost Review'!J154)</f>
        <v>20</v>
      </c>
      <c r="S159" s="6" t="str">
        <f t="shared" si="15"/>
        <v>OK</v>
      </c>
      <c r="T159" s="9" t="str">
        <f>"297535793396"</f>
        <v>297535793396</v>
      </c>
      <c r="U159" s="10" t="s">
        <v>692</v>
      </c>
      <c r="V159" s="6" t="str">
        <f t="shared" si="16"/>
        <v>FOUND</v>
      </c>
      <c r="W159" s="9">
        <v>1</v>
      </c>
      <c r="X159" s="9">
        <v>0</v>
      </c>
      <c r="Y159" s="6" t="str">
        <f>IF(B159="KEEP EXISTING","Already in POS",IF(O159&lt;=0,"Blocked: cost",IF(OR(R159&lt;=0,R159&gt;100000),"Blocked: retail",IF(U159="","Blocked: image",IF(Summary!$B$3="APPROVED","READY","Pending approval")))))</f>
        <v>Blocked: cost</v>
      </c>
      <c r="Z159" s="6" t="s">
        <v>325</v>
      </c>
    </row>
    <row r="160" spans="1:26" ht="29.25">
      <c r="A160" s="12" t="s">
        <v>420</v>
      </c>
      <c r="B160" s="6" t="s">
        <v>494</v>
      </c>
      <c r="C160" s="6"/>
      <c r="D160" s="6"/>
      <c r="E160" s="6" t="s">
        <v>510</v>
      </c>
      <c r="F160" s="6" t="s">
        <v>54</v>
      </c>
      <c r="G160" s="6" t="s">
        <v>74</v>
      </c>
      <c r="H160" s="6" t="s">
        <v>421</v>
      </c>
      <c r="I160" s="10" t="s">
        <v>421</v>
      </c>
      <c r="J160" s="10" t="s">
        <v>39</v>
      </c>
      <c r="K160" s="9" t="str">
        <f>"619659115913"</f>
        <v>619659115913</v>
      </c>
      <c r="L160" s="9" t="str">
        <f>"619659115913"</f>
        <v>619659115913</v>
      </c>
      <c r="M160" s="12" t="s">
        <v>496</v>
      </c>
      <c r="N160" s="8">
        <v>0</v>
      </c>
      <c r="O160" s="11">
        <f>IF(B160="KEEP EXISTING",N160,'Cost Review'!H155)</f>
        <v>35</v>
      </c>
      <c r="P160" s="8" t="str">
        <f t="shared" si="14"/>
        <v>REVIEW</v>
      </c>
      <c r="Q160" s="8">
        <v>39</v>
      </c>
      <c r="R160" s="11">
        <f>IF(B160="KEEP EXISTING",Q160,'Cost Review'!J155)</f>
        <v>39</v>
      </c>
      <c r="S160" s="6" t="str">
        <f t="shared" si="15"/>
        <v>OK</v>
      </c>
      <c r="T160" s="9" t="str">
        <f>"619659115913"</f>
        <v>619659115913</v>
      </c>
      <c r="U160" s="10" t="s">
        <v>693</v>
      </c>
      <c r="V160" s="6" t="str">
        <f t="shared" si="16"/>
        <v>FOUND</v>
      </c>
      <c r="W160" s="9">
        <v>4</v>
      </c>
      <c r="X160" s="9">
        <v>0</v>
      </c>
      <c r="Y160" s="6" t="str">
        <f>IF(B160="KEEP EXISTING","Already in POS",IF(O160&lt;=0,"Blocked: cost",IF(OR(R160&lt;=0,R160&gt;100000),"Blocked: retail",IF(U160="","Blocked: image",IF(Summary!$B$3="APPROVED","READY","Pending approval")))))</f>
        <v>Pending approval</v>
      </c>
      <c r="Z160" s="6" t="s">
        <v>417</v>
      </c>
    </row>
    <row r="161" spans="1:26" ht="29.25">
      <c r="A161" s="12" t="s">
        <v>422</v>
      </c>
      <c r="B161" s="6" t="s">
        <v>494</v>
      </c>
      <c r="C161" s="6"/>
      <c r="D161" s="6"/>
      <c r="E161" s="6" t="s">
        <v>510</v>
      </c>
      <c r="F161" s="6" t="s">
        <v>54</v>
      </c>
      <c r="G161" s="6" t="s">
        <v>74</v>
      </c>
      <c r="H161" s="6" t="s">
        <v>423</v>
      </c>
      <c r="I161" s="10" t="s">
        <v>423</v>
      </c>
      <c r="J161" s="10" t="s">
        <v>39</v>
      </c>
      <c r="K161" s="9" t="str">
        <f>"619659115906"</f>
        <v>619659115906</v>
      </c>
      <c r="L161" s="9" t="str">
        <f>"619659115906"</f>
        <v>619659115906</v>
      </c>
      <c r="M161" s="12" t="s">
        <v>496</v>
      </c>
      <c r="N161" s="8">
        <v>0</v>
      </c>
      <c r="O161" s="11">
        <f>IF(B161="KEEP EXISTING",N161,'Cost Review'!H156)</f>
        <v>25</v>
      </c>
      <c r="P161" s="8" t="str">
        <f t="shared" si="14"/>
        <v>REVIEW</v>
      </c>
      <c r="Q161" s="8">
        <v>28</v>
      </c>
      <c r="R161" s="11">
        <f>IF(B161="KEEP EXISTING",Q161,'Cost Review'!J156)</f>
        <v>28</v>
      </c>
      <c r="S161" s="6" t="str">
        <f t="shared" si="15"/>
        <v>OK</v>
      </c>
      <c r="T161" s="9" t="str">
        <f>"619659115906"</f>
        <v>619659115906</v>
      </c>
      <c r="U161" s="10" t="s">
        <v>694</v>
      </c>
      <c r="V161" s="6" t="str">
        <f t="shared" si="16"/>
        <v>FOUND</v>
      </c>
      <c r="W161" s="9">
        <v>4</v>
      </c>
      <c r="X161" s="9">
        <v>0</v>
      </c>
      <c r="Y161" s="6" t="str">
        <f>IF(B161="KEEP EXISTING","Already in POS",IF(O161&lt;=0,"Blocked: cost",IF(OR(R161&lt;=0,R161&gt;100000),"Blocked: retail",IF(U161="","Blocked: image",IF(Summary!$B$3="APPROVED","READY","Pending approval")))))</f>
        <v>Pending approval</v>
      </c>
      <c r="Z161" s="6" t="s">
        <v>417</v>
      </c>
    </row>
    <row r="162" spans="1:26" ht="29.25">
      <c r="A162" s="12" t="s">
        <v>424</v>
      </c>
      <c r="B162" s="6" t="s">
        <v>494</v>
      </c>
      <c r="C162" s="6"/>
      <c r="D162" s="6"/>
      <c r="E162" s="6" t="s">
        <v>510</v>
      </c>
      <c r="F162" s="6" t="s">
        <v>54</v>
      </c>
      <c r="G162" s="6" t="s">
        <v>74</v>
      </c>
      <c r="H162" s="6" t="s">
        <v>425</v>
      </c>
      <c r="I162" s="10" t="s">
        <v>425</v>
      </c>
      <c r="J162" s="10" t="s">
        <v>39</v>
      </c>
      <c r="K162" s="9" t="str">
        <f>"619659102166"</f>
        <v>619659102166</v>
      </c>
      <c r="L162" s="9" t="str">
        <f>"619659102166"</f>
        <v>619659102166</v>
      </c>
      <c r="M162" s="12" t="s">
        <v>496</v>
      </c>
      <c r="N162" s="8">
        <v>0</v>
      </c>
      <c r="O162" s="11">
        <f>IF(B162="KEEP EXISTING",N162,'Cost Review'!H157)</f>
        <v>15</v>
      </c>
      <c r="P162" s="8" t="str">
        <f t="shared" ref="P162:P193" si="17">IF(B162="KEEP EXISTING","Existing",IF(O162&lt;=0,"MISSING","REVIEW"))</f>
        <v>REVIEW</v>
      </c>
      <c r="Q162" s="8">
        <v>19</v>
      </c>
      <c r="R162" s="11">
        <f>IF(B162="KEEP EXISTING",Q162,'Cost Review'!J157)</f>
        <v>19</v>
      </c>
      <c r="S162" s="6" t="str">
        <f t="shared" ref="S162:S193" si="18">IF(B162="KEEP EXISTING","Existing",IF(OR(R162&lt;=0,R162&gt;100000),"CHECK","OK"))</f>
        <v>OK</v>
      </c>
      <c r="T162" s="9" t="str">
        <f>"619659102166"</f>
        <v>619659102166</v>
      </c>
      <c r="U162" s="10" t="s">
        <v>695</v>
      </c>
      <c r="V162" s="6" t="str">
        <f t="shared" ref="V162:V193" si="19">IF(B162="KEEP EXISTING","Existing",IF(U162="","MISSING","FOUND"))</f>
        <v>FOUND</v>
      </c>
      <c r="W162" s="9">
        <v>5</v>
      </c>
      <c r="X162" s="9">
        <v>0</v>
      </c>
      <c r="Y162" s="6" t="str">
        <f>IF(B162="KEEP EXISTING","Already in POS",IF(O162&lt;=0,"Blocked: cost",IF(OR(R162&lt;=0,R162&gt;100000),"Blocked: retail",IF(U162="","Blocked: image",IF(Summary!$B$3="APPROVED","READY","Pending approval")))))</f>
        <v>Pending approval</v>
      </c>
      <c r="Z162" s="6" t="s">
        <v>331</v>
      </c>
    </row>
    <row r="163" spans="1:26" ht="29.25">
      <c r="A163" s="12" t="s">
        <v>426</v>
      </c>
      <c r="B163" s="6" t="s">
        <v>494</v>
      </c>
      <c r="C163" s="6"/>
      <c r="D163" s="6"/>
      <c r="E163" s="6" t="s">
        <v>510</v>
      </c>
      <c r="F163" s="6" t="s">
        <v>54</v>
      </c>
      <c r="G163" s="6" t="s">
        <v>74</v>
      </c>
      <c r="H163" s="6" t="s">
        <v>427</v>
      </c>
      <c r="I163" s="10" t="s">
        <v>427</v>
      </c>
      <c r="J163" s="10" t="s">
        <v>39</v>
      </c>
      <c r="K163" s="9" t="str">
        <f>"658817"</f>
        <v>658817</v>
      </c>
      <c r="L163" s="9" t="str">
        <f>"658817"</f>
        <v>658817</v>
      </c>
      <c r="M163" s="12" t="s">
        <v>496</v>
      </c>
      <c r="N163" s="8">
        <v>0</v>
      </c>
      <c r="O163" s="11">
        <f>IF(B163="KEEP EXISTING",N163,'Cost Review'!H158)</f>
        <v>12</v>
      </c>
      <c r="P163" s="8" t="str">
        <f t="shared" si="17"/>
        <v>REVIEW</v>
      </c>
      <c r="Q163" s="8">
        <v>15</v>
      </c>
      <c r="R163" s="11">
        <f>IF(B163="KEEP EXISTING",Q163,'Cost Review'!J158)</f>
        <v>15</v>
      </c>
      <c r="S163" s="6" t="str">
        <f t="shared" si="18"/>
        <v>OK</v>
      </c>
      <c r="T163" s="9" t="str">
        <f>"2998000065885"</f>
        <v>2998000065885</v>
      </c>
      <c r="U163" s="10" t="s">
        <v>696</v>
      </c>
      <c r="V163" s="6" t="str">
        <f t="shared" si="19"/>
        <v>FOUND</v>
      </c>
      <c r="W163" s="9">
        <v>0</v>
      </c>
      <c r="X163" s="9">
        <v>0</v>
      </c>
      <c r="Y163" s="6" t="str">
        <f>IF(B163="KEEP EXISTING","Already in POS",IF(O163&lt;=0,"Blocked: cost",IF(OR(R163&lt;=0,R163&gt;100000),"Blocked: retail",IF(U163="","Blocked: image",IF(Summary!$B$3="APPROVED","READY","Pending approval")))))</f>
        <v>Pending approval</v>
      </c>
      <c r="Z163" s="6" t="s">
        <v>223</v>
      </c>
    </row>
    <row r="164" spans="1:26" ht="29.25">
      <c r="A164" s="12" t="s">
        <v>428</v>
      </c>
      <c r="B164" s="6" t="s">
        <v>494</v>
      </c>
      <c r="C164" s="6"/>
      <c r="D164" s="6"/>
      <c r="E164" s="6" t="s">
        <v>657</v>
      </c>
      <c r="F164" s="6" t="s">
        <v>54</v>
      </c>
      <c r="G164" s="6" t="s">
        <v>74</v>
      </c>
      <c r="H164" s="6" t="s">
        <v>429</v>
      </c>
      <c r="I164" s="10" t="s">
        <v>429</v>
      </c>
      <c r="J164" s="10" t="s">
        <v>39</v>
      </c>
      <c r="K164" s="9" t="str">
        <f>"658716"</f>
        <v>658716</v>
      </c>
      <c r="L164" s="9" t="str">
        <f>"658716"</f>
        <v>658716</v>
      </c>
      <c r="M164" s="12" t="s">
        <v>496</v>
      </c>
      <c r="N164" s="8">
        <v>39</v>
      </c>
      <c r="O164" s="11">
        <f>IF(B164="KEEP EXISTING",N164,'Cost Review'!H159)</f>
        <v>39</v>
      </c>
      <c r="P164" s="8" t="str">
        <f t="shared" si="17"/>
        <v>REVIEW</v>
      </c>
      <c r="Q164" s="8">
        <v>49</v>
      </c>
      <c r="R164" s="11">
        <f>IF(B164="KEEP EXISTING",Q164,'Cost Review'!J159)</f>
        <v>49</v>
      </c>
      <c r="S164" s="6" t="str">
        <f t="shared" si="18"/>
        <v>OK</v>
      </c>
      <c r="T164" s="9" t="str">
        <f>"2998000065878"</f>
        <v>2998000065878</v>
      </c>
      <c r="U164" s="10" t="s">
        <v>697</v>
      </c>
      <c r="V164" s="6" t="str">
        <f t="shared" si="19"/>
        <v>FOUND</v>
      </c>
      <c r="W164" s="9">
        <v>3</v>
      </c>
      <c r="X164" s="9">
        <v>0</v>
      </c>
      <c r="Y164" s="6" t="str">
        <f>IF(B164="KEEP EXISTING","Already in POS",IF(O164&lt;=0,"Blocked: cost",IF(OR(R164&lt;=0,R164&gt;100000),"Blocked: retail",IF(U164="","Blocked: image",IF(Summary!$B$3="APPROVED","READY","Pending approval")))))</f>
        <v>Pending approval</v>
      </c>
      <c r="Z164" s="6" t="s">
        <v>85</v>
      </c>
    </row>
    <row r="165" spans="1:26" ht="29.25">
      <c r="A165" s="12" t="s">
        <v>430</v>
      </c>
      <c r="B165" s="6" t="s">
        <v>494</v>
      </c>
      <c r="C165" s="6"/>
      <c r="D165" s="6"/>
      <c r="E165" s="6" t="s">
        <v>657</v>
      </c>
      <c r="F165" s="6" t="s">
        <v>54</v>
      </c>
      <c r="G165" s="6" t="s">
        <v>74</v>
      </c>
      <c r="H165" s="6" t="s">
        <v>431</v>
      </c>
      <c r="I165" s="10" t="s">
        <v>431</v>
      </c>
      <c r="J165" s="10" t="s">
        <v>39</v>
      </c>
      <c r="K165" s="9" t="str">
        <f>"658615"</f>
        <v>658615</v>
      </c>
      <c r="L165" s="9" t="str">
        <f>"658615"</f>
        <v>658615</v>
      </c>
      <c r="M165" s="12" t="s">
        <v>496</v>
      </c>
      <c r="N165" s="8">
        <v>28</v>
      </c>
      <c r="O165" s="11">
        <f>IF(B165="KEEP EXISTING",N165,'Cost Review'!H160)</f>
        <v>28</v>
      </c>
      <c r="P165" s="8" t="str">
        <f t="shared" si="17"/>
        <v>REVIEW</v>
      </c>
      <c r="Q165" s="8">
        <v>38</v>
      </c>
      <c r="R165" s="11">
        <f>IF(B165="KEEP EXISTING",Q165,'Cost Review'!J160)</f>
        <v>38</v>
      </c>
      <c r="S165" s="6" t="str">
        <f t="shared" si="18"/>
        <v>OK</v>
      </c>
      <c r="T165" s="9" t="str">
        <f>"2998000065861"</f>
        <v>2998000065861</v>
      </c>
      <c r="U165" s="10" t="s">
        <v>698</v>
      </c>
      <c r="V165" s="6" t="str">
        <f t="shared" si="19"/>
        <v>FOUND</v>
      </c>
      <c r="W165" s="9">
        <v>1</v>
      </c>
      <c r="X165" s="9">
        <v>0</v>
      </c>
      <c r="Y165" s="6" t="str">
        <f>IF(B165="KEEP EXISTING","Already in POS",IF(O165&lt;=0,"Blocked: cost",IF(OR(R165&lt;=0,R165&gt;100000),"Blocked: retail",IF(U165="","Blocked: image",IF(Summary!$B$3="APPROVED","READY","Pending approval")))))</f>
        <v>Pending approval</v>
      </c>
      <c r="Z165" s="6" t="s">
        <v>75</v>
      </c>
    </row>
    <row r="166" spans="1:26" ht="29.25">
      <c r="A166" s="12" t="s">
        <v>432</v>
      </c>
      <c r="B166" s="6" t="s">
        <v>494</v>
      </c>
      <c r="C166" s="6"/>
      <c r="D166" s="6"/>
      <c r="E166" s="6" t="s">
        <v>657</v>
      </c>
      <c r="F166" s="6" t="s">
        <v>54</v>
      </c>
      <c r="G166" s="6" t="s">
        <v>74</v>
      </c>
      <c r="H166" s="6" t="s">
        <v>433</v>
      </c>
      <c r="I166" s="10" t="s">
        <v>433</v>
      </c>
      <c r="J166" s="10" t="s">
        <v>39</v>
      </c>
      <c r="K166" s="9" t="str">
        <f>"658514"</f>
        <v>658514</v>
      </c>
      <c r="L166" s="9" t="str">
        <f>"658514"</f>
        <v>658514</v>
      </c>
      <c r="M166" s="12" t="s">
        <v>496</v>
      </c>
      <c r="N166" s="8">
        <v>0</v>
      </c>
      <c r="O166" s="11">
        <f>IF(B166="KEEP EXISTING",N166,'Cost Review'!H161)</f>
        <v>15</v>
      </c>
      <c r="P166" s="8" t="str">
        <f t="shared" si="17"/>
        <v>REVIEW</v>
      </c>
      <c r="Q166" s="8">
        <v>19</v>
      </c>
      <c r="R166" s="11">
        <f>IF(B166="KEEP EXISTING",Q166,'Cost Review'!J161)</f>
        <v>19</v>
      </c>
      <c r="S166" s="6" t="str">
        <f t="shared" si="18"/>
        <v>OK</v>
      </c>
      <c r="T166" s="9" t="str">
        <f>"2998000065854"</f>
        <v>2998000065854</v>
      </c>
      <c r="U166" s="10" t="s">
        <v>699</v>
      </c>
      <c r="V166" s="6" t="str">
        <f t="shared" si="19"/>
        <v>FOUND</v>
      </c>
      <c r="W166" s="9">
        <v>0</v>
      </c>
      <c r="X166" s="9">
        <v>0</v>
      </c>
      <c r="Y166" s="6" t="str">
        <f>IF(B166="KEEP EXISTING","Already in POS",IF(O166&lt;=0,"Blocked: cost",IF(OR(R166&lt;=0,R166&gt;100000),"Blocked: retail",IF(U166="","Blocked: image",IF(Summary!$B$3="APPROVED","READY","Pending approval")))))</f>
        <v>Pending approval</v>
      </c>
      <c r="Z166" s="6" t="s">
        <v>223</v>
      </c>
    </row>
    <row r="167" spans="1:26" ht="29.25">
      <c r="A167" s="12" t="s">
        <v>434</v>
      </c>
      <c r="B167" s="6" t="s">
        <v>494</v>
      </c>
      <c r="C167" s="6"/>
      <c r="D167" s="6"/>
      <c r="E167" s="6" t="s">
        <v>657</v>
      </c>
      <c r="F167" s="6" t="s">
        <v>54</v>
      </c>
      <c r="G167" s="6" t="s">
        <v>74</v>
      </c>
      <c r="H167" s="6" t="s">
        <v>435</v>
      </c>
      <c r="I167" s="10" t="s">
        <v>435</v>
      </c>
      <c r="J167" s="10" t="s">
        <v>39</v>
      </c>
      <c r="K167" s="9" t="str">
        <f>"658413"</f>
        <v>658413</v>
      </c>
      <c r="L167" s="9" t="str">
        <f>"658413"</f>
        <v>658413</v>
      </c>
      <c r="M167" s="12" t="s">
        <v>496</v>
      </c>
      <c r="N167" s="8">
        <v>0</v>
      </c>
      <c r="O167" s="11">
        <f>IF(B167="KEEP EXISTING",N167,'Cost Review'!H162)</f>
        <v>12</v>
      </c>
      <c r="P167" s="8" t="str">
        <f t="shared" si="17"/>
        <v>REVIEW</v>
      </c>
      <c r="Q167" s="8">
        <v>15</v>
      </c>
      <c r="R167" s="11">
        <f>IF(B167="KEEP EXISTING",Q167,'Cost Review'!J162)</f>
        <v>15</v>
      </c>
      <c r="S167" s="6" t="str">
        <f t="shared" si="18"/>
        <v>OK</v>
      </c>
      <c r="T167" s="9" t="str">
        <f>"2998000065847"</f>
        <v>2998000065847</v>
      </c>
      <c r="U167" s="10" t="s">
        <v>700</v>
      </c>
      <c r="V167" s="6" t="str">
        <f t="shared" si="19"/>
        <v>FOUND</v>
      </c>
      <c r="W167" s="9">
        <v>0</v>
      </c>
      <c r="X167" s="9">
        <v>0</v>
      </c>
      <c r="Y167" s="6" t="str">
        <f>IF(B167="KEEP EXISTING","Already in POS",IF(O167&lt;=0,"Blocked: cost",IF(OR(R167&lt;=0,R167&gt;100000),"Blocked: retail",IF(U167="","Blocked: image",IF(Summary!$B$3="APPROVED","READY","Pending approval")))))</f>
        <v>Pending approval</v>
      </c>
      <c r="Z167" s="6" t="s">
        <v>223</v>
      </c>
    </row>
    <row r="168" spans="1:26" ht="43.5">
      <c r="A168" s="12" t="s">
        <v>436</v>
      </c>
      <c r="B168" s="6" t="s">
        <v>494</v>
      </c>
      <c r="C168" s="6"/>
      <c r="D168" s="6"/>
      <c r="E168" s="6" t="s">
        <v>522</v>
      </c>
      <c r="F168" s="6" t="s">
        <v>54</v>
      </c>
      <c r="G168" s="6" t="s">
        <v>60</v>
      </c>
      <c r="H168" s="6" t="s">
        <v>437</v>
      </c>
      <c r="I168" s="10" t="s">
        <v>437</v>
      </c>
      <c r="J168" s="10" t="s">
        <v>138</v>
      </c>
      <c r="K168" s="9" t="str">
        <f>"6970344732452"</f>
        <v>6970344732452</v>
      </c>
      <c r="L168" s="9" t="str">
        <f>"TM8-COMP-6497"</f>
        <v>TM8-COMP-6497</v>
      </c>
      <c r="M168" s="12" t="s">
        <v>543</v>
      </c>
      <c r="N168" s="8">
        <v>7.76</v>
      </c>
      <c r="O168" s="11">
        <f>IF(B168="KEEP EXISTING",N168,'Cost Review'!H163)</f>
        <v>7.76</v>
      </c>
      <c r="P168" s="8" t="str">
        <f t="shared" si="17"/>
        <v>REVIEW</v>
      </c>
      <c r="Q168" s="8">
        <v>24.99</v>
      </c>
      <c r="R168" s="11">
        <f>IF(B168="KEEP EXISTING",Q168,'Cost Review'!J163)</f>
        <v>24.99</v>
      </c>
      <c r="S168" s="6" t="str">
        <f t="shared" si="18"/>
        <v>OK</v>
      </c>
      <c r="T168" s="9" t="str">
        <f>"2998000064970"</f>
        <v>2998000064970</v>
      </c>
      <c r="U168" s="10" t="s">
        <v>701</v>
      </c>
      <c r="V168" s="6" t="str">
        <f t="shared" si="19"/>
        <v>FOUND</v>
      </c>
      <c r="W168" s="9">
        <v>9</v>
      </c>
      <c r="X168" s="9">
        <v>0</v>
      </c>
      <c r="Y168" s="6" t="str">
        <f>IF(B168="KEEP EXISTING","Already in POS",IF(O168&lt;=0,"Blocked: cost",IF(OR(R168&lt;=0,R168&gt;100000),"Blocked: retail",IF(U168="","Blocked: image",IF(Summary!$B$3="APPROVED","READY","Pending approval")))))</f>
        <v>Pending approval</v>
      </c>
      <c r="Z168" s="6" t="s">
        <v>438</v>
      </c>
    </row>
    <row r="169" spans="1:26" ht="29.25">
      <c r="A169" s="12" t="s">
        <v>439</v>
      </c>
      <c r="B169" s="6" t="s">
        <v>494</v>
      </c>
      <c r="C169" s="6"/>
      <c r="D169" s="6"/>
      <c r="E169" s="6" t="s">
        <v>504</v>
      </c>
      <c r="F169" s="6" t="s">
        <v>54</v>
      </c>
      <c r="G169" s="6" t="s">
        <v>60</v>
      </c>
      <c r="H169" s="6" t="s">
        <v>440</v>
      </c>
      <c r="I169" s="10" t="s">
        <v>440</v>
      </c>
      <c r="J169" s="10" t="s">
        <v>138</v>
      </c>
      <c r="K169" s="9" t="str">
        <f>"6970344732575"</f>
        <v>6970344732575</v>
      </c>
      <c r="L169" s="9" t="str">
        <f>"6970344732575"</f>
        <v>6970344732575</v>
      </c>
      <c r="M169" s="12" t="s">
        <v>496</v>
      </c>
      <c r="N169" s="8">
        <v>13.2</v>
      </c>
      <c r="O169" s="11">
        <f>IF(B169="KEEP EXISTING",N169,'Cost Review'!H164)</f>
        <v>13.2</v>
      </c>
      <c r="P169" s="8" t="str">
        <f t="shared" si="17"/>
        <v>REVIEW</v>
      </c>
      <c r="Q169" s="8">
        <v>19.989999999999998</v>
      </c>
      <c r="R169" s="11">
        <f>IF(B169="KEEP EXISTING",Q169,'Cost Review'!J164)</f>
        <v>19.989999999999998</v>
      </c>
      <c r="S169" s="6" t="str">
        <f t="shared" si="18"/>
        <v>OK</v>
      </c>
      <c r="T169" s="9" t="str">
        <f>"6970344732575"</f>
        <v>6970344732575</v>
      </c>
      <c r="U169" s="10" t="s">
        <v>702</v>
      </c>
      <c r="V169" s="6" t="str">
        <f t="shared" si="19"/>
        <v>FOUND</v>
      </c>
      <c r="W169" s="9">
        <v>13</v>
      </c>
      <c r="X169" s="9">
        <v>0</v>
      </c>
      <c r="Y169" s="6" t="str">
        <f>IF(B169="KEEP EXISTING","Already in POS",IF(O169&lt;=0,"Blocked: cost",IF(OR(R169&lt;=0,R169&gt;100000),"Blocked: retail",IF(U169="","Blocked: image",IF(Summary!$B$3="APPROVED","READY","Pending approval")))))</f>
        <v>Pending approval</v>
      </c>
      <c r="Z169" s="6" t="s">
        <v>441</v>
      </c>
    </row>
    <row r="170" spans="1:26" ht="29.25">
      <c r="A170" s="12" t="s">
        <v>442</v>
      </c>
      <c r="B170" s="6" t="s">
        <v>494</v>
      </c>
      <c r="C170" s="6"/>
      <c r="D170" s="6"/>
      <c r="E170" s="6" t="s">
        <v>504</v>
      </c>
      <c r="F170" s="6" t="s">
        <v>54</v>
      </c>
      <c r="G170" s="6" t="s">
        <v>60</v>
      </c>
      <c r="H170" s="6" t="s">
        <v>443</v>
      </c>
      <c r="I170" s="10" t="s">
        <v>443</v>
      </c>
      <c r="J170" s="10" t="s">
        <v>39</v>
      </c>
      <c r="K170" s="9" t="str">
        <f>"6970344731691"</f>
        <v>6970344731691</v>
      </c>
      <c r="L170" s="9" t="str">
        <f>"6970344731691"</f>
        <v>6970344731691</v>
      </c>
      <c r="M170" s="12" t="s">
        <v>496</v>
      </c>
      <c r="N170" s="8">
        <v>19.84</v>
      </c>
      <c r="O170" s="11">
        <f>IF(B170="KEEP EXISTING",N170,'Cost Review'!H165)</f>
        <v>19.84</v>
      </c>
      <c r="P170" s="8" t="str">
        <f t="shared" si="17"/>
        <v>REVIEW</v>
      </c>
      <c r="Q170" s="8">
        <v>29.99</v>
      </c>
      <c r="R170" s="11">
        <f>IF(B170="KEEP EXISTING",Q170,'Cost Review'!J165)</f>
        <v>29.99</v>
      </c>
      <c r="S170" s="6" t="str">
        <f t="shared" si="18"/>
        <v>OK</v>
      </c>
      <c r="T170" s="9" t="str">
        <f>"6970344731691"</f>
        <v>6970344731691</v>
      </c>
      <c r="U170" s="10" t="s">
        <v>703</v>
      </c>
      <c r="V170" s="6" t="str">
        <f t="shared" si="19"/>
        <v>FOUND</v>
      </c>
      <c r="W170" s="9">
        <v>0</v>
      </c>
      <c r="X170" s="9">
        <v>0</v>
      </c>
      <c r="Y170" s="6" t="str">
        <f>IF(B170="KEEP EXISTING","Already in POS",IF(O170&lt;=0,"Blocked: cost",IF(OR(R170&lt;=0,R170&gt;100000),"Blocked: retail",IF(U170="","Blocked: image",IF(Summary!$B$3="APPROVED","READY","Pending approval")))))</f>
        <v>Pending approval</v>
      </c>
      <c r="Z170" s="6"/>
    </row>
    <row r="171" spans="1:26" ht="29.25">
      <c r="A171" s="12" t="s">
        <v>444</v>
      </c>
      <c r="B171" s="6" t="s">
        <v>494</v>
      </c>
      <c r="C171" s="6"/>
      <c r="D171" s="6"/>
      <c r="E171" s="6" t="s">
        <v>522</v>
      </c>
      <c r="F171" s="6" t="s">
        <v>54</v>
      </c>
      <c r="G171" s="6" t="s">
        <v>60</v>
      </c>
      <c r="H171" s="6" t="s">
        <v>445</v>
      </c>
      <c r="I171" s="10" t="s">
        <v>445</v>
      </c>
      <c r="J171" s="10" t="s">
        <v>138</v>
      </c>
      <c r="K171" s="9" t="str">
        <f>"6970344732520"</f>
        <v>6970344732520</v>
      </c>
      <c r="L171" s="9" t="str">
        <f>"6970344732520"</f>
        <v>6970344732520</v>
      </c>
      <c r="M171" s="12" t="s">
        <v>496</v>
      </c>
      <c r="N171" s="8">
        <v>6.12</v>
      </c>
      <c r="O171" s="11">
        <f>IF(B171="KEEP EXISTING",N171,'Cost Review'!H166)</f>
        <v>6.12</v>
      </c>
      <c r="P171" s="8" t="str">
        <f t="shared" si="17"/>
        <v>REVIEW</v>
      </c>
      <c r="Q171" s="8">
        <v>15.99</v>
      </c>
      <c r="R171" s="11">
        <f>IF(B171="KEEP EXISTING",Q171,'Cost Review'!J166)</f>
        <v>15.99</v>
      </c>
      <c r="S171" s="6" t="str">
        <f t="shared" si="18"/>
        <v>OK</v>
      </c>
      <c r="T171" s="9" t="str">
        <f>"6970344732520"</f>
        <v>6970344732520</v>
      </c>
      <c r="U171" s="10" t="s">
        <v>704</v>
      </c>
      <c r="V171" s="6" t="str">
        <f t="shared" si="19"/>
        <v>FOUND</v>
      </c>
      <c r="W171" s="9">
        <v>-1</v>
      </c>
      <c r="X171" s="9">
        <v>0</v>
      </c>
      <c r="Y171" s="6" t="str">
        <f>IF(B171="KEEP EXISTING","Already in POS",IF(O171&lt;=0,"Blocked: cost",IF(OR(R171&lt;=0,R171&gt;100000),"Blocked: retail",IF(U171="","Blocked: image",IF(Summary!$B$3="APPROVED","READY","Pending approval")))))</f>
        <v>Pending approval</v>
      </c>
      <c r="Z171" s="6" t="s">
        <v>238</v>
      </c>
    </row>
    <row r="172" spans="1:26" ht="29.25">
      <c r="A172" s="12" t="s">
        <v>446</v>
      </c>
      <c r="B172" s="6" t="s">
        <v>494</v>
      </c>
      <c r="C172" s="6"/>
      <c r="D172" s="6"/>
      <c r="E172" s="6" t="s">
        <v>522</v>
      </c>
      <c r="F172" s="6" t="s">
        <v>54</v>
      </c>
      <c r="G172" s="6" t="s">
        <v>60</v>
      </c>
      <c r="H172" s="6" t="s">
        <v>447</v>
      </c>
      <c r="I172" s="10" t="s">
        <v>447</v>
      </c>
      <c r="J172" s="10" t="s">
        <v>138</v>
      </c>
      <c r="K172" s="9" t="str">
        <f>"6970344732209"</f>
        <v>6970344732209</v>
      </c>
      <c r="L172" s="9" t="str">
        <f>"6970344732209"</f>
        <v>6970344732209</v>
      </c>
      <c r="M172" s="12" t="s">
        <v>496</v>
      </c>
      <c r="N172" s="8">
        <v>18.16</v>
      </c>
      <c r="O172" s="11">
        <f>IF(B172="KEEP EXISTING",N172,'Cost Review'!H167)</f>
        <v>18.16</v>
      </c>
      <c r="P172" s="8" t="str">
        <f t="shared" si="17"/>
        <v>REVIEW</v>
      </c>
      <c r="Q172" s="8">
        <v>54.99</v>
      </c>
      <c r="R172" s="11">
        <f>IF(B172="KEEP EXISTING",Q172,'Cost Review'!J167)</f>
        <v>54.99</v>
      </c>
      <c r="S172" s="6" t="str">
        <f t="shared" si="18"/>
        <v>OK</v>
      </c>
      <c r="T172" s="9" t="str">
        <f>"6970344732209"</f>
        <v>6970344732209</v>
      </c>
      <c r="U172" s="10" t="s">
        <v>705</v>
      </c>
      <c r="V172" s="6" t="str">
        <f t="shared" si="19"/>
        <v>FOUND</v>
      </c>
      <c r="W172" s="9">
        <v>6</v>
      </c>
      <c r="X172" s="9">
        <v>0</v>
      </c>
      <c r="Y172" s="6" t="str">
        <f>IF(B172="KEEP EXISTING","Already in POS",IF(O172&lt;=0,"Blocked: cost",IF(OR(R172&lt;=0,R172&gt;100000),"Blocked: retail",IF(U172="","Blocked: image",IF(Summary!$B$3="APPROVED","READY","Pending approval")))))</f>
        <v>Pending approval</v>
      </c>
      <c r="Z172" s="6" t="s">
        <v>213</v>
      </c>
    </row>
    <row r="173" spans="1:26" ht="29.25">
      <c r="A173" s="12" t="s">
        <v>448</v>
      </c>
      <c r="B173" s="6" t="s">
        <v>494</v>
      </c>
      <c r="C173" s="6"/>
      <c r="D173" s="6"/>
      <c r="E173" s="6" t="s">
        <v>504</v>
      </c>
      <c r="F173" s="6" t="s">
        <v>54</v>
      </c>
      <c r="G173" s="6" t="s">
        <v>60</v>
      </c>
      <c r="H173" s="6" t="s">
        <v>449</v>
      </c>
      <c r="I173" s="10" t="s">
        <v>449</v>
      </c>
      <c r="J173" s="10" t="s">
        <v>138</v>
      </c>
      <c r="K173" s="9" t="str">
        <f>"6970344731974"</f>
        <v>6970344731974</v>
      </c>
      <c r="L173" s="9" t="str">
        <f>"6970344731974"</f>
        <v>6970344731974</v>
      </c>
      <c r="M173" s="12" t="s">
        <v>496</v>
      </c>
      <c r="N173" s="8">
        <v>24.4</v>
      </c>
      <c r="O173" s="11">
        <f>IF(B173="KEEP EXISTING",N173,'Cost Review'!H168)</f>
        <v>24.4</v>
      </c>
      <c r="P173" s="8" t="str">
        <f t="shared" si="17"/>
        <v>REVIEW</v>
      </c>
      <c r="Q173" s="8">
        <v>59.99</v>
      </c>
      <c r="R173" s="11">
        <f>IF(B173="KEEP EXISTING",Q173,'Cost Review'!J168)</f>
        <v>59.99</v>
      </c>
      <c r="S173" s="6" t="str">
        <f t="shared" si="18"/>
        <v>OK</v>
      </c>
      <c r="T173" s="9" t="str">
        <f>"6970344731974"</f>
        <v>6970344731974</v>
      </c>
      <c r="U173" s="10" t="s">
        <v>706</v>
      </c>
      <c r="V173" s="6" t="str">
        <f t="shared" si="19"/>
        <v>FOUND</v>
      </c>
      <c r="W173" s="9">
        <v>-2</v>
      </c>
      <c r="X173" s="9">
        <v>0</v>
      </c>
      <c r="Y173" s="6" t="str">
        <f>IF(B173="KEEP EXISTING","Already in POS",IF(O173&lt;=0,"Blocked: cost",IF(OR(R173&lt;=0,R173&gt;100000),"Blocked: retail",IF(U173="","Blocked: image",IF(Summary!$B$3="APPROVED","READY","Pending approval")))))</f>
        <v>Pending approval</v>
      </c>
      <c r="Z173" s="6" t="s">
        <v>450</v>
      </c>
    </row>
    <row r="174" spans="1:26" ht="29.25">
      <c r="A174" s="12" t="s">
        <v>451</v>
      </c>
      <c r="B174" s="6" t="s">
        <v>494</v>
      </c>
      <c r="C174" s="6"/>
      <c r="D174" s="6"/>
      <c r="E174" s="6" t="s">
        <v>504</v>
      </c>
      <c r="F174" s="6" t="s">
        <v>54</v>
      </c>
      <c r="G174" s="6" t="s">
        <v>60</v>
      </c>
      <c r="H174" s="6" t="s">
        <v>452</v>
      </c>
      <c r="I174" s="10" t="s">
        <v>452</v>
      </c>
      <c r="J174" s="10" t="s">
        <v>138</v>
      </c>
      <c r="K174" s="9" t="str">
        <f>"6970344731295"</f>
        <v>6970344731295</v>
      </c>
      <c r="L174" s="9" t="str">
        <f>"6970344731295"</f>
        <v>6970344731295</v>
      </c>
      <c r="M174" s="12" t="s">
        <v>496</v>
      </c>
      <c r="N174" s="8">
        <v>95.36</v>
      </c>
      <c r="O174" s="11">
        <f>IF(B174="KEEP EXISTING",N174,'Cost Review'!H169)</f>
        <v>95.36</v>
      </c>
      <c r="P174" s="8" t="str">
        <f t="shared" si="17"/>
        <v>REVIEW</v>
      </c>
      <c r="Q174" s="8">
        <v>219</v>
      </c>
      <c r="R174" s="11">
        <f>IF(B174="KEEP EXISTING",Q174,'Cost Review'!J169)</f>
        <v>219</v>
      </c>
      <c r="S174" s="6" t="str">
        <f t="shared" si="18"/>
        <v>OK</v>
      </c>
      <c r="T174" s="9" t="str">
        <f>"6970344731295"</f>
        <v>6970344731295</v>
      </c>
      <c r="U174" s="10" t="s">
        <v>707</v>
      </c>
      <c r="V174" s="6" t="str">
        <f t="shared" si="19"/>
        <v>FOUND</v>
      </c>
      <c r="W174" s="9">
        <v>2</v>
      </c>
      <c r="X174" s="9">
        <v>0</v>
      </c>
      <c r="Y174" s="6" t="str">
        <f>IF(B174="KEEP EXISTING","Already in POS",IF(O174&lt;=0,"Blocked: cost",IF(OR(R174&lt;=0,R174&gt;100000),"Blocked: retail",IF(U174="","Blocked: image",IF(Summary!$B$3="APPROVED","READY","Pending approval")))))</f>
        <v>Pending approval</v>
      </c>
      <c r="Z174" s="6" t="s">
        <v>56</v>
      </c>
    </row>
    <row r="175" spans="1:26" ht="29.25">
      <c r="A175" s="12" t="s">
        <v>453</v>
      </c>
      <c r="B175" s="6" t="s">
        <v>494</v>
      </c>
      <c r="C175" s="6"/>
      <c r="D175" s="6"/>
      <c r="E175" s="6" t="s">
        <v>519</v>
      </c>
      <c r="F175" s="6" t="s">
        <v>69</v>
      </c>
      <c r="G175" s="6" t="s">
        <v>93</v>
      </c>
      <c r="H175" s="6" t="s">
        <v>454</v>
      </c>
      <c r="I175" s="10" t="s">
        <v>454</v>
      </c>
      <c r="J175" s="10" t="s">
        <v>138</v>
      </c>
      <c r="K175" s="9" t="str">
        <f>"6970344731561"</f>
        <v>6970344731561</v>
      </c>
      <c r="L175" s="9" t="str">
        <f>"6970344731561"</f>
        <v>6970344731561</v>
      </c>
      <c r="M175" s="12" t="s">
        <v>496</v>
      </c>
      <c r="N175" s="8">
        <v>32.94</v>
      </c>
      <c r="O175" s="11">
        <f>IF(B175="KEEP EXISTING",N175,'Cost Review'!H170)</f>
        <v>32.94</v>
      </c>
      <c r="P175" s="8" t="str">
        <f t="shared" si="17"/>
        <v>REVIEW</v>
      </c>
      <c r="Q175" s="8">
        <v>79.989999999999995</v>
      </c>
      <c r="R175" s="11">
        <f>IF(B175="KEEP EXISTING",Q175,'Cost Review'!J170)</f>
        <v>79.989999999999995</v>
      </c>
      <c r="S175" s="6" t="str">
        <f t="shared" si="18"/>
        <v>OK</v>
      </c>
      <c r="T175" s="9" t="str">
        <f>"6970344731561"</f>
        <v>6970344731561</v>
      </c>
      <c r="U175" s="10" t="s">
        <v>708</v>
      </c>
      <c r="V175" s="6" t="str">
        <f t="shared" si="19"/>
        <v>FOUND</v>
      </c>
      <c r="W175" s="9">
        <v>9</v>
      </c>
      <c r="X175" s="9">
        <v>0</v>
      </c>
      <c r="Y175" s="6" t="str">
        <f>IF(B175="KEEP EXISTING","Already in POS",IF(O175&lt;=0,"Blocked: cost",IF(OR(R175&lt;=0,R175&gt;100000),"Blocked: retail",IF(U175="","Blocked: image",IF(Summary!$B$3="APPROVED","READY","Pending approval")))))</f>
        <v>Pending approval</v>
      </c>
      <c r="Z175" s="6" t="s">
        <v>438</v>
      </c>
    </row>
    <row r="176" spans="1:26" ht="29.25">
      <c r="A176" s="12" t="s">
        <v>455</v>
      </c>
      <c r="B176" s="6" t="s">
        <v>494</v>
      </c>
      <c r="C176" s="6"/>
      <c r="D176" s="6"/>
      <c r="E176" s="6" t="s">
        <v>519</v>
      </c>
      <c r="F176" s="6" t="s">
        <v>69</v>
      </c>
      <c r="G176" s="6" t="s">
        <v>93</v>
      </c>
      <c r="H176" s="6" t="s">
        <v>456</v>
      </c>
      <c r="I176" s="10" t="s">
        <v>456</v>
      </c>
      <c r="J176" s="10" t="s">
        <v>138</v>
      </c>
      <c r="K176" s="9" t="str">
        <f>"6970344731363"</f>
        <v>6970344731363</v>
      </c>
      <c r="L176" s="9" t="str">
        <f>"6970344731363"</f>
        <v>6970344731363</v>
      </c>
      <c r="M176" s="12" t="s">
        <v>496</v>
      </c>
      <c r="N176" s="8">
        <v>19.8</v>
      </c>
      <c r="O176" s="11">
        <f>IF(B176="KEEP EXISTING",N176,'Cost Review'!H171)</f>
        <v>19.8</v>
      </c>
      <c r="P176" s="8" t="str">
        <f t="shared" si="17"/>
        <v>REVIEW</v>
      </c>
      <c r="Q176" s="8">
        <v>49.99</v>
      </c>
      <c r="R176" s="11">
        <f>IF(B176="KEEP EXISTING",Q176,'Cost Review'!J171)</f>
        <v>49.99</v>
      </c>
      <c r="S176" s="6" t="str">
        <f t="shared" si="18"/>
        <v>OK</v>
      </c>
      <c r="T176" s="9" t="str">
        <f>"6970344731363"</f>
        <v>6970344731363</v>
      </c>
      <c r="U176" s="10" t="s">
        <v>709</v>
      </c>
      <c r="V176" s="6" t="str">
        <f t="shared" si="19"/>
        <v>FOUND</v>
      </c>
      <c r="W176" s="9">
        <v>12</v>
      </c>
      <c r="X176" s="9">
        <v>0</v>
      </c>
      <c r="Y176" s="6" t="str">
        <f>IF(B176="KEEP EXISTING","Already in POS",IF(O176&lt;=0,"Blocked: cost",IF(OR(R176&lt;=0,R176&gt;100000),"Blocked: retail",IF(U176="","Blocked: image",IF(Summary!$B$3="APPROVED","READY","Pending approval")))))</f>
        <v>Pending approval</v>
      </c>
      <c r="Z176" s="6" t="s">
        <v>105</v>
      </c>
    </row>
    <row r="177" spans="1:26" ht="29.25">
      <c r="A177" s="12" t="s">
        <v>457</v>
      </c>
      <c r="B177" s="6" t="s">
        <v>494</v>
      </c>
      <c r="C177" s="6"/>
      <c r="D177" s="6"/>
      <c r="E177" s="6" t="s">
        <v>710</v>
      </c>
      <c r="F177" s="6" t="s">
        <v>54</v>
      </c>
      <c r="G177" s="6" t="s">
        <v>459</v>
      </c>
      <c r="H177" s="6" t="s">
        <v>458</v>
      </c>
      <c r="I177" s="10" t="s">
        <v>458</v>
      </c>
      <c r="J177" s="10" t="s">
        <v>39</v>
      </c>
      <c r="K177" s="9" t="str">
        <f>"328691755727"</f>
        <v>328691755727</v>
      </c>
      <c r="L177" s="9" t="str">
        <f>"328691755727"</f>
        <v>328691755727</v>
      </c>
      <c r="M177" s="12" t="s">
        <v>496</v>
      </c>
      <c r="N177" s="8">
        <v>5</v>
      </c>
      <c r="O177" s="11">
        <f>IF(B177="KEEP EXISTING",N177,'Cost Review'!H172)</f>
        <v>5</v>
      </c>
      <c r="P177" s="8" t="str">
        <f t="shared" si="17"/>
        <v>REVIEW</v>
      </c>
      <c r="Q177" s="8">
        <v>30</v>
      </c>
      <c r="R177" s="11">
        <f>IF(B177="KEEP EXISTING",Q177,'Cost Review'!J172)</f>
        <v>30</v>
      </c>
      <c r="S177" s="6" t="str">
        <f t="shared" si="18"/>
        <v>OK</v>
      </c>
      <c r="T177" s="9" t="str">
        <f>"328691755727"</f>
        <v>328691755727</v>
      </c>
      <c r="U177" s="10" t="s">
        <v>711</v>
      </c>
      <c r="V177" s="6" t="str">
        <f t="shared" si="19"/>
        <v>FOUND</v>
      </c>
      <c r="W177" s="9">
        <v>0</v>
      </c>
      <c r="X177" s="9">
        <v>0</v>
      </c>
      <c r="Y177" s="6" t="str">
        <f>IF(B177="KEEP EXISTING","Already in POS",IF(O177&lt;=0,"Blocked: cost",IF(OR(R177&lt;=0,R177&gt;100000),"Blocked: retail",IF(U177="","Blocked: image",IF(Summary!$B$3="APPROVED","READY","Pending approval")))))</f>
        <v>Pending approval</v>
      </c>
      <c r="Z177" s="6" t="s">
        <v>460</v>
      </c>
    </row>
    <row r="178" spans="1:26" ht="29.25">
      <c r="A178" s="12" t="s">
        <v>461</v>
      </c>
      <c r="B178" s="6" t="s">
        <v>494</v>
      </c>
      <c r="C178" s="6"/>
      <c r="D178" s="6"/>
      <c r="E178" s="6" t="s">
        <v>710</v>
      </c>
      <c r="F178" s="6" t="s">
        <v>54</v>
      </c>
      <c r="G178" s="6" t="s">
        <v>459</v>
      </c>
      <c r="H178" s="6" t="s">
        <v>462</v>
      </c>
      <c r="I178" s="10" t="s">
        <v>462</v>
      </c>
      <c r="J178" s="10" t="s">
        <v>39</v>
      </c>
      <c r="K178" s="9" t="str">
        <f>"550472159749"</f>
        <v>550472159749</v>
      </c>
      <c r="L178" s="9" t="str">
        <f>"550472159749"</f>
        <v>550472159749</v>
      </c>
      <c r="M178" s="12" t="s">
        <v>496</v>
      </c>
      <c r="N178" s="8">
        <v>5</v>
      </c>
      <c r="O178" s="11">
        <f>IF(B178="KEEP EXISTING",N178,'Cost Review'!H173)</f>
        <v>5</v>
      </c>
      <c r="P178" s="8" t="str">
        <f t="shared" si="17"/>
        <v>REVIEW</v>
      </c>
      <c r="Q178" s="8">
        <v>30</v>
      </c>
      <c r="R178" s="11">
        <f>IF(B178="KEEP EXISTING",Q178,'Cost Review'!J173)</f>
        <v>30</v>
      </c>
      <c r="S178" s="6" t="str">
        <f t="shared" si="18"/>
        <v>OK</v>
      </c>
      <c r="T178" s="9" t="str">
        <f>"550472159749"</f>
        <v>550472159749</v>
      </c>
      <c r="U178" s="10" t="s">
        <v>712</v>
      </c>
      <c r="V178" s="6" t="str">
        <f t="shared" si="19"/>
        <v>FOUND</v>
      </c>
      <c r="W178" s="9">
        <v>0</v>
      </c>
      <c r="X178" s="9">
        <v>0</v>
      </c>
      <c r="Y178" s="6" t="str">
        <f>IF(B178="KEEP EXISTING","Already in POS",IF(O178&lt;=0,"Blocked: cost",IF(OR(R178&lt;=0,R178&gt;100000),"Blocked: retail",IF(U178="","Blocked: image",IF(Summary!$B$3="APPROVED","READY","Pending approval")))))</f>
        <v>Pending approval</v>
      </c>
      <c r="Z178" s="6" t="s">
        <v>460</v>
      </c>
    </row>
    <row r="179" spans="1:26" ht="29.25">
      <c r="A179" s="12" t="s">
        <v>463</v>
      </c>
      <c r="B179" s="6" t="s">
        <v>494</v>
      </c>
      <c r="C179" s="6"/>
      <c r="D179" s="6"/>
      <c r="E179" s="6" t="s">
        <v>710</v>
      </c>
      <c r="F179" s="6" t="s">
        <v>54</v>
      </c>
      <c r="G179" s="6" t="s">
        <v>459</v>
      </c>
      <c r="H179" s="6" t="s">
        <v>464</v>
      </c>
      <c r="I179" s="10" t="s">
        <v>464</v>
      </c>
      <c r="J179" s="10" t="s">
        <v>39</v>
      </c>
      <c r="K179" s="9" t="str">
        <f>"914283473324"</f>
        <v>914283473324</v>
      </c>
      <c r="L179" s="9" t="str">
        <f>"914283473324"</f>
        <v>914283473324</v>
      </c>
      <c r="M179" s="12" t="s">
        <v>496</v>
      </c>
      <c r="N179" s="8">
        <v>5</v>
      </c>
      <c r="O179" s="11">
        <f>IF(B179="KEEP EXISTING",N179,'Cost Review'!H174)</f>
        <v>5</v>
      </c>
      <c r="P179" s="8" t="str">
        <f t="shared" si="17"/>
        <v>REVIEW</v>
      </c>
      <c r="Q179" s="8">
        <v>30</v>
      </c>
      <c r="R179" s="11">
        <f>IF(B179="KEEP EXISTING",Q179,'Cost Review'!J174)</f>
        <v>30</v>
      </c>
      <c r="S179" s="6" t="str">
        <f t="shared" si="18"/>
        <v>OK</v>
      </c>
      <c r="T179" s="9" t="str">
        <f>"914283473324"</f>
        <v>914283473324</v>
      </c>
      <c r="U179" s="10" t="s">
        <v>713</v>
      </c>
      <c r="V179" s="6" t="str">
        <f t="shared" si="19"/>
        <v>FOUND</v>
      </c>
      <c r="W179" s="9">
        <v>0</v>
      </c>
      <c r="X179" s="9">
        <v>0</v>
      </c>
      <c r="Y179" s="6" t="str">
        <f>IF(B179="KEEP EXISTING","Already in POS",IF(O179&lt;=0,"Blocked: cost",IF(OR(R179&lt;=0,R179&gt;100000),"Blocked: retail",IF(U179="","Blocked: image",IF(Summary!$B$3="APPROVED","READY","Pending approval")))))</f>
        <v>Pending approval</v>
      </c>
      <c r="Z179" s="6" t="s">
        <v>460</v>
      </c>
    </row>
    <row r="180" spans="1:26" ht="29.25">
      <c r="A180" s="12" t="s">
        <v>465</v>
      </c>
      <c r="B180" s="6" t="s">
        <v>494</v>
      </c>
      <c r="C180" s="6"/>
      <c r="D180" s="6"/>
      <c r="E180" s="6" t="s">
        <v>710</v>
      </c>
      <c r="F180" s="6" t="s">
        <v>54</v>
      </c>
      <c r="G180" s="6" t="s">
        <v>459</v>
      </c>
      <c r="H180" s="6" t="s">
        <v>466</v>
      </c>
      <c r="I180" s="10" t="s">
        <v>466</v>
      </c>
      <c r="J180" s="10" t="s">
        <v>39</v>
      </c>
      <c r="K180" s="9" t="str">
        <f>"173359217846"</f>
        <v>173359217846</v>
      </c>
      <c r="L180" s="9" t="str">
        <f>"173359217846"</f>
        <v>173359217846</v>
      </c>
      <c r="M180" s="12" t="s">
        <v>496</v>
      </c>
      <c r="N180" s="8">
        <v>5</v>
      </c>
      <c r="O180" s="11">
        <f>IF(B180="KEEP EXISTING",N180,'Cost Review'!H175)</f>
        <v>5</v>
      </c>
      <c r="P180" s="8" t="str">
        <f t="shared" si="17"/>
        <v>REVIEW</v>
      </c>
      <c r="Q180" s="8">
        <v>30</v>
      </c>
      <c r="R180" s="11">
        <f>IF(B180="KEEP EXISTING",Q180,'Cost Review'!J175)</f>
        <v>30</v>
      </c>
      <c r="S180" s="6" t="str">
        <f t="shared" si="18"/>
        <v>OK</v>
      </c>
      <c r="T180" s="9" t="str">
        <f>"173359217846"</f>
        <v>173359217846</v>
      </c>
      <c r="U180" s="10" t="s">
        <v>714</v>
      </c>
      <c r="V180" s="6" t="str">
        <f t="shared" si="19"/>
        <v>FOUND</v>
      </c>
      <c r="W180" s="9">
        <v>0</v>
      </c>
      <c r="X180" s="9">
        <v>0</v>
      </c>
      <c r="Y180" s="6" t="str">
        <f>IF(B180="KEEP EXISTING","Already in POS",IF(O180&lt;=0,"Blocked: cost",IF(OR(R180&lt;=0,R180&gt;100000),"Blocked: retail",IF(U180="","Blocked: image",IF(Summary!$B$3="APPROVED","READY","Pending approval")))))</f>
        <v>Pending approval</v>
      </c>
      <c r="Z180" s="6" t="s">
        <v>460</v>
      </c>
    </row>
    <row r="181" spans="1:26" ht="29.25">
      <c r="A181" s="12" t="s">
        <v>467</v>
      </c>
      <c r="B181" s="6" t="s">
        <v>494</v>
      </c>
      <c r="C181" s="6"/>
      <c r="D181" s="6"/>
      <c r="E181" s="6" t="s">
        <v>710</v>
      </c>
      <c r="F181" s="6" t="s">
        <v>54</v>
      </c>
      <c r="G181" s="6" t="s">
        <v>459</v>
      </c>
      <c r="H181" s="6" t="s">
        <v>468</v>
      </c>
      <c r="I181" s="10" t="s">
        <v>468</v>
      </c>
      <c r="J181" s="10" t="s">
        <v>39</v>
      </c>
      <c r="K181" s="9" t="str">
        <f>"320984572653"</f>
        <v>320984572653</v>
      </c>
      <c r="L181" s="9" t="str">
        <f>"320984572653"</f>
        <v>320984572653</v>
      </c>
      <c r="M181" s="12" t="s">
        <v>496</v>
      </c>
      <c r="N181" s="8">
        <v>5</v>
      </c>
      <c r="O181" s="11">
        <f>IF(B181="KEEP EXISTING",N181,'Cost Review'!H176)</f>
        <v>5</v>
      </c>
      <c r="P181" s="8" t="str">
        <f t="shared" si="17"/>
        <v>REVIEW</v>
      </c>
      <c r="Q181" s="8">
        <v>30</v>
      </c>
      <c r="R181" s="11">
        <f>IF(B181="KEEP EXISTING",Q181,'Cost Review'!J176)</f>
        <v>30</v>
      </c>
      <c r="S181" s="6" t="str">
        <f t="shared" si="18"/>
        <v>OK</v>
      </c>
      <c r="T181" s="9" t="str">
        <f>"320984572653"</f>
        <v>320984572653</v>
      </c>
      <c r="U181" s="10" t="s">
        <v>715</v>
      </c>
      <c r="V181" s="6" t="str">
        <f t="shared" si="19"/>
        <v>FOUND</v>
      </c>
      <c r="W181" s="9">
        <v>2</v>
      </c>
      <c r="X181" s="9">
        <v>0</v>
      </c>
      <c r="Y181" s="6" t="str">
        <f>IF(B181="KEEP EXISTING","Already in POS",IF(O181&lt;=0,"Blocked: cost",IF(OR(R181&lt;=0,R181&gt;100000),"Blocked: retail",IF(U181="","Blocked: image",IF(Summary!$B$3="APPROVED","READY","Pending approval")))))</f>
        <v>Pending approval</v>
      </c>
      <c r="Z181" s="6" t="s">
        <v>469</v>
      </c>
    </row>
    <row r="182" spans="1:26" ht="29.25">
      <c r="A182" s="12" t="s">
        <v>470</v>
      </c>
      <c r="B182" s="6" t="s">
        <v>494</v>
      </c>
      <c r="C182" s="6"/>
      <c r="D182" s="6"/>
      <c r="E182" s="6" t="s">
        <v>710</v>
      </c>
      <c r="F182" s="6" t="s">
        <v>54</v>
      </c>
      <c r="G182" s="6" t="s">
        <v>459</v>
      </c>
      <c r="H182" s="6" t="s">
        <v>471</v>
      </c>
      <c r="I182" s="10" t="s">
        <v>471</v>
      </c>
      <c r="J182" s="10" t="s">
        <v>39</v>
      </c>
      <c r="K182" s="9" t="str">
        <f>"022541446321"</f>
        <v>022541446321</v>
      </c>
      <c r="L182" s="9" t="str">
        <f>"022541446321"</f>
        <v>022541446321</v>
      </c>
      <c r="M182" s="12" t="s">
        <v>496</v>
      </c>
      <c r="N182" s="8">
        <v>5</v>
      </c>
      <c r="O182" s="11">
        <f>IF(B182="KEEP EXISTING",N182,'Cost Review'!H177)</f>
        <v>5</v>
      </c>
      <c r="P182" s="8" t="str">
        <f t="shared" si="17"/>
        <v>REVIEW</v>
      </c>
      <c r="Q182" s="8">
        <v>30</v>
      </c>
      <c r="R182" s="11">
        <f>IF(B182="KEEP EXISTING",Q182,'Cost Review'!J177)</f>
        <v>30</v>
      </c>
      <c r="S182" s="6" t="str">
        <f t="shared" si="18"/>
        <v>OK</v>
      </c>
      <c r="T182" s="9" t="str">
        <f>"022541446321"</f>
        <v>022541446321</v>
      </c>
      <c r="U182" s="10" t="s">
        <v>716</v>
      </c>
      <c r="V182" s="6" t="str">
        <f t="shared" si="19"/>
        <v>FOUND</v>
      </c>
      <c r="W182" s="9">
        <v>1</v>
      </c>
      <c r="X182" s="9">
        <v>0</v>
      </c>
      <c r="Y182" s="6" t="str">
        <f>IF(B182="KEEP EXISTING","Already in POS",IF(O182&lt;=0,"Blocked: cost",IF(OR(R182&lt;=0,R182&gt;100000),"Blocked: retail",IF(U182="","Blocked: image",IF(Summary!$B$3="APPROVED","READY","Pending approval")))))</f>
        <v>Pending approval</v>
      </c>
      <c r="Z182" s="6" t="s">
        <v>472</v>
      </c>
    </row>
    <row r="183" spans="1:26" ht="43.5">
      <c r="A183" s="12" t="s">
        <v>473</v>
      </c>
      <c r="B183" s="6" t="s">
        <v>494</v>
      </c>
      <c r="C183" s="6"/>
      <c r="D183" s="6"/>
      <c r="E183" s="6" t="s">
        <v>710</v>
      </c>
      <c r="F183" s="6" t="s">
        <v>54</v>
      </c>
      <c r="G183" s="6" t="s">
        <v>459</v>
      </c>
      <c r="H183" s="6" t="s">
        <v>474</v>
      </c>
      <c r="I183" s="10" t="s">
        <v>474</v>
      </c>
      <c r="J183" s="10" t="s">
        <v>39</v>
      </c>
      <c r="K183" s="9" t="str">
        <f>"504486006018"</f>
        <v>504486006018</v>
      </c>
      <c r="L183" s="9" t="str">
        <f>"504486006018"</f>
        <v>504486006018</v>
      </c>
      <c r="M183" s="12" t="s">
        <v>496</v>
      </c>
      <c r="N183" s="8">
        <v>0</v>
      </c>
      <c r="O183" s="11">
        <f>IF(B183="KEEP EXISTING",N183,'Cost Review'!H178)</f>
        <v>5</v>
      </c>
      <c r="P183" s="8" t="str">
        <f t="shared" si="17"/>
        <v>REVIEW</v>
      </c>
      <c r="Q183" s="8">
        <v>30</v>
      </c>
      <c r="R183" s="11">
        <f>IF(B183="KEEP EXISTING",Q183,'Cost Review'!J178)</f>
        <v>30</v>
      </c>
      <c r="S183" s="6" t="str">
        <f t="shared" si="18"/>
        <v>OK</v>
      </c>
      <c r="T183" s="9" t="str">
        <f>"504486006018"</f>
        <v>504486006018</v>
      </c>
      <c r="U183" s="10" t="s">
        <v>717</v>
      </c>
      <c r="V183" s="6" t="str">
        <f t="shared" si="19"/>
        <v>FOUND</v>
      </c>
      <c r="W183" s="9">
        <v>1</v>
      </c>
      <c r="X183" s="9">
        <v>0</v>
      </c>
      <c r="Y183" s="6" t="str">
        <f>IF(B183="KEEP EXISTING","Already in POS",IF(O183&lt;=0,"Blocked: cost",IF(OR(R183&lt;=0,R183&gt;100000),"Blocked: retail",IF(U183="","Blocked: image",IF(Summary!$B$3="APPROVED","READY","Pending approval")))))</f>
        <v>Pending approval</v>
      </c>
      <c r="Z183" s="6" t="s">
        <v>475</v>
      </c>
    </row>
    <row r="184" spans="1:26" ht="29.25">
      <c r="A184" s="12" t="s">
        <v>476</v>
      </c>
      <c r="B184" s="6" t="s">
        <v>494</v>
      </c>
      <c r="C184" s="6"/>
      <c r="D184" s="6"/>
      <c r="E184" s="6" t="s">
        <v>710</v>
      </c>
      <c r="F184" s="6" t="s">
        <v>54</v>
      </c>
      <c r="G184" s="6" t="s">
        <v>459</v>
      </c>
      <c r="H184" s="6" t="s">
        <v>477</v>
      </c>
      <c r="I184" s="10" t="s">
        <v>477</v>
      </c>
      <c r="J184" s="10" t="s">
        <v>39</v>
      </c>
      <c r="K184" s="9" t="str">
        <f>"651918577018"</f>
        <v>651918577018</v>
      </c>
      <c r="L184" s="9" t="str">
        <f>"651918577018"</f>
        <v>651918577018</v>
      </c>
      <c r="M184" s="12" t="s">
        <v>496</v>
      </c>
      <c r="N184" s="8">
        <v>5</v>
      </c>
      <c r="O184" s="11">
        <f>IF(B184="KEEP EXISTING",N184,'Cost Review'!H179)</f>
        <v>5</v>
      </c>
      <c r="P184" s="8" t="str">
        <f t="shared" si="17"/>
        <v>REVIEW</v>
      </c>
      <c r="Q184" s="8">
        <v>30</v>
      </c>
      <c r="R184" s="11">
        <f>IF(B184="KEEP EXISTING",Q184,'Cost Review'!J179)</f>
        <v>30</v>
      </c>
      <c r="S184" s="6" t="str">
        <f t="shared" si="18"/>
        <v>OK</v>
      </c>
      <c r="T184" s="9" t="str">
        <f>"651918577018"</f>
        <v>651918577018</v>
      </c>
      <c r="U184" s="10" t="s">
        <v>718</v>
      </c>
      <c r="V184" s="6" t="str">
        <f t="shared" si="19"/>
        <v>FOUND</v>
      </c>
      <c r="W184" s="9">
        <v>3</v>
      </c>
      <c r="X184" s="9">
        <v>0</v>
      </c>
      <c r="Y184" s="6" t="str">
        <f>IF(B184="KEEP EXISTING","Already in POS",IF(O184&lt;=0,"Blocked: cost",IF(OR(R184&lt;=0,R184&gt;100000),"Blocked: retail",IF(U184="","Blocked: image",IF(Summary!$B$3="APPROVED","READY","Pending approval")))))</f>
        <v>Pending approval</v>
      </c>
      <c r="Z184" s="6" t="s">
        <v>478</v>
      </c>
    </row>
  </sheetData>
  <phoneticPr fontId="9" type="noConversion"/>
  <conditionalFormatting sqref="B2:B184">
    <cfRule type="containsText" dxfId="5" priority="6" operator="containsText" text="KEEP EXISTING"/>
  </conditionalFormatting>
  <conditionalFormatting sqref="P2:P184">
    <cfRule type="containsText" dxfId="4" priority="1" operator="containsText" text="MISSING"/>
  </conditionalFormatting>
  <conditionalFormatting sqref="S2:S184">
    <cfRule type="containsText" dxfId="3" priority="2" operator="containsText" text="CHECK"/>
  </conditionalFormatting>
  <conditionalFormatting sqref="V2:V184">
    <cfRule type="containsText" dxfId="2" priority="3" operator="containsText" text="MISSING"/>
  </conditionalFormatting>
  <conditionalFormatting sqref="Y2:Y184">
    <cfRule type="containsText" dxfId="1" priority="4" operator="containsText" text="Blocked"/>
    <cfRule type="containsText" dxfId="0" priority="5" operator="containsText" text="READY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"/>
  <sheetViews>
    <sheetView showGridLines="0" workbookViewId="0"/>
  </sheetViews>
  <sheetFormatPr defaultRowHeight="14.25"/>
  <cols>
    <col min="1" max="2" width="18" customWidth="1"/>
    <col min="3" max="3" width="48" customWidth="1"/>
    <col min="4" max="6" width="24" customWidth="1"/>
    <col min="7" max="7" width="20" customWidth="1"/>
    <col min="8" max="8" width="46" customWidth="1"/>
  </cols>
  <sheetData>
    <row r="1" spans="1:8" ht="30">
      <c r="A1" s="13" t="s">
        <v>719</v>
      </c>
      <c r="B1" s="13" t="s">
        <v>23</v>
      </c>
      <c r="C1" s="13" t="s">
        <v>25</v>
      </c>
      <c r="D1" s="13" t="s">
        <v>27</v>
      </c>
      <c r="E1" s="13" t="s">
        <v>28</v>
      </c>
      <c r="F1" s="13" t="s">
        <v>26</v>
      </c>
      <c r="G1" s="13" t="s">
        <v>720</v>
      </c>
      <c r="H1" s="13" t="s">
        <v>721</v>
      </c>
    </row>
    <row r="2" spans="1:8" ht="29.25">
      <c r="A2" s="6">
        <v>33</v>
      </c>
      <c r="B2" s="6" t="s">
        <v>131</v>
      </c>
      <c r="C2" s="6" t="s">
        <v>132</v>
      </c>
      <c r="D2" s="6" t="s">
        <v>54</v>
      </c>
      <c r="E2" s="6" t="s">
        <v>55</v>
      </c>
      <c r="F2" s="6" t="s">
        <v>84</v>
      </c>
      <c r="G2" s="4" t="s">
        <v>722</v>
      </c>
      <c r="H2" s="6" t="s">
        <v>723</v>
      </c>
    </row>
    <row r="3" spans="1:8" ht="29.25">
      <c r="A3" s="6">
        <v>77</v>
      </c>
      <c r="B3" s="6" t="s">
        <v>224</v>
      </c>
      <c r="C3" s="6" t="s">
        <v>225</v>
      </c>
      <c r="D3" s="6" t="s">
        <v>54</v>
      </c>
      <c r="E3" s="6" t="s">
        <v>55</v>
      </c>
      <c r="F3" s="6" t="s">
        <v>226</v>
      </c>
      <c r="G3" s="4" t="s">
        <v>722</v>
      </c>
      <c r="H3" s="6" t="s">
        <v>724</v>
      </c>
    </row>
    <row r="4" spans="1:8" ht="29.25">
      <c r="A4" s="6">
        <v>78</v>
      </c>
      <c r="B4" s="6" t="s">
        <v>228</v>
      </c>
      <c r="C4" s="6" t="s">
        <v>229</v>
      </c>
      <c r="D4" s="6" t="s">
        <v>54</v>
      </c>
      <c r="E4" s="6" t="s">
        <v>216</v>
      </c>
      <c r="F4" s="6" t="s">
        <v>84</v>
      </c>
      <c r="G4" s="4" t="s">
        <v>722</v>
      </c>
      <c r="H4" s="6" t="s">
        <v>725</v>
      </c>
    </row>
    <row r="5" spans="1:8" ht="15">
      <c r="A5" s="6">
        <v>79</v>
      </c>
      <c r="B5" s="6" t="s">
        <v>231</v>
      </c>
      <c r="C5" s="6" t="s">
        <v>232</v>
      </c>
      <c r="D5" s="6" t="s">
        <v>54</v>
      </c>
      <c r="E5" s="6" t="s">
        <v>55</v>
      </c>
      <c r="F5" s="6" t="s">
        <v>226</v>
      </c>
      <c r="G5" s="4" t="s">
        <v>722</v>
      </c>
      <c r="H5" s="6" t="s">
        <v>726</v>
      </c>
    </row>
    <row r="6" spans="1:8" ht="15">
      <c r="A6" s="6">
        <v>80</v>
      </c>
      <c r="B6" s="6" t="s">
        <v>233</v>
      </c>
      <c r="C6" s="6" t="s">
        <v>234</v>
      </c>
      <c r="D6" s="6" t="s">
        <v>54</v>
      </c>
      <c r="E6" s="6" t="s">
        <v>55</v>
      </c>
      <c r="F6" s="6" t="s">
        <v>226</v>
      </c>
      <c r="G6" s="4" t="s">
        <v>722</v>
      </c>
      <c r="H6" s="6" t="s">
        <v>727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showGridLines="0" workbookViewId="0">
      <selection activeCell="A2" sqref="A2:E4"/>
    </sheetView>
  </sheetViews>
  <sheetFormatPr defaultRowHeight="14.25"/>
  <cols>
    <col min="1" max="1" width="46" customWidth="1"/>
    <col min="2" max="3" width="28" customWidth="1"/>
    <col min="4" max="4" width="54" customWidth="1"/>
    <col min="5" max="5" width="16" customWidth="1"/>
  </cols>
  <sheetData>
    <row r="1" spans="1:5" ht="15">
      <c r="A1" s="5" t="s">
        <v>728</v>
      </c>
      <c r="B1" s="5" t="s">
        <v>27</v>
      </c>
      <c r="C1" s="5" t="s">
        <v>28</v>
      </c>
      <c r="D1" s="5" t="s">
        <v>729</v>
      </c>
      <c r="E1" s="5" t="s">
        <v>730</v>
      </c>
    </row>
    <row r="2" spans="1:5">
      <c r="A2" s="6" t="s">
        <v>731</v>
      </c>
      <c r="B2" s="6" t="s">
        <v>40</v>
      </c>
      <c r="C2" s="6" t="s">
        <v>375</v>
      </c>
      <c r="D2" s="6" t="s">
        <v>732</v>
      </c>
      <c r="E2" s="6" t="s">
        <v>733</v>
      </c>
    </row>
    <row r="3" spans="1:5">
      <c r="A3" s="6" t="s">
        <v>734</v>
      </c>
      <c r="B3" s="6" t="s">
        <v>40</v>
      </c>
      <c r="C3" s="6" t="s">
        <v>388</v>
      </c>
      <c r="D3" s="6" t="s">
        <v>735</v>
      </c>
      <c r="E3" s="6" t="s">
        <v>733</v>
      </c>
    </row>
    <row r="4" spans="1:5">
      <c r="A4" s="6" t="s">
        <v>736</v>
      </c>
      <c r="B4" s="6" t="s">
        <v>40</v>
      </c>
      <c r="C4" s="6" t="s">
        <v>41</v>
      </c>
      <c r="D4" s="6" t="s">
        <v>737</v>
      </c>
      <c r="E4" s="6" t="s">
        <v>733</v>
      </c>
    </row>
    <row r="5" spans="1:5" ht="28.5">
      <c r="A5" s="6" t="s">
        <v>738</v>
      </c>
      <c r="B5" s="6" t="s">
        <v>54</v>
      </c>
      <c r="C5" s="6" t="s">
        <v>55</v>
      </c>
      <c r="D5" s="6" t="s">
        <v>739</v>
      </c>
      <c r="E5" s="6">
        <v>29</v>
      </c>
    </row>
    <row r="6" spans="1:5" ht="28.5">
      <c r="A6" s="6" t="s">
        <v>740</v>
      </c>
      <c r="B6" s="6" t="s">
        <v>54</v>
      </c>
      <c r="C6" s="6" t="s">
        <v>60</v>
      </c>
      <c r="D6" s="6" t="s">
        <v>741</v>
      </c>
      <c r="E6" s="6">
        <v>44</v>
      </c>
    </row>
    <row r="7" spans="1:5">
      <c r="A7" s="6" t="s">
        <v>742</v>
      </c>
      <c r="B7" s="6" t="s">
        <v>54</v>
      </c>
      <c r="C7" s="6" t="s">
        <v>65</v>
      </c>
      <c r="D7" s="6" t="s">
        <v>743</v>
      </c>
      <c r="E7" s="6">
        <v>4</v>
      </c>
    </row>
    <row r="8" spans="1:5">
      <c r="A8" s="6" t="s">
        <v>744</v>
      </c>
      <c r="B8" s="6" t="s">
        <v>54</v>
      </c>
      <c r="C8" s="6" t="s">
        <v>216</v>
      </c>
      <c r="D8" s="6" t="s">
        <v>745</v>
      </c>
      <c r="E8" s="6">
        <v>8</v>
      </c>
    </row>
    <row r="9" spans="1:5">
      <c r="A9" s="6" t="s">
        <v>746</v>
      </c>
      <c r="B9" s="6" t="s">
        <v>54</v>
      </c>
      <c r="C9" s="6" t="s">
        <v>74</v>
      </c>
      <c r="D9" s="6" t="s">
        <v>747</v>
      </c>
      <c r="E9" s="6">
        <v>16</v>
      </c>
    </row>
    <row r="10" spans="1:5">
      <c r="A10" s="6" t="s">
        <v>367</v>
      </c>
      <c r="B10" s="6" t="s">
        <v>40</v>
      </c>
      <c r="C10" s="6" t="s">
        <v>368</v>
      </c>
      <c r="D10" s="6" t="s">
        <v>748</v>
      </c>
      <c r="E10" s="6" t="s">
        <v>733</v>
      </c>
    </row>
    <row r="11" spans="1:5">
      <c r="A11" s="6" t="s">
        <v>749</v>
      </c>
      <c r="B11" s="6" t="s">
        <v>54</v>
      </c>
      <c r="C11" s="6" t="s">
        <v>125</v>
      </c>
      <c r="D11" s="6" t="s">
        <v>750</v>
      </c>
      <c r="E11" s="6">
        <v>11</v>
      </c>
    </row>
    <row r="12" spans="1:5">
      <c r="A12" s="6" t="s">
        <v>751</v>
      </c>
      <c r="B12" s="6" t="s">
        <v>54</v>
      </c>
      <c r="C12" s="6" t="s">
        <v>165</v>
      </c>
      <c r="D12" s="6" t="s">
        <v>752</v>
      </c>
      <c r="E12" s="6">
        <v>14</v>
      </c>
    </row>
    <row r="13" spans="1:5">
      <c r="A13" s="6" t="s">
        <v>753</v>
      </c>
      <c r="B13" s="6" t="s">
        <v>54</v>
      </c>
      <c r="C13" s="6" t="s">
        <v>459</v>
      </c>
      <c r="D13" s="6" t="s">
        <v>754</v>
      </c>
      <c r="E13" s="6">
        <v>8</v>
      </c>
    </row>
    <row r="14" spans="1:5" ht="28.5">
      <c r="A14" s="6" t="s">
        <v>755</v>
      </c>
      <c r="B14" s="6" t="s">
        <v>69</v>
      </c>
      <c r="C14" s="6" t="s">
        <v>756</v>
      </c>
      <c r="D14" s="6" t="s">
        <v>757</v>
      </c>
      <c r="E14" s="6">
        <v>11</v>
      </c>
    </row>
    <row r="15" spans="1:5">
      <c r="A15" s="6" t="s">
        <v>758</v>
      </c>
      <c r="B15" s="6" t="s">
        <v>69</v>
      </c>
      <c r="C15" s="6" t="s">
        <v>759</v>
      </c>
      <c r="D15" s="6" t="s">
        <v>760</v>
      </c>
      <c r="E15" s="6">
        <v>2</v>
      </c>
    </row>
    <row r="16" spans="1:5">
      <c r="A16" s="6" t="s">
        <v>761</v>
      </c>
      <c r="B16" s="6" t="s">
        <v>89</v>
      </c>
      <c r="C16" s="6" t="s">
        <v>90</v>
      </c>
      <c r="D16" s="6" t="s">
        <v>762</v>
      </c>
      <c r="E16" s="6">
        <v>3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Cost Review</vt:lpstr>
      <vt:lpstr>Product Review</vt:lpstr>
      <vt:lpstr>Missing Images</vt:lpstr>
      <vt:lpstr>Classification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Bevan Miao</cp:lastModifiedBy>
  <dcterms:modified xsi:type="dcterms:W3CDTF">2026-08-11T14:29:48Z</dcterms:modified>
</cp:coreProperties>
</file>