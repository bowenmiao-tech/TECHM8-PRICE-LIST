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gram\TECHM8 PRICE LIST\outputs\phone-case-catalog-20260817\"/>
    </mc:Choice>
  </mc:AlternateContent>
  <xr:revisionPtr revIDLastSave="0" documentId="13_ncr:1_{310C3CBE-694F-4042-A168-91DD2E165240}" xr6:coauthVersionLast="47" xr6:coauthVersionMax="47" xr10:uidLastSave="{00000000-0000-0000-0000-000000000000}"/>
  <bookViews>
    <workbookView xWindow="-120" yWindow="-120" windowWidth="38640" windowHeight="21120" activeTab="2" xr2:uid="{00000000-000D-0000-FFFF-FFFF00000000}"/>
  </bookViews>
  <sheets>
    <sheet name="Summary" sheetId="1" r:id="rId1"/>
    <sheet name="Needs Your Input" sheetId="2" r:id="rId2"/>
    <sheet name="Cost To Confirm" sheetId="3" r:id="rId3"/>
    <sheet name="Imported Products" sheetId="4" r:id="rId4"/>
    <sheet name="Cost Cross-check" sheetId="5" r:id="rId5"/>
    <sheet name="Duplicate Audit" sheetId="6" r:id="rId6"/>
    <sheet name="Not Phone Case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8" i="3" l="1"/>
  <c r="J37" i="3"/>
  <c r="J36" i="3"/>
  <c r="J35" i="3"/>
  <c r="J34" i="3"/>
  <c r="J33" i="3"/>
  <c r="J32" i="3"/>
  <c r="J31" i="3"/>
  <c r="J30" i="3"/>
  <c r="J29" i="3"/>
  <c r="J28" i="3"/>
  <c r="J27" i="3"/>
  <c r="J26" i="3"/>
  <c r="J25" i="3"/>
  <c r="J24" i="3"/>
  <c r="J23" i="3"/>
  <c r="J22" i="3"/>
  <c r="J21" i="3"/>
  <c r="J20" i="3"/>
  <c r="J19" i="3"/>
  <c r="J18" i="3"/>
  <c r="J17" i="3"/>
  <c r="J16" i="3"/>
  <c r="J15" i="3"/>
  <c r="J14" i="3"/>
  <c r="J13" i="3"/>
  <c r="J12" i="3"/>
  <c r="J11" i="3"/>
  <c r="J10" i="3"/>
  <c r="J9" i="3"/>
  <c r="J8" i="3"/>
  <c r="J7" i="3"/>
  <c r="J6" i="3"/>
  <c r="J5" i="3"/>
  <c r="J4" i="3"/>
  <c r="J3" i="3"/>
  <c r="J2" i="3"/>
  <c r="P36" i="2"/>
  <c r="P35" i="2"/>
  <c r="P34" i="2"/>
  <c r="P33" i="2"/>
  <c r="P32" i="2"/>
  <c r="P31" i="2"/>
  <c r="P30" i="2"/>
  <c r="P29" i="2"/>
  <c r="P28" i="2"/>
  <c r="P27" i="2"/>
  <c r="P26" i="2"/>
  <c r="P25" i="2"/>
  <c r="P24" i="2"/>
  <c r="P23" i="2"/>
  <c r="P22" i="2"/>
  <c r="P21" i="2"/>
  <c r="P20" i="2"/>
  <c r="P19" i="2"/>
  <c r="P18" i="2"/>
  <c r="P17" i="2"/>
  <c r="P16" i="2"/>
  <c r="P15" i="2"/>
  <c r="P14" i="2"/>
  <c r="P13" i="2"/>
  <c r="P12" i="2"/>
  <c r="P11" i="2"/>
  <c r="P10" i="2"/>
  <c r="P9" i="2"/>
  <c r="P8" i="2"/>
  <c r="P7" i="2"/>
  <c r="P6" i="2"/>
  <c r="P5" i="2"/>
  <c r="P4" i="2"/>
  <c r="P3" i="2"/>
  <c r="P2" i="2"/>
</calcChain>
</file>

<file path=xl/sharedStrings.xml><?xml version="1.0" encoding="utf-8"?>
<sst xmlns="http://schemas.openxmlformats.org/spreadsheetml/2006/main" count="2543" uniqueCount="1053">
  <si>
    <t>TECHM8 Phone Case Import Review</t>
  </si>
  <si>
    <t>Metric</t>
  </si>
  <si>
    <t>Value</t>
  </si>
  <si>
    <t>Import Rules Applied</t>
  </si>
  <si>
    <t>Source rows checked</t>
  </si>
  <si>
    <t>Each device and case style is one POS card; colours are selectable variants.</t>
  </si>
  <si>
    <t>Products imported to POS</t>
  </si>
  <si>
    <t>The same device and case style uses one cost. Zero costs are filled only from a reliable matching group or style.</t>
  </si>
  <si>
    <t>Product groups created</t>
  </si>
  <si>
    <t>Conflicting costs, costs at or above retail, missing images, ambiguous device models, and zero retail prices are not imported.</t>
  </si>
  <si>
    <t>Device fit profiles</t>
  </si>
  <si>
    <t>All four stores and the online store start at zero stock. Zero stock can still be sold.</t>
  </si>
  <si>
    <t>Case style costs to confirm</t>
  </si>
  <si>
    <t>POS visibility is enabled; public website visibility remains disabled.</t>
  </si>
  <si>
    <t>Products needing model, image, or price input</t>
  </si>
  <si>
    <t>AirPods and AirTag accessories are excluded because they are not phone cases.</t>
  </si>
  <si>
    <t>Duplicate rows not imported twice</t>
  </si>
  <si>
    <t>The Needs Your Input sheet contains only rows that require a decision or missing data.</t>
  </si>
  <si>
    <t>Non-phone-case accessories excluded</t>
  </si>
  <si>
    <t>Imported with RepairDesk images</t>
  </si>
  <si>
    <t>Imported store stock</t>
  </si>
  <si>
    <t>Complete the yellow cells in Cost To Confirm and Needs Your Input, then return this workbook. Imported products do not need further review.</t>
  </si>
  <si>
    <t>Source Item ID</t>
  </si>
  <si>
    <t>Original Product Name</t>
  </si>
  <si>
    <t>Source Category</t>
  </si>
  <si>
    <t>Issue</t>
  </si>
  <si>
    <t>Proposed Device</t>
  </si>
  <si>
    <t>Proposed Case Style</t>
  </si>
  <si>
    <t>Source Cost</t>
  </si>
  <si>
    <t>Comparable Costs</t>
  </si>
  <si>
    <t>Suggested Cost</t>
  </si>
  <si>
    <t>Source Retail</t>
  </si>
  <si>
    <t>Final Retail</t>
  </si>
  <si>
    <t>Final Image URL</t>
  </si>
  <si>
    <t>Final Device / Compatibility</t>
  </si>
  <si>
    <t>Include?</t>
  </si>
  <si>
    <t>Notes</t>
  </si>
  <si>
    <t>Status</t>
  </si>
  <si>
    <t>8922</t>
  </si>
  <si>
    <t>iphone 15 Bluemoon Flip Case (any color)</t>
  </si>
  <si>
    <t>5. Phone Cases &gt; iPhone 15</t>
  </si>
  <si>
    <t>Cost must be confirmed because the comparable style cost is not below every retail price Retail price must be greater than zero.</t>
  </si>
  <si>
    <t>iPhone 15</t>
  </si>
  <si>
    <t>Flip Case</t>
  </si>
  <si>
    <t>$45.00 x 2</t>
  </si>
  <si>
    <t>https://dghyt15qon7us.cloudfront.net/images/productTheme/Inventory/small/1704765624.jpg</t>
  </si>
  <si>
    <t>Yes</t>
  </si>
  <si>
    <t>8520</t>
  </si>
  <si>
    <t>Samsung Z Flip5 Otter Box Symmetry Flex</t>
  </si>
  <si>
    <t>5. Phone Cases &gt; 111 Otter Box Symmetry</t>
  </si>
  <si>
    <t>Device/model is missing or ambiguous. Cost is missing.</t>
  </si>
  <si>
    <t>OtterBox Symmetry Case</t>
  </si>
  <si>
    <t>https://dghyt15qon7us.cloudfront.net/images/productTheme/Inventory/small/1692941863.jpg</t>
  </si>
  <si>
    <t>8372</t>
  </si>
  <si>
    <t>Magsafe Flower case</t>
  </si>
  <si>
    <t>5. Phone Cases</t>
  </si>
  <si>
    <t>MagSafe Flower Case</t>
  </si>
  <si>
    <t>https://dghyt15qon7us.cloudfront.net/images/productTheme/Inventory/small/1687314952.jpg</t>
  </si>
  <si>
    <t>8365</t>
  </si>
  <si>
    <t>iPhone 12/12 Pro Apple Logo Case Dark Green</t>
  </si>
  <si>
    <t>5. Phone Cases &gt; Iphone 12/12Pro</t>
  </si>
  <si>
    <t>Product image is missing. Comparable case style has conflicting costs</t>
  </si>
  <si>
    <t>iPhone 12 / 12 Pro</t>
  </si>
  <si>
    <t>Apple Logo Case</t>
  </si>
  <si>
    <t>$5.50 x 72, $3.00 x 9, $2.50 x 3</t>
  </si>
  <si>
    <t>8355</t>
  </si>
  <si>
    <t>Samsung Z Fold4 Otter Box Symmetry Flex</t>
  </si>
  <si>
    <t>https://dghyt15qon7us.cloudfront.net/images/productTheme/Inventory/small/1686201442.jpg</t>
  </si>
  <si>
    <t>8135</t>
  </si>
  <si>
    <t>Samsung A14 Goospery Aqua Flip Case</t>
  </si>
  <si>
    <t>5. Phone Cases &gt; Samsung A34</t>
  </si>
  <si>
    <t>Product image is missing. No valid comparable cost found</t>
  </si>
  <si>
    <t>Samsung Galaxy A34</t>
  </si>
  <si>
    <t>Goospery Flip Case</t>
  </si>
  <si>
    <t>8085</t>
  </si>
  <si>
    <t>Universal XXL Other Phone Case</t>
  </si>
  <si>
    <t>5. Phone Cases &gt; Universal Phone Case</t>
  </si>
  <si>
    <t>Product image is missing. Cost must be confirmed because the comparable style cost is not below every retail price</t>
  </si>
  <si>
    <t>Universal Phone Pouch - XXL</t>
  </si>
  <si>
    <t>Universal Phone Pouch</t>
  </si>
  <si>
    <t>$35.00 x 19</t>
  </si>
  <si>
    <t>8073</t>
  </si>
  <si>
    <t>Universal L Other Phone Case</t>
  </si>
  <si>
    <t>Universal Phone Pouch - L</t>
  </si>
  <si>
    <t>8067</t>
  </si>
  <si>
    <t>Universal M Other Phone Case</t>
  </si>
  <si>
    <t>Universal Phone Pouch - M</t>
  </si>
  <si>
    <t>8031</t>
  </si>
  <si>
    <t>Flower Case 7</t>
  </si>
  <si>
    <t>https://dghyt15qon7us.cloudfront.net/images/productTheme/Inventory/small/1681275251.jpg</t>
  </si>
  <si>
    <t>8030</t>
  </si>
  <si>
    <t>Flower Case 6</t>
  </si>
  <si>
    <t>https://dghyt15qon7us.cloudfront.net/images/productTheme/Inventory/small/1681274648.jpg</t>
  </si>
  <si>
    <t>8029</t>
  </si>
  <si>
    <t>Flower Case 5</t>
  </si>
  <si>
    <t>https://dghyt15qon7us.cloudfront.net/images/productTheme/Inventory/small/1681274411.jpg</t>
  </si>
  <si>
    <t>8028</t>
  </si>
  <si>
    <t>Flower Case 4</t>
  </si>
  <si>
    <t>https://dghyt15qon7us.cloudfront.net/images/productTheme/Inventory/small/1681274039.jpg</t>
  </si>
  <si>
    <t>8027</t>
  </si>
  <si>
    <t>Flower Case 3</t>
  </si>
  <si>
    <t>https://dghyt15qon7us.cloudfront.net/images/productTheme/Inventory/small/1681273999.jpg</t>
  </si>
  <si>
    <t>8026</t>
  </si>
  <si>
    <t>Flower Case 2</t>
  </si>
  <si>
    <t>https://dghyt15qon7us.cloudfront.net/images/productTheme/Inventory/small/1681264857.jpg</t>
  </si>
  <si>
    <t>8025</t>
  </si>
  <si>
    <t>Flower Case 1</t>
  </si>
  <si>
    <t>https://dghyt15qon7us.cloudfront.net/images/productTheme/Inventory/small/1681264823.jpg</t>
  </si>
  <si>
    <t>7677</t>
  </si>
  <si>
    <t>Samsung S22 Plus EFM Aspen Glitter Pearl</t>
  </si>
  <si>
    <t>5. Phone Cases &gt; EFM</t>
  </si>
  <si>
    <t>EFM Aspen Glitter Pearl Case</t>
  </si>
  <si>
    <t>https://dghyt15qon7us.cloudfront.net/images/productTheme/Inventory/small/1672903994.jpg</t>
  </si>
  <si>
    <t>7676</t>
  </si>
  <si>
    <t>Samsung S22 EFM Aspen Glitter Pearl</t>
  </si>
  <si>
    <t>https://dghyt15qon7us.cloudfront.net/images/productTheme/Inventory/small/1672903935.jpg</t>
  </si>
  <si>
    <t>7674</t>
  </si>
  <si>
    <t>Samsung S22 EFM Aspen Clear</t>
  </si>
  <si>
    <t>EFM Aspen Case</t>
  </si>
  <si>
    <t>https://dghyt15qon7us.cloudfront.net/images/productTheme/Inventory/small/1672903829.jpg</t>
  </si>
  <si>
    <t>7668</t>
  </si>
  <si>
    <t>Samsung S22 Ultra EFM Aspen Glitter Pearl</t>
  </si>
  <si>
    <t>https://dghyt15qon7us.cloudfront.net/images/productTheme/Inventory/small/1672728466.jpg</t>
  </si>
  <si>
    <t>7666</t>
  </si>
  <si>
    <t>Samsung S22 Ultra EFM Aspen State Clear</t>
  </si>
  <si>
    <t>EFM Aspen State Case</t>
  </si>
  <si>
    <t>https://dghyt15qon7us.cloudfront.net/images/productTheme/Inventory/small/1672728308.jpg</t>
  </si>
  <si>
    <t>7191</t>
  </si>
  <si>
    <t>Samsung Note 20 Otter Box Defender Case</t>
  </si>
  <si>
    <t>5. Phone Cases &gt; 112 Otter Box Defender</t>
  </si>
  <si>
    <t>OtterBox Defender Case</t>
  </si>
  <si>
    <t>https://dghyt15qon7us.cloudfront.net/images/productTheme/Inventory/small/1664782886.jpg</t>
  </si>
  <si>
    <t>7159</t>
  </si>
  <si>
    <t>Other Cases (Model Require)</t>
  </si>
  <si>
    <t>Device/model is missing or ambiguous. Product image is missing. Cost is missing.</t>
  </si>
  <si>
    <t>Other Cases Model Require</t>
  </si>
  <si>
    <t>7128</t>
  </si>
  <si>
    <t>Samsung S21 Plus Otter Box Symmetry Case</t>
  </si>
  <si>
    <t>https://dghyt15qon7us.cloudfront.net/images/productTheme/Inventory/small/1663814941.jpg</t>
  </si>
  <si>
    <t>7126</t>
  </si>
  <si>
    <t>Samsung S22 Plus Otter Box Symmetry Case</t>
  </si>
  <si>
    <t>https://dghyt15qon7us.cloudfront.net/images/productTheme/Inventory/small/1663814867.jpg</t>
  </si>
  <si>
    <t>7125</t>
  </si>
  <si>
    <t>Samsung S22 Ultra Otter Box Symmetry Case</t>
  </si>
  <si>
    <t>https://dghyt15qon7us.cloudfront.net/images/productTheme/Inventory/small/1663814664.jpg</t>
  </si>
  <si>
    <t>7123</t>
  </si>
  <si>
    <t>Samsung S21 5G Otter Box Symmetry Case</t>
  </si>
  <si>
    <t>https://dghyt15qon7us.cloudfront.net/images/productTheme/Inventory/small/1663814599.jpg</t>
  </si>
  <si>
    <t>7112</t>
  </si>
  <si>
    <t>iPhone 12 Pro Max EFM Phone Case</t>
  </si>
  <si>
    <t>iPhone 12 Pro Max</t>
  </si>
  <si>
    <t>EFM Case</t>
  </si>
  <si>
    <t>7109</t>
  </si>
  <si>
    <t>Samsung S22 Plus EFM Cayman  carbon</t>
  </si>
  <si>
    <t>EFM Cayman Carbon Case</t>
  </si>
  <si>
    <t>https://dghyt15qon7us.cloudfront.net/images/productTheme/Inventory/small/1663814079.jpg</t>
  </si>
  <si>
    <t>7098</t>
  </si>
  <si>
    <t>Samsung S22 Plus Otter Box Defender Case</t>
  </si>
  <si>
    <t>https://dghyt15qon7us.cloudfront.net/images/productTheme/Inventory/small/1663812447.jpg</t>
  </si>
  <si>
    <t>7097</t>
  </si>
  <si>
    <t>Samsung S22 Otter Box Defender Case</t>
  </si>
  <si>
    <t>https://dghyt15qon7us.cloudfront.net/images/productTheme/Inventory/small/1663812406.jpg</t>
  </si>
  <si>
    <t>6688</t>
  </si>
  <si>
    <t>1 Universal Cartoon Case</t>
  </si>
  <si>
    <t>5. Phone Cases &gt; universal case</t>
  </si>
  <si>
    <t>Universal Phone Case</t>
  </si>
  <si>
    <t>6000</t>
  </si>
  <si>
    <t>96 flower/liquid case</t>
  </si>
  <si>
    <t>96 Flower/liquid Case</t>
  </si>
  <si>
    <t>https://dghyt15qon7us.cloudfront.net/images/productTheme/Inventory/small/1628319014.jpg</t>
  </si>
  <si>
    <t>5915</t>
  </si>
  <si>
    <t>Samsung FLIP CASE</t>
  </si>
  <si>
    <t>https://dghyt15qon7us.cloudfront.net/images/productTheme/Inventory/small/162609895341943084.jpg</t>
  </si>
  <si>
    <t>5914</t>
  </si>
  <si>
    <t>Samsung Phone BACK COVER</t>
  </si>
  <si>
    <t>Back Cover</t>
  </si>
  <si>
    <t>https://dghyt15qon7us.cloudfront.net/images/productTheme/Inventory/small/162609891541943083.jpg</t>
  </si>
  <si>
    <t>Brand</t>
  </si>
  <si>
    <t>Case Style</t>
  </si>
  <si>
    <t>Affected Products</t>
  </si>
  <si>
    <t>Devices</t>
  </si>
  <si>
    <t>Examples</t>
  </si>
  <si>
    <t>Positive Source Costs</t>
  </si>
  <si>
    <t>Comparable Cost Counts</t>
  </si>
  <si>
    <t>Confirmed Cost</t>
  </si>
  <si>
    <t>OZTECHM8</t>
  </si>
  <si>
    <t>Shockproof Grip Case</t>
  </si>
  <si>
    <t>iPhone 16e / 17e, iPhone 17, iPhone 17 Air, iPhone 17 Pro, iPhone 17 Pro Max, Samsung Galaxy S25 Ultra, Samsung Galaxy S25 Plus, Samsung Galaxy S25, Samsung Galaxy A16, iPhone 11, Samsung Galaxy S23 FE, Samsung Galaxy A15, iPhone 16 Pro Max, iPhone 16 Plus, iPhone 16 Pro, iPhone 16, Samsung Galaxy S24, Samsung Galaxy S24 Ultra, iPhone 15 Pro Max, iPhone 15 Pro, iPhone 15 Plus, iPhone 15, iPhone 12 / 12 Pro, Samsung Galaxy A14, Samsung Galaxy S23 Ultra, Samsung Galaxy S23 Plus, Samsung Galaxy S23, iPhone 14 Pro Max, iPhone 14 Plus, iPhone 14 Pro, iPhone 14, iPhone 13 Pro, Samsung Galaxy A13, Samsung Galaxy S22 Ultra, Samsung Galaxy S22 Plus, Samsung Galaxy S22, iPhone 13, iPhone 13 Pro Max, iPhone 6 / 7 / 8, iPhone X / XS, iPhone XR</t>
  </si>
  <si>
    <t>iPhone 16 E Shockproof Grip Case Teal
iPhone 16 E Shockproof Grip Case Red
iPhone 17 Shockproof Grip Case Red
iPhone 17 Shockproof Grip Case Black
iPhone 17 Shockproof Grip Case Aqua</t>
  </si>
  <si>
    <t>$2.00, $2.50, $3.00, $3.50, $4.00</t>
  </si>
  <si>
    <t>$3.00 x 16, $4.00 x 16, $2.00 x 9, $3.50 x 9, $2.50 x 2</t>
  </si>
  <si>
    <t>iPhone 17 Pro Max, iPhone 17 Pro, iPhone 17 Air, iPhone 17, iPhone 16e / 17e, iPhone 16, iPhone 16 Plus, iPhone 16 Pro, iPhone 15 Pro, iPhone 15 Pro Max, iPhone 15 Plus, iPhone 15, iPhone 11, iPhone 12 / 12 Pro, iPhone 13 Pro Max, iPhone 14 Pro Max, iPhone 14 Plus, iPhone 14 Pro, iPhone 14, iPhone 13 Pro, iPhone 13, iPhone 13 mini, iPhone 12 Pro Max, iPhone 11 Pro Max, iPhone 11 Pro, iPhone XS Max, iPhone XR, iPhone X / XS, iPhone 6 Plus / 7 Plus / 8 Plus, iPhone 6 / 7 / 8</t>
  </si>
  <si>
    <t>iPhone 17 Pro  Max Apple Logo Case Green
iPhone 17 Pro Apple Logo Case SkyBlue
iPhone 17 Pro Apple Logo Case Gray
iPhone 17 Pro Apple Logo Case Purple
iPhone 17 Air Apple Logo Case Black</t>
  </si>
  <si>
    <t>$2.50, $3.00, $5.50, $49.00</t>
  </si>
  <si>
    <t>Hanman</t>
  </si>
  <si>
    <t>Hanman Case</t>
  </si>
  <si>
    <t>iPhone 16 Pro, iPhone 16 Pro Max, Samsung Galaxy A37, Samsung Galaxy A57, Samsung Galaxy S26 Plus, Samsung Galaxy S26, Samsung Galaxy S26 Ultra, Samsung Galaxy S25 Edge, Samsung Galaxy A16, Samsung Galaxy S25 Ultra, Samsung Galaxy S25 Plus, Samsung Galaxy S25, Samsung Galaxy S24 FE, iPhone 16 Plus, iPhone 16, Samsung Galaxy A55, Samsung Galaxy S23 FE, iPhone 15 Pro Max, iPhone 15 Pro, iPhone 15 Plus, iPhone 15, Samsung Galaxy S23, Samsung Galaxy S23 Plus</t>
  </si>
  <si>
    <t>iPhone 16 Pro Hanman Case Rose Gold
iPhone 16 Pro Max Hanman Case Rose Gold iPhone
A37 Hanman Case Mint
A37 Hanman Case Pink
A57 Hanman Case Mint</t>
  </si>
  <si>
    <t>$3.50, $4.00, $4.50, $35.00</t>
  </si>
  <si>
    <t>$4.00 x 23, $3.50 x 3, $35.00 x 1</t>
  </si>
  <si>
    <t>Magnetic Wallet Case</t>
  </si>
  <si>
    <t>iPhone 17 Pro, iPhone 17, iPhone 17 Air, iPhone 17 Pro Max, iPhone 16 Pro Max, iPhone 16 Pro, iPhone 16 Plus, iPhone 15 Pro Max, iPhone 15 Pro, iPhone 15 Plus, iPhone 15, iPhone 14 Pro Max, iPhone 14 Plus, iPhone 14 Pro, iPhone 14, iPhone 6 / 7 / 8, iPhone 13 Pro Max, iPhone 13 Pro, iPhone 13, iPhone 12 / 12 Pro, iPhone 11</t>
  </si>
  <si>
    <t>iPhone 17 Pro Magnetic wallet case Red
iPhone 17 Magnetic wallet case Red
iPhone 17 Air Magnetic wallet case Red
iPhone 17 Air Magnetic wallet case Brown
iPhone 17 Magnetic wallet case Brown</t>
  </si>
  <si>
    <t>$13.50, $59.00</t>
  </si>
  <si>
    <t>$13.50 x 15, $59.00 x 3</t>
  </si>
  <si>
    <t>Rich Diary</t>
  </si>
  <si>
    <t>Rich Diary Flip Case</t>
  </si>
  <si>
    <t>iPhone 14 Plus, iPhone 15 Pro Max, iPhone 15 Pro, iPhone 15 Plus, iPhone 15, Samsung Galaxy S22 Plus, Samsung Galaxy S22 Ultra, Samsung Galaxy S22, Samsung Galaxy S23 Ultra, Samsung Galaxy S23 Plus, Samsung Galaxy S23, iPhone 14 Pro, iPhone 14 Pro Max, iPhone 14</t>
  </si>
  <si>
    <t>iPhone 14 Plus Rich Diary Navy Flip Case
iPhone 15 Pro Max Rich Diary Rose Gold Flip Case
iPhone 15 Pro Max Rich Diary Purple Flip Case
iPhone 15 Pro Max Rich Diary Mint Flip Case
iPhone 15 Pro Max Rich Diary Hot Pink Flip Case</t>
  </si>
  <si>
    <t>Goospery</t>
  </si>
  <si>
    <t>iPhone 14 Plus, iPhone 14 Pro Max, Samsung Galaxy S22 Plus, Samsung Galaxy S22 Ultra, Samsung Galaxy S22, Samsung Galaxy A34, Samsung Galaxy S23, Samsung Galaxy S23 Ultra, Samsung Galaxy S23 Plus, iPhone 14 Pro, iPhone 14</t>
  </si>
  <si>
    <t>iPhone 14 Plus Goospery Red Flip Case
iPhone 14 Plus Goospery Brown Flip Case
iPhone 14 Pro Max Goospery Brown Flip Case
iPhone 14 Plus Goospery HotPink Flip Case
iPhone 14 Pro Max Goospery HotPink Flip Case</t>
  </si>
  <si>
    <t>Samsung Galaxy S24 Ultra, Samsung Galaxy S24 Plus, Samsung Galaxy S24, Samsung Galaxy A25, Samsung Galaxy A15, iPhone 15, Samsung Galaxy A54, Samsung Galaxy A34, Samsung Galaxy A14, Samsung Galaxy S23 Ultra, Samsung Galaxy S23, iPhone 14 Pro Max, iPhone 14 Pro, iPhone 14 Plus, iPhone 14, iPhone 13 Pro Max, iPhone 13 Pro, iPhone 13 mini, iPhone 13, iPhone 12 Pro Max, iPhone 12 / 12 Pro, iPhone 11 Pro Max, iPhone 11 Pro, iPhone XS Max, iPhone XR, iPhone X / XS, iPhone 6 Plus / 7 Plus / 8 Plus</t>
  </si>
  <si>
    <t>Samsung S24 Ultra Flip Case Rose Gold
Samsung S24 Ultra Flip Case Mint
Samsung S24 Ultra Flip Case Black
Samsung S24 Plus Flip Case Rose Gold
Samsung S24 Plus Flip Case Mint</t>
  </si>
  <si>
    <t>$45.00</t>
  </si>
  <si>
    <t>Silicone Case</t>
  </si>
  <si>
    <t>iPhone 16e / 17e, Samsung Galaxy S26, Samsung Galaxy S26 Plus, Samsung Galaxy S26 Ultra, Samsung Galaxy A17, Samsung Galaxy A55, Samsung Galaxy A25, Samsung Galaxy S25 Edge, iPhone 16, iPhone 16 Pro, iPhone 16 Plus, iPhone 16 Pro Max, Samsung Galaxy S25 Ultra, Samsung Galaxy S25 Plus, Samsung Galaxy S25</t>
  </si>
  <si>
    <t>Iphone 17E/16E Silicone Black Case
S26  Silicone Pink Case
S26 Plus Silicone Pink Case
S26 Ultra Silicone Pink Case
S26 Silicone Blue Case</t>
  </si>
  <si>
    <t>$1.00, $3.00, $35.00</t>
  </si>
  <si>
    <t>$3.00 x 13, $1.00 x 8, $35.00 x 2</t>
  </si>
  <si>
    <t>MagSafe Case</t>
  </si>
  <si>
    <t>iPhone 16e / 17e, iPhone 11 Pro Max, iPhone 11, iPhone 17 Air, iPhone 17 Pro, iPhone 16 Pro, iPhone 16 Plus, iPhone 16, iPhone 16 Pro Max, iPhone 15 Pro Max, iPhone 15 Pro, iPhone 15, Samsung Galaxy S23 Plus, Samsung Galaxy S23, Samsung Galaxy S22 Plus, iPhone 12 Pro Max, iPhone 13 Pro Max, iPhone 14 Pro Max, iPhone 14 Pro, iPhone 14 Plus, iPhone 13, iPhone 14</t>
  </si>
  <si>
    <t>Iphone 17E/16E magsafe case
iPhone 11 Pro Max Magsafe clear phone case
iPhone 11 Magsafe clear phone case
iPhone 17 air magsafe case clear
iPhone 17 Pro magsafe case clear</t>
  </si>
  <si>
    <t>$3.00, $3.20, $4.00</t>
  </si>
  <si>
    <t>$3.00 x 6, $3.20 x 4, $4.00 x 1</t>
  </si>
  <si>
    <t>OtterBox</t>
  </si>
  <si>
    <t>iPhone 17, Samsung Galaxy S25 Ultra, Samsung Galaxy S25 Plus, Samsung Galaxy S25, Samsung Galaxy S24 Plus, iPhone 16 Pro Max, iPhone 16 Plus, iPhone 16, Google Pixel 9 Pro XL, Google Pixel 9 / 9 Pro, Google Pixel 8 Pro, Google Pixel 8a, Google Pixel 8, Samsung Galaxy S24, iPhone 15 Pro, iPhone 15 Plus, Samsung Galaxy S23 Plus, Samsung Galaxy S23, iPhone 14 Plus, iPhone 12 Pro Max</t>
  </si>
  <si>
    <t>iPhone 17 Otter Box MagSafe Defender Pro Case
Samsung S25U Otter Box Defender Case
Samsung S25+ Otter Box Defender Case
Samsung S25 Otter Box Defender Case
Samsung S24+ Otter Box Defender Case</t>
  </si>
  <si>
    <t>$8.00, $51.74</t>
  </si>
  <si>
    <t>$51.74 x 6, $8.00 x 2</t>
  </si>
  <si>
    <t>Universal Phone Pouch - L, Universal Phone Pouch - XXL, Universal Phone Pouch - XL, Universal Phone Pouch - M</t>
  </si>
  <si>
    <t>Universal L Navy Phone Case
Universal XXL Other Phone Case
Universal XXL Hot Pink Phone Case
Universal XXL Mint Phone Case
Universal XXL Gold Phone Case</t>
  </si>
  <si>
    <t>$35.00</t>
  </si>
  <si>
    <t>Apple Logo MagSafe Case</t>
  </si>
  <si>
    <t>iPhone 16 Pro Max, iPhone 16 Pro, iPhone 16, iPhone 16 Plus, iPhone 15 Pro Max, iPhone 15 Pro, iPhone 15, iPhone 13 Pro Max</t>
  </si>
  <si>
    <t>iPhone 16 Pro Max apple logo MagSafe blue Phone Case
iPhone 16 Pro apple logo MagSafe blue Phone Case
iPhone 16 apple logo MagSafe yellow  Phone Case
iPhone 16 apple logo MagSafe blue Phone Case
iPhone 16 plus apple logo MagSafe blue Phone Case</t>
  </si>
  <si>
    <t>OtterBox Symmetry+ MagSafe Case</t>
  </si>
  <si>
    <t>iPhone 17 Pro Max, iPhone 17 Pro, iPhone 17 Air, iPhone 17, iPhone 14 Pro Max, iPhone 16 Pro, iPhone 16, iPhone 16 Pro Max, iPhone 14 Pro</t>
  </si>
  <si>
    <t>iPhone 17 Pro Max Otter Box Symmetry+ Case Clear
iPhone 17 Pro Otter Box Symmetry+ Case Clear
iPhone 17 Air Otter Box Symmetry+ Case Clear
iPhone 17 Otter Box Symmetry+ Case Clear
iPhone 17 Pro Otter Box Symmetry+ Case Black</t>
  </si>
  <si>
    <t>$6.00, $30.00</t>
  </si>
  <si>
    <t>$30.00 x 10, $6.00 x 6</t>
  </si>
  <si>
    <t>Hanman MagSafe Flip Case</t>
  </si>
  <si>
    <t>iPhone 17, iPhone 17 Air, iPhone 17 Pro, iPhone 16, iPhone 16 Plus, iPhone 16 Pro, iPhone 16 Pro Max</t>
  </si>
  <si>
    <t>iPhone 17 Hanman magsafe black flip case
iPhone 17 Air Hanman magsafe black flip case
iPhone 17 Pro Hanman magsafe black flip case
iPhone 17 Pro Hanman magsafe pink flip case
iPhone 17 Air Hanman magsafe pink flip case</t>
  </si>
  <si>
    <t>Silicone MagSafe Hard Case</t>
  </si>
  <si>
    <t>Samsung Galaxy S25, Samsung Galaxy S25 Ultra, iPhone 17 Pro, iPhone 15 Pro Max, iPhone 12 / 12 Pro, iPhone 11, iPhone 15, iPhone 16, iPhone 16 Pro, iPhone 14 Pro Max, iPhone 17, iPhone 16 Pro Max, iPhone 17 Pro Max</t>
  </si>
  <si>
    <t>S25 Silicone MagSafe Hard Case — Matte Black
S25 Ultra Silicone MagSafe Hard Case — Matte Black
Iphone 17 Pro Silicone MagSafe Hard Case — Matte Black
Iphone 15 Pro Max Silicone MagSafe Hard Case — Matte Black
Iphone 12 Silicone MagSafe Hard Case — Matte Black</t>
  </si>
  <si>
    <t>$2.25, $4.00</t>
  </si>
  <si>
    <t>$4.00 x 12, $2.25 x 1</t>
  </si>
  <si>
    <t>Samsung Galaxy S25, Samsung Galaxy S25 Ultra, Samsung Galaxy S24 Ultra, Samsung Galaxy S24, iPhone 15 Pro Max, iPhone 15 Plus, iPhone 15, Samsung Galaxy S23 Plus, Samsung Galaxy S23, iPhone 14 Pro Max, iPhone 13, iPhone 14 Plus</t>
  </si>
  <si>
    <t>Samsung S25 Otter Box Symmetry Case
Samsung S25U Otter Box Symmetry Case
Samsung S24 Ultra Otter Box Symmetry Case
Samsung S24 Otter Box Symmetry Case
iPhone 15 Pro Max Otter Box Symmetry Case</t>
  </si>
  <si>
    <t>$10.00, $30.00, $35.25, $36.25</t>
  </si>
  <si>
    <t>$30.00 x 2, $36.25 x 2, $10.00 x 1, $35.25 x 1</t>
  </si>
  <si>
    <t>Case</t>
  </si>
  <si>
    <t>Samsung Galaxy S26, Samsung Galaxy S26 Ultra, iPhone 16 Pro Max, Samsung Galaxy A55, Samsung Galaxy S25 Edge, Samsung Galaxy S25 Ultra, Samsung Galaxy S25 Plus, iPhone 15, iPhone 11, iPhone 12 / 12 Pro, iPhone 15 Pro, iPhone 15 Pro Max</t>
  </si>
  <si>
    <t>S26 Clear Case
S26 Ultra Clear Case
iPhone 16 Pro Max Clear Case
A55 Clear Case
S25 Edge Clear Case</t>
  </si>
  <si>
    <t>$1.00, $2.00, $5.32</t>
  </si>
  <si>
    <t>$1.00 x 2, $5.32 x 2, $2.00 x 1</t>
  </si>
  <si>
    <t>MagSafe Glitter Case</t>
  </si>
  <si>
    <t>iPhone 15, iPhone 15 Pro, iPhone 16 Pro Max, iPhone 14 Pro, iPhone 16 Plus, iPhone 14, iPhone 12 / 12 Pro, iPhone 11, iPhone 16 Pro, iPhone 16, iPhone 14 Pro Max, iPhone 15 Pro Max</t>
  </si>
  <si>
    <t>iPhone 15  Magsafe Glitter phone case
iPhone 15 Pro Magsafe Glitter phone case
iPhone 16 Pro Max Magsafe Glitter phone case
iPhone 14 Pro Glitter Magsafe Phone Case
iPhone 16 Plus Magsafe Glitter phone case</t>
  </si>
  <si>
    <t>$3.00, $4.00, $5.00, $5.50</t>
  </si>
  <si>
    <t>$3.00 x 5, $4.00 x 3, $5.00 x 1, $5.50 x 1</t>
  </si>
  <si>
    <t>Hanman Flip Case</t>
  </si>
  <si>
    <t>Samsung Galaxy A36 / A56, iPhone 17 Pro Max, iPhone 17 Pro, iPhone 17 Air</t>
  </si>
  <si>
    <t>A36 Hanman Mint Flip case
A36 Hanman Pink Flip case
A36 Hanman Black Flip case
iPhone 17 Pro Max Hanman mint flip case
iPhone 17 Pro Max Hanman gold flip case</t>
  </si>
  <si>
    <t>$5.00, $5.50</t>
  </si>
  <si>
    <t>$5.50 x 6, $5.00 x 3</t>
  </si>
  <si>
    <t>EFM</t>
  </si>
  <si>
    <t>EFM Alta Case</t>
  </si>
  <si>
    <t>Samsung Galaxy S24 Ultra, iPhone 15 Pro Max, iPhone 15, iPhone 15 Pro, iPhone 15 Plus</t>
  </si>
  <si>
    <t>Samsung S24 Ultra EFM Alta Case Black
iPhone 15 Pro Max EFM Alta Case Clear
iPhone 15 EFM Alta Case Clear
iPhone 15 Pro EFM Alta Case Black
iPhone 15  EFM Alta Case Black</t>
  </si>
  <si>
    <t>iPhone 15 Pro Max, iPhone 15 Plus, iPhone 15, Samsung Galaxy S23 Ultra, Samsung Galaxy S23 Plus, Samsung Galaxy S23</t>
  </si>
  <si>
    <t>iPhone 15 Pro Max EFM Aspen Black Gradient
iPhone 15 Plus EFM Aspen Black Gradient
iPhone 15 EFM Aspen Black Gradient
Samsung S23 Ultra EFM Aspen Clear
Samsung S23 Plus EFM Aspen Clear</t>
  </si>
  <si>
    <t>MagSafe Bumper Shockproof Ring Case</t>
  </si>
  <si>
    <t>iPhone 16, iPhone 16 Pro Max, iPhone 16 Plus, iPhone 16 Pro</t>
  </si>
  <si>
    <t>iPhone 16 Magsafe Bumper Shockproof Ring Sliver Case
iPhone 16 Pro Max Magsafe Bumper Shockproof Ring Sliver  Case
iPhone 16 Magsafe Bumper Shockproof Ring Black Case
iPhone 16 Pro Max Magsafe Bumper Shockproof Ring Black Case
iPhone 16 Plus Magsafe Bumper Shockproof Ring Black Case</t>
  </si>
  <si>
    <t>Confetti Hearts MagSafe Case</t>
  </si>
  <si>
    <t>iPhone 16 Pro, iPhone 16 Plus, iPhone 16, iPhone 16 Pro Max</t>
  </si>
  <si>
    <t>iPhone 16 Pro C Confetti Hearts Magsafe Black
iPhone 16 Plus C Confetti Hearts Magsafe Black
iPhone 16 C Confetti Hearts Magsafe Black
iPhone 16 Pro Max C Confetti Hearts Magsafe Purple</t>
  </si>
  <si>
    <t>$5.00, $8.50</t>
  </si>
  <si>
    <t>$5.00 x 3, $8.50 x 1</t>
  </si>
  <si>
    <t>Detachable Wallet Case</t>
  </si>
  <si>
    <t>iPhone 13 Pro Max, iPhone 14 Plus, iPhone 14, iPhone 6 Plus / 7 Plus / 8 Plus</t>
  </si>
  <si>
    <t>iPhone 13 Pro Max Detachable wallet case(MIX COLOR)
iPhone 14 Plus Detachable wallet case(MIX COLOR)
iPhone 14 Detachable wallet case(MIX COLOR)
iPhone 6+/7+/8+ Detachable wallet case(MIX COLOR)</t>
  </si>
  <si>
    <t>Metal Stand Case</t>
  </si>
  <si>
    <t>iPhone 17 Air, iPhone 17, iPhone 17 Pro</t>
  </si>
  <si>
    <t>iPhone 17 Air Metal Stand Case Black
iPhone 17 Metal Stand Case White
iPhone 17 Air Metal Stand Case White
iPhone 17 Pro Metal Stand Case White</t>
  </si>
  <si>
    <t>$1.00, $3.00</t>
  </si>
  <si>
    <t>$3.00 x 3, $1.00 x 1</t>
  </si>
  <si>
    <t>EFM Aspen Armour Glitter Pearl Case</t>
  </si>
  <si>
    <t>iPhone 15 Pro, iPhone 15 Pro Max, iPhone 15</t>
  </si>
  <si>
    <t>iPhone 15 Pro EFM Aspen Armour Glitter Pearl
iPhone 15 Pro Max EFM Aspen Armour Glitter Pearl
iPhone 15 EFM Aspen Armour Glitter Pearl</t>
  </si>
  <si>
    <t>Balloon MagSafe Case</t>
  </si>
  <si>
    <t>iPhone 13 Pro, iPhone 13 Pro Max, iPhone 13</t>
  </si>
  <si>
    <t>iphone 13 Pro C Balloon Magsafe
iphone 13 Pro Max C Balloon Magsafe
iphone 13 C Balloon Magsafe</t>
  </si>
  <si>
    <t>Warriors Team MagSafe Case</t>
  </si>
  <si>
    <t>iPhone 13 Pro, iPhone 13, iPhone 12 / 12 Pro</t>
  </si>
  <si>
    <t>iphone 13 Pro C Warriors Team Magsafe
iphone 13 C Warriors Team Magsafe
iphone 12/12 Pro C Warriors Team Magsafe</t>
  </si>
  <si>
    <t>Samsung Galaxy S23 Plus, Samsung Galaxy S23</t>
  </si>
  <si>
    <t>Samsung S23 Plus EFM Aspen  Glitter Pearl
Samsung S23 EFM Aspen Glitter Pearl</t>
  </si>
  <si>
    <t>Glitter Case</t>
  </si>
  <si>
    <t>iPhone 15, iPhone 16 Pro Max</t>
  </si>
  <si>
    <t>iPhone 15 Glitter Phone Case
iPhone 16 Pro Max Glitter Phone Case</t>
  </si>
  <si>
    <t>Smiling Face Case</t>
  </si>
  <si>
    <t>Samsung Galaxy S23 Ultra, Samsung Galaxy S23</t>
  </si>
  <si>
    <t>Samsung S23 Ultra C Smiling Face
Samsung S23 C Smiling Face</t>
  </si>
  <si>
    <t>EFM /13 Pro Max Armour D3o Bio Case</t>
  </si>
  <si>
    <t>iPhone 12 Pro Max/13 Pro Max EFM Armour D3O Bio</t>
  </si>
  <si>
    <t>EFM /13 Pro Max Case</t>
  </si>
  <si>
    <t>iPhone 12 Pro Max/13 Pro Max EFM Phone Case</t>
  </si>
  <si>
    <t>Duck Case</t>
  </si>
  <si>
    <t>Samsung Galaxy S23 Plus</t>
  </si>
  <si>
    <t>Samsung S23 Plus C Duck</t>
  </si>
  <si>
    <t>Lux Wallet Case</t>
  </si>
  <si>
    <t>iPhone 11</t>
  </si>
  <si>
    <t>iPhone 11 Lux Wallet case Mint</t>
  </si>
  <si>
    <t>New SKU</t>
  </si>
  <si>
    <t>Product Name</t>
  </si>
  <si>
    <t>Device</t>
  </si>
  <si>
    <t>Colour / Variant</t>
  </si>
  <si>
    <t>Cost</t>
  </si>
  <si>
    <t>Retail</t>
  </si>
  <si>
    <t>POS Category</t>
  </si>
  <si>
    <t>POS Subcategory</t>
  </si>
  <si>
    <t>Image URL</t>
  </si>
  <si>
    <t>Cost Rule</t>
  </si>
  <si>
    <t>TM8-PC-7785</t>
  </si>
  <si>
    <t>Back Cover for iPhone 6 / 7 / 8</t>
  </si>
  <si>
    <t>iPhone 6 / 7 / 8</t>
  </si>
  <si>
    <t>Standard</t>
  </si>
  <si>
    <t>Phone Cases</t>
  </si>
  <si>
    <t>Apple iPhone</t>
  </si>
  <si>
    <t>https://dghyt15qon7us.cloudfront.net/images/productTheme/Inventory/small/1675055997.jpg</t>
  </si>
  <si>
    <t>7785</t>
  </si>
  <si>
    <t>Normalized to the same case style cost</t>
  </si>
  <si>
    <t>TM8-PC-7786</t>
  </si>
  <si>
    <t>Back Cover for iPhone 6 Plus / 7 Plus / 8 Plus</t>
  </si>
  <si>
    <t>iPhone 6 Plus / 7 Plus / 8 Plus</t>
  </si>
  <si>
    <t>https://dghyt15qon7us.cloudfront.net/images/productTheme/Inventory/small/1675056043.jpg</t>
  </si>
  <si>
    <t>7786</t>
  </si>
  <si>
    <t>TM8-PC-7787</t>
  </si>
  <si>
    <t>Back Cover for iPhone X / XS</t>
  </si>
  <si>
    <t>iPhone X / XS</t>
  </si>
  <si>
    <t>https://dghyt15qon7us.cloudfront.net/images/productTheme/Inventory/small/1675056074.jpg</t>
  </si>
  <si>
    <t>7787</t>
  </si>
  <si>
    <t>TM8-PC-7789</t>
  </si>
  <si>
    <t>Back Cover for iPhone XR</t>
  </si>
  <si>
    <t>iPhone XR</t>
  </si>
  <si>
    <t>https://dghyt15qon7us.cloudfront.net/images/productTheme/Inventory/small/1675056145.jpg</t>
  </si>
  <si>
    <t>7789</t>
  </si>
  <si>
    <t>TM8-PC-7788</t>
  </si>
  <si>
    <t>Back Cover for iPhone XS Max</t>
  </si>
  <si>
    <t>iPhone XS Max</t>
  </si>
  <si>
    <t>https://dghyt15qon7us.cloudfront.net/images/productTheme/Inventory/small/1675056116.jpg</t>
  </si>
  <si>
    <t>7788</t>
  </si>
  <si>
    <t>TM8-PC-7790</t>
  </si>
  <si>
    <t>Back Cover for iPhone 11</t>
  </si>
  <si>
    <t>https://dghyt15qon7us.cloudfront.net/images/productTheme/Inventory/small/1675056170.jpg</t>
  </si>
  <si>
    <t>7790</t>
  </si>
  <si>
    <t>TM8-PC-9381</t>
  </si>
  <si>
    <t>ONE PIECE 25th Case for iPhone 11</t>
  </si>
  <si>
    <t>ONE PIECE 25th Case</t>
  </si>
  <si>
    <t>https://dghyt15qon7us.cloudfront.net/images/productTheme/Inventory/small/0.77574500%201727490363.jpg</t>
  </si>
  <si>
    <t>9381</t>
  </si>
  <si>
    <t>Source cost confirmed across the same case style</t>
  </si>
  <si>
    <t>TM8-PC-8160</t>
  </si>
  <si>
    <t>Poop Emoji Case for iPhone 11</t>
  </si>
  <si>
    <t>Poop Emoji Case</t>
  </si>
  <si>
    <t>https://dghyt15qon7us.cloudfront.net/images/productTheme/Inventory/small/1683700079.jpg</t>
  </si>
  <si>
    <t>8160</t>
  </si>
  <si>
    <t>TM8-PC-7791</t>
  </si>
  <si>
    <t>Back Cover for iPhone 11 Pro</t>
  </si>
  <si>
    <t>iPhone 11 Pro</t>
  </si>
  <si>
    <t>https://dghyt15qon7us.cloudfront.net/images/productTheme/Inventory/small/1675056202.jpg</t>
  </si>
  <si>
    <t>7791</t>
  </si>
  <si>
    <t>TM8-PC-7792</t>
  </si>
  <si>
    <t>Back Cover for iPhone 11 Pro Max</t>
  </si>
  <si>
    <t>iPhone 11 Pro Max</t>
  </si>
  <si>
    <t>https://dghyt15qon7us.cloudfront.net/images/productTheme/Inventory/small/1675056235.jpg</t>
  </si>
  <si>
    <t>7792</t>
  </si>
  <si>
    <t>TM8-PC-7793</t>
  </si>
  <si>
    <t>Back Cover for iPhone 12 / 12 Pro</t>
  </si>
  <si>
    <t>https://dghyt15qon7us.cloudfront.net/images/productTheme/Inventory/small/1675056264.jpg</t>
  </si>
  <si>
    <t>7793</t>
  </si>
  <si>
    <t>TM8-PC-8165</t>
  </si>
  <si>
    <t>Im Fine Case for iPhone 12 / 12 Pro</t>
  </si>
  <si>
    <t>Im Fine Case</t>
  </si>
  <si>
    <t>https://dghyt15qon7us.cloudfront.net/images/productTheme/Inventory/small/1683701404.jpg</t>
  </si>
  <si>
    <t>8165</t>
  </si>
  <si>
    <t>TM8-PC-9386</t>
  </si>
  <si>
    <t>Ton Burgerman Case for iPhone 12 / 12 Pro</t>
  </si>
  <si>
    <t>Ton Burgerman Case</t>
  </si>
  <si>
    <t>https://dghyt15qon7us.cloudfront.net/images/productTheme/Inventory/small/0.08529400%201727490481.jpg</t>
  </si>
  <si>
    <t>9386</t>
  </si>
  <si>
    <t>TM8-PC-8246</t>
  </si>
  <si>
    <t>Poop Emoji Case for iPhone 12 Pro Max</t>
  </si>
  <si>
    <t>https://dghyt15qon7us.cloudfront.net/images/productTheme/Inventory/small/1683781511.jpg</t>
  </si>
  <si>
    <t>8246</t>
  </si>
  <si>
    <t>TM8-PC-7164</t>
  </si>
  <si>
    <t>EFM /14 Aspen Armour Case for iPhone 13 - Black</t>
  </si>
  <si>
    <t>iPhone 13</t>
  </si>
  <si>
    <t>EFM /14 Aspen Armour Case</t>
  </si>
  <si>
    <t>Black</t>
  </si>
  <si>
    <t>https://dghyt15qon7us.cloudfront.net/images/productTheme/Inventory/small/1664586732.jpg</t>
  </si>
  <si>
    <t>7164</t>
  </si>
  <si>
    <t>TM8-PC-8224</t>
  </si>
  <si>
    <t>Discount Label MagSafe Case for iPhone 13</t>
  </si>
  <si>
    <t>Discount Label MagSafe Case</t>
  </si>
  <si>
    <t>https://dghyt15qon7us.cloudfront.net/images/productTheme/Inventory/small/1683776360.jpg</t>
  </si>
  <si>
    <t>8224</t>
  </si>
  <si>
    <t>TM8-PC-8196</t>
  </si>
  <si>
    <t>Heart MagSafe Case for iPhone 13</t>
  </si>
  <si>
    <t>Heart MagSafe Case</t>
  </si>
  <si>
    <t>https://dghyt15qon7us.cloudfront.net/images/productTheme/Inventory/small/1683702605.jpg</t>
  </si>
  <si>
    <t>8196</t>
  </si>
  <si>
    <t>TM8-PC-8215</t>
  </si>
  <si>
    <t>Lakers Team MagSafe Case for iPhone 13</t>
  </si>
  <si>
    <t>Lakers Team MagSafe Case</t>
  </si>
  <si>
    <t>https://dghyt15qon7us.cloudfront.net/images/productTheme/Inventory/small/1683773432.jpg</t>
  </si>
  <si>
    <t>8215</t>
  </si>
  <si>
    <t>TM8-PC-7795</t>
  </si>
  <si>
    <t>Back Cover for iPhone 13</t>
  </si>
  <si>
    <t>https://dghyt15qon7us.cloudfront.net/images/productTheme/Inventory/small/1675056326.jpg</t>
  </si>
  <si>
    <t>7795</t>
  </si>
  <si>
    <t>TM8-PC-8169</t>
  </si>
  <si>
    <t>Im Fine Case for iPhone 13</t>
  </si>
  <si>
    <t>https://dghyt15qon7us.cloudfront.net/images/productTheme/Inventory/small/1683701533.jpg</t>
  </si>
  <si>
    <t>8169</t>
  </si>
  <si>
    <t>TM8-PC-8171</t>
  </si>
  <si>
    <t>Poop Emoji Case for iPhone 13</t>
  </si>
  <si>
    <t>https://dghyt15qon7us.cloudfront.net/images/productTheme/Inventory/small/1683701559.jpg</t>
  </si>
  <si>
    <t>8171</t>
  </si>
  <si>
    <t>TM8-PC-7173</t>
  </si>
  <si>
    <t>EFM /14 Pro Aspen Armour Case for iPhone 13 Pro - Clear</t>
  </si>
  <si>
    <t>iPhone 13 Pro</t>
  </si>
  <si>
    <t>EFM /14 Pro Aspen Armour Case</t>
  </si>
  <si>
    <t>Clear</t>
  </si>
  <si>
    <t>https://dghyt15qon7us.cloudfront.net/images/productTheme/Inventory/small/1664590969.jpg</t>
  </si>
  <si>
    <t>7173</t>
  </si>
  <si>
    <t>TM8-PC-7141</t>
  </si>
  <si>
    <t>OtterBox Fre Waterproof MagSafe Case for iPhone 13 Pro</t>
  </si>
  <si>
    <t>OtterBox Fre Waterproof MagSafe Case</t>
  </si>
  <si>
    <t>https://dghyt15qon7us.cloudfront.net/images/productTheme/Inventory/small/1663815335.jpg</t>
  </si>
  <si>
    <t>7141</t>
  </si>
  <si>
    <t>TM8-PC-8225</t>
  </si>
  <si>
    <t>Discount Label MagSafe Case for iPhone 13 Pro</t>
  </si>
  <si>
    <t>https://dghyt15qon7us.cloudfront.net/images/productTheme/Inventory/small/1683776397.jpg</t>
  </si>
  <si>
    <t>8225</t>
  </si>
  <si>
    <t>TM8-PC-8198</t>
  </si>
  <si>
    <t>Heart MagSafe Case for iPhone 13 Pro</t>
  </si>
  <si>
    <t>https://dghyt15qon7us.cloudfront.net/images/productTheme/Inventory/small/1683702762.jpg</t>
  </si>
  <si>
    <t>8198</t>
  </si>
  <si>
    <t>TM8-PC-8216</t>
  </si>
  <si>
    <t>Lakers Team MagSafe Case for iPhone 13 Pro</t>
  </si>
  <si>
    <t>https://dghyt15qon7us.cloudfront.net/images/productTheme/Inventory/small/1683773469.jpg</t>
  </si>
  <si>
    <t>8216</t>
  </si>
  <si>
    <t>TM8-PC-7796</t>
  </si>
  <si>
    <t>Back Cover for iPhone 13 Pro</t>
  </si>
  <si>
    <t>https://dghyt15qon7us.cloudfront.net/images/productTheme/Inventory/small/1675056353.jpg</t>
  </si>
  <si>
    <t>7796</t>
  </si>
  <si>
    <t>TM8-PC-8162</t>
  </si>
  <si>
    <t>Im Fine Case for iPhone 13 Pro</t>
  </si>
  <si>
    <t>https://dghyt15qon7us.cloudfront.net/images/productTheme/Inventory/small/1683700210.jpg</t>
  </si>
  <si>
    <t>8162</t>
  </si>
  <si>
    <t>TM8-PC-8163</t>
  </si>
  <si>
    <t>Poop Emoji Case for iPhone 13 Pro</t>
  </si>
  <si>
    <t>https://dghyt15qon7us.cloudfront.net/images/productTheme/Inventory/small/1683700247.jpg</t>
  </si>
  <si>
    <t>8163</t>
  </si>
  <si>
    <t>TM8-PC-7172</t>
  </si>
  <si>
    <t>EFM /14 Pro Max Aspen Armour Case for iPhone 13 Pro Max - Clear</t>
  </si>
  <si>
    <t>iPhone 13 Pro Max</t>
  </si>
  <si>
    <t>EFM /14 Pro Max Aspen Armour Case</t>
  </si>
  <si>
    <t>https://dghyt15qon7us.cloudfront.net/images/productTheme/Inventory/small/1664590739.jpg</t>
  </si>
  <si>
    <t>7172</t>
  </si>
  <si>
    <t>TM8-PC-7168</t>
  </si>
  <si>
    <t>EFM /14 Pro Max Aspen Armour Glitter Pearl Case for iPhone 13 Pro Max</t>
  </si>
  <si>
    <t>EFM /14 Pro Max Aspen Armour Glitter Pearl Case</t>
  </si>
  <si>
    <t>https://dghyt15qon7us.cloudfront.net/images/productTheme/Inventory/small/1664590130.jpg</t>
  </si>
  <si>
    <t>7168</t>
  </si>
  <si>
    <t>TM8-PC-7797</t>
  </si>
  <si>
    <t>Back Cover for iPhone 13 Pro Max</t>
  </si>
  <si>
    <t>https://dghyt15qon7us.cloudfront.net/images/productTheme/Inventory/small/1675056388.jpg</t>
  </si>
  <si>
    <t>7797</t>
  </si>
  <si>
    <t>TM8-PC-8732</t>
  </si>
  <si>
    <t>Ice MagSafe Case for iPhone 14 - Cream</t>
  </si>
  <si>
    <t>iPhone 14</t>
  </si>
  <si>
    <t>Ice MagSafe Case</t>
  </si>
  <si>
    <t>Cream</t>
  </si>
  <si>
    <t>https://dghyt15qon7us.cloudfront.net/images/productTheme/Inventory/small/1697240262.jpg</t>
  </si>
  <si>
    <t>8732</t>
  </si>
  <si>
    <t>TM8-PC-8764</t>
  </si>
  <si>
    <t>Snake MagSafe Case for iPhone 14</t>
  </si>
  <si>
    <t>Snake MagSafe Case</t>
  </si>
  <si>
    <t>https://dghyt15qon7us.cloudfront.net/images/productTheme/Inventory/small/1697241149.jpg</t>
  </si>
  <si>
    <t>8764</t>
  </si>
  <si>
    <t>TM8-PC-7799</t>
  </si>
  <si>
    <t>Back Cover for iPhone 14</t>
  </si>
  <si>
    <t>https://dghyt15qon7us.cloudfront.net/images/productTheme/Inventory/small/1675056516.jpg</t>
  </si>
  <si>
    <t>7799</t>
  </si>
  <si>
    <t>TM8-PC-8180</t>
  </si>
  <si>
    <t>Im Fine Case for iPhone 14</t>
  </si>
  <si>
    <t>https://dghyt15qon7us.cloudfront.net/images/productTheme/Inventory/small/1683701869.jpg</t>
  </si>
  <si>
    <t>8180</t>
  </si>
  <si>
    <t>TM8-PC-7167</t>
  </si>
  <si>
    <t>EFM Aspen Armour Case for iPhone 14 Plus - Black</t>
  </si>
  <si>
    <t>iPhone 14 Plus</t>
  </si>
  <si>
    <t>EFM Aspen Armour Case</t>
  </si>
  <si>
    <t>https://dghyt15qon7us.cloudfront.net/images/productTheme/Inventory/small/1664589942.jpg</t>
  </si>
  <si>
    <t>7167</t>
  </si>
  <si>
    <t>TM8-PC-8765</t>
  </si>
  <si>
    <t>Snake MagSafe Case for iPhone 14 Plus</t>
  </si>
  <si>
    <t>https://dghyt15qon7us.cloudfront.net/images/productTheme/Inventory/small/1697241237.jpg</t>
  </si>
  <si>
    <t>8765</t>
  </si>
  <si>
    <t>TM8-PC-7800</t>
  </si>
  <si>
    <t>Back Cover for iPhone 14 Plus</t>
  </si>
  <si>
    <t>https://dghyt15qon7us.cloudfront.net/images/productTheme/Inventory/small/1675056549.jpg</t>
  </si>
  <si>
    <t>7800</t>
  </si>
  <si>
    <t>TM8-PC-8187</t>
  </si>
  <si>
    <t>Poop Emoji Case for iPhone 14 Plus</t>
  </si>
  <si>
    <t>https://dghyt15qon7us.cloudfront.net/images/productTheme/Inventory/small/1683702123.jpg</t>
  </si>
  <si>
    <t>8187</t>
  </si>
  <si>
    <t>TM8-PC-8766</t>
  </si>
  <si>
    <t>Snake MagSafe Case for iPhone 14 Pro</t>
  </si>
  <si>
    <t>iPhone 14 Pro</t>
  </si>
  <si>
    <t>https://dghyt15qon7us.cloudfront.net/images/productTheme/Inventory/small/1697241254.jpg</t>
  </si>
  <si>
    <t>8766</t>
  </si>
  <si>
    <t>TM8-PC-7801</t>
  </si>
  <si>
    <t>Back Cover for iPhone 14 Pro</t>
  </si>
  <si>
    <t>https://dghyt15qon7us.cloudfront.net/images/productTheme/Inventory/small/1675056575.jpg</t>
  </si>
  <si>
    <t>7801</t>
  </si>
  <si>
    <t>TM8-PC-8767</t>
  </si>
  <si>
    <t>Snake MagSafe Case for iPhone 14 Pro Max</t>
  </si>
  <si>
    <t>iPhone 14 Pro Max</t>
  </si>
  <si>
    <t>https://dghyt15qon7us.cloudfront.net/images/productTheme/Inventory/small/1697241278.jpg</t>
  </si>
  <si>
    <t>8767</t>
  </si>
  <si>
    <t>TM8-PC-7802</t>
  </si>
  <si>
    <t>Back Cover for iPhone 14 Pro Max</t>
  </si>
  <si>
    <t>https://dghyt15qon7us.cloudfront.net/images/productTheme/Inventory/small/1675056600.jpg</t>
  </si>
  <si>
    <t>7802</t>
  </si>
  <si>
    <t>TM8-PC-8659</t>
  </si>
  <si>
    <t>EFM Aspen Armour Case for iPhone 15 - Black</t>
  </si>
  <si>
    <t>https://dghyt15qon7us.cloudfront.net/images/productTheme/Inventory/small/1695519432.jpg</t>
  </si>
  <si>
    <t>8659</t>
  </si>
  <si>
    <t>TM8-PC-8660</t>
  </si>
  <si>
    <t>EFM Aspen Armour Case for iPhone 15 - Clear</t>
  </si>
  <si>
    <t>https://dghyt15qon7us.cloudfront.net/images/productTheme/Inventory/small/1695519505.jpg</t>
  </si>
  <si>
    <t>8660</t>
  </si>
  <si>
    <t>TM8-PC-8831</t>
  </si>
  <si>
    <t>OtterBox Fre Waterproof MagSafe Case for iPhone 15</t>
  </si>
  <si>
    <t>https://dghyt15qon7us.cloudfront.net/images/productTheme/Inventory/small/1700439722.jpg</t>
  </si>
  <si>
    <t>8831</t>
  </si>
  <si>
    <t>TM8-PC-8708</t>
  </si>
  <si>
    <t>Im Fine Case for iPhone 15</t>
  </si>
  <si>
    <t>https://dghyt15qon7us.cloudfront.net/images/productTheme/Inventory/small/1696830472.jpg</t>
  </si>
  <si>
    <t>8708</t>
  </si>
  <si>
    <t>TM8-PC-9377</t>
  </si>
  <si>
    <t>MK Case for iPhone 15 - Black</t>
  </si>
  <si>
    <t>MK Case</t>
  </si>
  <si>
    <t>https://dghyt15qon7us.cloudfront.net/images/productTheme/Inventory/small/0.08845700%201727490199.jpg</t>
  </si>
  <si>
    <t>9377</t>
  </si>
  <si>
    <t>TM8-PC-9379</t>
  </si>
  <si>
    <t>NBA Case for iPhone 15</t>
  </si>
  <si>
    <t>NBA Case</t>
  </si>
  <si>
    <t>https://dghyt15qon7us.cloudfront.net/images/productTheme/Inventory/small/0.78480100%201727490250.jpg</t>
  </si>
  <si>
    <t>9379</t>
  </si>
  <si>
    <t>TM8-PC-9378</t>
  </si>
  <si>
    <t>ONE PIECE 25th Case for iPhone 15</t>
  </si>
  <si>
    <t>https://dghyt15qon7us.cloudfront.net/images/productTheme/Inventory/small/0.84401300%201727490232.jpg</t>
  </si>
  <si>
    <t>9378</t>
  </si>
  <si>
    <t>TM8-PC-8700</t>
  </si>
  <si>
    <t>Poop Emoji Case for iPhone 15</t>
  </si>
  <si>
    <t>https://dghyt15qon7us.cloudfront.net/images/productTheme/Inventory/small/1696830196.jpg</t>
  </si>
  <si>
    <t>8700</t>
  </si>
  <si>
    <t>TM8-PC-8712</t>
  </si>
  <si>
    <t>Solar System Case for iPhone 15</t>
  </si>
  <si>
    <t>Solar System Case</t>
  </si>
  <si>
    <t>https://dghyt15qon7us.cloudfront.net/images/productTheme/Inventory/small/1696830605.jpg</t>
  </si>
  <si>
    <t>8712</t>
  </si>
  <si>
    <t>TM8-PC-9380</t>
  </si>
  <si>
    <t>Ton Burgerman Case for iPhone 15</t>
  </si>
  <si>
    <t>https://dghyt15qon7us.cloudfront.net/images/productTheme/Inventory/small/0.47419400%201727490266.jpg</t>
  </si>
  <si>
    <t>9380</t>
  </si>
  <si>
    <t>TM8-PC-8657</t>
  </si>
  <si>
    <t>EFM Aspen Armour Case for iPhone 15 Plus - Black</t>
  </si>
  <si>
    <t>iPhone 15 Plus</t>
  </si>
  <si>
    <t>https://dghyt15qon7us.cloudfront.net/images/productTheme/Inventory/small/1695519280.jpg</t>
  </si>
  <si>
    <t>8657</t>
  </si>
  <si>
    <t>TM8-PC-8746</t>
  </si>
  <si>
    <t>Rainbow MagSafe Case for iPhone 15 Plus</t>
  </si>
  <si>
    <t>Rainbow MagSafe Case</t>
  </si>
  <si>
    <t>https://dghyt15qon7us.cloudfront.net/images/productTheme/Inventory/small/1697434286.jpg</t>
  </si>
  <si>
    <t>8746</t>
  </si>
  <si>
    <t>TM8-PC-8709</t>
  </si>
  <si>
    <t>Im Fine Case for iPhone 15 Plus</t>
  </si>
  <si>
    <t>https://dghyt15qon7us.cloudfront.net/images/productTheme/Inventory/small/1696830491.jpg</t>
  </si>
  <si>
    <t>8709</t>
  </si>
  <si>
    <t>TM8-PC-8701</t>
  </si>
  <si>
    <t>Poop Emoji Case for iPhone 15 Plus</t>
  </si>
  <si>
    <t>https://dghyt15qon7us.cloudfront.net/images/productTheme/Inventory/small/1696830234.jpg</t>
  </si>
  <si>
    <t>8701</t>
  </si>
  <si>
    <t>TM8-PC-8713</t>
  </si>
  <si>
    <t>Solar System Case for iPhone 15 Plus</t>
  </si>
  <si>
    <t>https://dghyt15qon7us.cloudfront.net/images/productTheme/Inventory/small/1696830641.jpg</t>
  </si>
  <si>
    <t>8713</t>
  </si>
  <si>
    <t>TM8-PC-8667</t>
  </si>
  <si>
    <t>EFM Aspen Armour Case for iPhone 15 Pro - Black</t>
  </si>
  <si>
    <t>iPhone 15 Pro</t>
  </si>
  <si>
    <t>https://dghyt15qon7us.cloudfront.net/images/productTheme/Inventory/small/1695520121.jpg</t>
  </si>
  <si>
    <t>8667</t>
  </si>
  <si>
    <t>TM8-PC-8668</t>
  </si>
  <si>
    <t>EFM Aspen Armour Case for iPhone 15 Pro - Clear</t>
  </si>
  <si>
    <t>https://dghyt15qon7us.cloudfront.net/images/productTheme/Inventory/small/1695520188.jpg</t>
  </si>
  <si>
    <t>8668</t>
  </si>
  <si>
    <t>TM8-PC-8710</t>
  </si>
  <si>
    <t>Im Fine Case for iPhone 15 Pro</t>
  </si>
  <si>
    <t>https://dghyt15qon7us.cloudfront.net/images/productTheme/Inventory/small/1696830517.jpg</t>
  </si>
  <si>
    <t>8710</t>
  </si>
  <si>
    <t>TM8-PC-9375</t>
  </si>
  <si>
    <t>NBA Case for iPhone 15 Pro</t>
  </si>
  <si>
    <t>https://dghyt15qon7us.cloudfront.net/images/productTheme/Inventory/small/0.33795000%201727490145.jpg</t>
  </si>
  <si>
    <t>9375</t>
  </si>
  <si>
    <t>TM8-PC-8714</t>
  </si>
  <si>
    <t>Solar System Case for iPhone 15 Pro</t>
  </si>
  <si>
    <t>https://dghyt15qon7us.cloudfront.net/images/productTheme/Inventory/small/1696830660.jpg</t>
  </si>
  <si>
    <t>8714</t>
  </si>
  <si>
    <t>TM8-PC-8662</t>
  </si>
  <si>
    <t>EFM Aspen Armour Case for iPhone 15 Pro Max - Black</t>
  </si>
  <si>
    <t>iPhone 15 Pro Max</t>
  </si>
  <si>
    <t>https://dghyt15qon7us.cloudfront.net/images/productTheme/Inventory/small/1695519650.jpg</t>
  </si>
  <si>
    <t>8662</t>
  </si>
  <si>
    <t>TM8-PC-8663</t>
  </si>
  <si>
    <t>EFM Aspen Armour Case for iPhone 15 Pro Max - Clear</t>
  </si>
  <si>
    <t>https://dghyt15qon7us.cloudfront.net/images/productTheme/Inventory/small/1695519679.jpg</t>
  </si>
  <si>
    <t>8663</t>
  </si>
  <si>
    <t>TM8-PC-8775</t>
  </si>
  <si>
    <t>Discount Label MagSafe Case for iPhone 15 Pro Max</t>
  </si>
  <si>
    <t>https://dghyt15qon7us.cloudfront.net/images/productTheme/Inventory/small/1697241622.jpg</t>
  </si>
  <si>
    <t>8775</t>
  </si>
  <si>
    <t>TM8-PC-8739</t>
  </si>
  <si>
    <t>Ice MagSafe Case for iPhone 15 Pro Max - Cream</t>
  </si>
  <si>
    <t>https://dghyt15qon7us.cloudfront.net/images/productTheme/Inventory/small/1697240444.jpg</t>
  </si>
  <si>
    <t>8739</t>
  </si>
  <si>
    <t>TM8-PC-10116</t>
  </si>
  <si>
    <t>Iridescent MagSafe Case for iPhone 15 Pro Max - Pink</t>
  </si>
  <si>
    <t>Iridescent MagSafe Case</t>
  </si>
  <si>
    <t>Pink</t>
  </si>
  <si>
    <t>https://dghyt15qon7us.cloudfront.net/images/productTheme/Inventory/small/0.13516300%201739148893.jpg</t>
  </si>
  <si>
    <t>10116</t>
  </si>
  <si>
    <t>TM8-PC-8711</t>
  </si>
  <si>
    <t>Im Fine Case for iPhone 15 Pro Max</t>
  </si>
  <si>
    <t>https://dghyt15qon7us.cloudfront.net/images/productTheme/Inventory/small/1696830560.jpg</t>
  </si>
  <si>
    <t>8711</t>
  </si>
  <si>
    <t>TM8-PC-8703</t>
  </si>
  <si>
    <t>Poop Emoji Case for iPhone 15 Pro Max</t>
  </si>
  <si>
    <t>https://dghyt15qon7us.cloudfront.net/images/productTheme/Inventory/small/1696830284.jpg</t>
  </si>
  <si>
    <t>8703</t>
  </si>
  <si>
    <t>TM8-PC-10159</t>
  </si>
  <si>
    <t>OtterBox Fre Waterproof MagSafe Case for iPhone 16</t>
  </si>
  <si>
    <t>iPhone 16</t>
  </si>
  <si>
    <t>https://dghyt15qon7us.cloudfront.net/images/productTheme/Inventory/small/0.66233300%201740549146.jpg</t>
  </si>
  <si>
    <t>10159</t>
  </si>
  <si>
    <t>TM8-PC-10404</t>
  </si>
  <si>
    <t>Butterfly MagSafe Case for iPhone 16 - Rose</t>
  </si>
  <si>
    <t>Butterfly MagSafe Case</t>
  </si>
  <si>
    <t>Rose</t>
  </si>
  <si>
    <t>https://dghyt15qon7us.cloudfront.net/images/productTheme/Inventory/small/0.92522400%201748840664.jpg</t>
  </si>
  <si>
    <t>10404</t>
  </si>
  <si>
    <t>TM8-PC-10405</t>
  </si>
  <si>
    <t>Daub Hearts MagSafe Case for iPhone 16 - Black</t>
  </si>
  <si>
    <t>Daub Hearts MagSafe Case</t>
  </si>
  <si>
    <t>https://dghyt15qon7us.cloudfront.net/images/productTheme/Inventory/small/0.71166900%201748840701.jpg</t>
  </si>
  <si>
    <t>10405</t>
  </si>
  <si>
    <t>TM8-PC-9458</t>
  </si>
  <si>
    <t>Iridescent MagSafe Case for iPhone 16 - Black</t>
  </si>
  <si>
    <t>https://dghyt15qon7us.cloudfront.net/images/productTheme/Inventory/small/0.15010100%201728704910.jpg</t>
  </si>
  <si>
    <t>9458</t>
  </si>
  <si>
    <t>TM8-PC-10403</t>
  </si>
  <si>
    <t>Team Coca-cola MagSafe Case for iPhone 16</t>
  </si>
  <si>
    <t>Team Coca-cola MagSafe Case</t>
  </si>
  <si>
    <t>https://dghyt15qon7us.cloudfront.net/images/productTheme/Inventory/small/0.23790400%201748840633.jpg</t>
  </si>
  <si>
    <t>10403</t>
  </si>
  <si>
    <t>TM8-PC-10411</t>
  </si>
  <si>
    <t>Butterfly MagSafe Case for iPhone 16 Plus - Blue</t>
  </si>
  <si>
    <t>iPhone 16 Plus</t>
  </si>
  <si>
    <t>Blue</t>
  </si>
  <si>
    <t>https://dghyt15qon7us.cloudfront.net/images/productTheme/Inventory/small/0.14081600%201748998770.jpg</t>
  </si>
  <si>
    <t>10411</t>
  </si>
  <si>
    <t>TM8-PC-10413</t>
  </si>
  <si>
    <t>Colorful Flowers MagSafe Case for iPhone 16 Plus</t>
  </si>
  <si>
    <t>Colorful Flowers MagSafe Case</t>
  </si>
  <si>
    <t>https://dghyt15qon7us.cloudfront.net/images/productTheme/Inventory/small/0.46243700%201748998841.jpg</t>
  </si>
  <si>
    <t>10413</t>
  </si>
  <si>
    <t>TM8-PC-9459</t>
  </si>
  <si>
    <t>Iridescent MagSafe Case for iPhone 16 Plus - Black</t>
  </si>
  <si>
    <t>https://dghyt15qon7us.cloudfront.net/images/productTheme/Inventory/small/0.84203800%201728705166.jpg</t>
  </si>
  <si>
    <t>9459</t>
  </si>
  <si>
    <t>TM8-PC-10418</t>
  </si>
  <si>
    <t>Soft Metal MagSafe Case for iPhone 16 Plus</t>
  </si>
  <si>
    <t>Soft Metal MagSafe Case</t>
  </si>
  <si>
    <t>https://dghyt15qon7us.cloudfront.net/images/productTheme/Inventory/small/0.60236200%201748999037.jpg</t>
  </si>
  <si>
    <t>10418</t>
  </si>
  <si>
    <t>TM8-PC-10410</t>
  </si>
  <si>
    <t>Squill Flowers MagSafe Case for iPhone 16 Plus - Black</t>
  </si>
  <si>
    <t>Squill Flowers MagSafe Case</t>
  </si>
  <si>
    <t>https://dghyt15qon7us.cloudfront.net/images/productTheme/Inventory/small/0.34475800%201748998744.jpg</t>
  </si>
  <si>
    <t>10410</t>
  </si>
  <si>
    <t>TM8-PC-10158</t>
  </si>
  <si>
    <t>OtterBox Fre Waterproof MagSafe Case for iPhone 16 Pro</t>
  </si>
  <si>
    <t>iPhone 16 Pro</t>
  </si>
  <si>
    <t>https://dghyt15qon7us.cloudfront.net/images/productTheme/Inventory/small/0.82482700%201740549102.jpg</t>
  </si>
  <si>
    <t>10158</t>
  </si>
  <si>
    <t>TM8-PC-10434</t>
  </si>
  <si>
    <t>Butterfly MagSafe Case for iPhone 16 Pro - Blue</t>
  </si>
  <si>
    <t>https://dghyt15qon7us.cloudfront.net/images/productTheme/Inventory/small/0.74242300%201749531408.jpg</t>
  </si>
  <si>
    <t>10434</t>
  </si>
  <si>
    <t>TM8-PC-10445</t>
  </si>
  <si>
    <t>Butterfly MagSafe Case for iPhone 16 Pro - Rose</t>
  </si>
  <si>
    <t>https://dghyt15qon7us.cloudfront.net/images/productTheme/Inventory/small/0.02654700%201749531871.jpg</t>
  </si>
  <si>
    <t>10445</t>
  </si>
  <si>
    <t>TM8-PC-10439</t>
  </si>
  <si>
    <t>Daub Hearts MagSafe Case for iPhone 16 Pro - Black</t>
  </si>
  <si>
    <t>https://dghyt15qon7us.cloudfront.net/images/productTheme/Inventory/small/0.78870200%201749531679.jpg</t>
  </si>
  <si>
    <t>10439</t>
  </si>
  <si>
    <t>TM8-PC-10441</t>
  </si>
  <si>
    <t>Flower Heard MagSafe Case for iPhone 16 Pro</t>
  </si>
  <si>
    <t>Flower Heard MagSafe Case</t>
  </si>
  <si>
    <t>https://dghyt15qon7us.cloudfront.net/images/productTheme/Inventory/small/0.19888200%201749531747.jpg</t>
  </si>
  <si>
    <t>10441</t>
  </si>
  <si>
    <t>TM8-PC-9460</t>
  </si>
  <si>
    <t>Iridescent MagSafe Case for iPhone 16 Pro - Black</t>
  </si>
  <si>
    <t>https://dghyt15qon7us.cloudfront.net/images/productTheme/Inventory/small/0.78792500%201728705284.jpg</t>
  </si>
  <si>
    <t>9460</t>
  </si>
  <si>
    <t>TM8-PC-9456</t>
  </si>
  <si>
    <t>Iridescent MagSafe Case for iPhone 16 Pro - Pink</t>
  </si>
  <si>
    <t>https://dghyt15qon7us.cloudfront.net/images/productTheme/Inventory/small/0.46262300%201728703570.jpg</t>
  </si>
  <si>
    <t>9456</t>
  </si>
  <si>
    <t>TM8-PC-10443</t>
  </si>
  <si>
    <t>Kingsnake MagSafe Case for iPhone 16 Pro</t>
  </si>
  <si>
    <t>Kingsnake MagSafe Case</t>
  </si>
  <si>
    <t>https://dghyt15qon7us.cloudfront.net/images/productTheme/Inventory/small/0.26927600%201749531808.jpg</t>
  </si>
  <si>
    <t>10443</t>
  </si>
  <si>
    <t>TM8-PC-10447</t>
  </si>
  <si>
    <t>Soft Metal MagSafe Case for iPhone 16 Pro</t>
  </si>
  <si>
    <t>https://dghyt15qon7us.cloudfront.net/images/productTheme/Inventory/small/0.52411400%201749531932.jpg</t>
  </si>
  <si>
    <t>10447</t>
  </si>
  <si>
    <t>TM8-PC-10449</t>
  </si>
  <si>
    <t>Team Coca-cola MagSafe Case for iPhone 16 Pro</t>
  </si>
  <si>
    <t>https://dghyt15qon7us.cloudfront.net/images/productTheme/Inventory/small/0.72453200%201749532111.jpg</t>
  </si>
  <si>
    <t>10449</t>
  </si>
  <si>
    <t>TM8-PC-10953</t>
  </si>
  <si>
    <t>Air Cushion+ Case for iPhone 16 Pro - Assorted</t>
  </si>
  <si>
    <t>Air Cushion+ Case</t>
  </si>
  <si>
    <t>Assorted</t>
  </si>
  <si>
    <t>https://dghyt15qon7us.cloudfront.net/images/productTheme/Inventory/small/0.46745700%201767672450.jpg</t>
  </si>
  <si>
    <t>10953</t>
  </si>
  <si>
    <t>TM8-PC-10442</t>
  </si>
  <si>
    <t>Flower Smile Case for iPhone 16 Pro - Purple</t>
  </si>
  <si>
    <t>Flower Smile Case</t>
  </si>
  <si>
    <t>Purple</t>
  </si>
  <si>
    <t>https://dghyt15qon7us.cloudfront.net/images/productTheme/Inventory/small/0.47373300%201749531776.jpg</t>
  </si>
  <si>
    <t>10442</t>
  </si>
  <si>
    <t>TM8-PC-10331</t>
  </si>
  <si>
    <t>Butterfly MagSafe Case for iPhone 16 Pro Max - Rose</t>
  </si>
  <si>
    <t>iPhone 16 Pro Max</t>
  </si>
  <si>
    <t>https://dghyt15qon7us.cloudfront.net/images/productTheme/Inventory/small/174815122220250525153311.jpg</t>
  </si>
  <si>
    <t>10331</t>
  </si>
  <si>
    <t>TM8-PC-10324</t>
  </si>
  <si>
    <t>Color Doc MagSafe Case for iPhone 16 Pro Max</t>
  </si>
  <si>
    <t>Color Doc MagSafe Case</t>
  </si>
  <si>
    <t>https://dghyt15qon7us.cloudfront.net/images/productTheme/Inventory/small/0.95927900%201748150366.jpg</t>
  </si>
  <si>
    <t>10324</t>
  </si>
  <si>
    <t>TM8-PC-10339</t>
  </si>
  <si>
    <t>Kingsnake MagSafe Case for iPhone 16 Pro Max</t>
  </si>
  <si>
    <t>https://dghyt15qon7us.cloudfront.net/images/productTheme/Inventory/small/0.77993600%201748151961.jpg</t>
  </si>
  <si>
    <t>10339</t>
  </si>
  <si>
    <t>TM8-PC-10334</t>
  </si>
  <si>
    <t>No Idea MagSafe Case for iPhone 16 Pro Max - Black</t>
  </si>
  <si>
    <t>No Idea MagSafe Case</t>
  </si>
  <si>
    <t>https://dghyt15qon7us.cloudfront.net/images/productTheme/Inventory/small/0.14224100%201748151521.jpg</t>
  </si>
  <si>
    <t>10334</t>
  </si>
  <si>
    <t>TM8-PC-10323</t>
  </si>
  <si>
    <t>Shark MagSafe Case for iPhone 16 Pro Max</t>
  </si>
  <si>
    <t>Shark MagSafe Case</t>
  </si>
  <si>
    <t>https://dghyt15qon7us.cloudfront.net/images/productTheme/Inventory/small/0.29970900%201748150061.jpg</t>
  </si>
  <si>
    <t>10323</t>
  </si>
  <si>
    <t>TM8-PC-10333</t>
  </si>
  <si>
    <t>Squill Flowers MagSafe Case for iPhone 16 Pro Max - Black</t>
  </si>
  <si>
    <t>https://dghyt15qon7us.cloudfront.net/images/productTheme/Inventory/small/0.71074400%201748151452.jpg</t>
  </si>
  <si>
    <t>10333</t>
  </si>
  <si>
    <t>TM8-PC-10330</t>
  </si>
  <si>
    <t>Vintage Flower MagSafe Case for iPhone 16 Pro Max</t>
  </si>
  <si>
    <t>Vintage Flower MagSafe Case</t>
  </si>
  <si>
    <t>https://dghyt15qon7us.cloudfront.net/images/productTheme/Inventory/small/0.50321100%201748150883.jpg</t>
  </si>
  <si>
    <t>10330</t>
  </si>
  <si>
    <t>TM8-PC-10954</t>
  </si>
  <si>
    <t>Air Cushion+ Case for iPhone 16 Pro Max - Assorted</t>
  </si>
  <si>
    <t>https://dghyt15qon7us.cloudfront.net/images/productTheme/Inventory/small/0.01273800%201767672532.jpg</t>
  </si>
  <si>
    <t>10954</t>
  </si>
  <si>
    <t>TM8-PC-10706</t>
  </si>
  <si>
    <t>Cherry Blossom Gradient MagSafe Case for iPhone 17</t>
  </si>
  <si>
    <t>iPhone 17</t>
  </si>
  <si>
    <t>Cherry Blossom Gradient MagSafe Case</t>
  </si>
  <si>
    <t>https://dghyt15qon7us.cloudfront.net/images/productTheme/Inventory/small/0.21465000%201758429066.jpg</t>
  </si>
  <si>
    <t>10706</t>
  </si>
  <si>
    <t>TM8-PC-11004</t>
  </si>
  <si>
    <t>Daub Hearts MagSafe Case for iPhone 17</t>
  </si>
  <si>
    <t>https://dghyt15qon7us.cloudfront.net/images/productTheme/Inventory/small/0.53498700%201769495615.jpg</t>
  </si>
  <si>
    <t>11004</t>
  </si>
  <si>
    <t>TM8-PC-10713</t>
  </si>
  <si>
    <t>Ghost Snow Globe MagSafe Case for iPhone 17</t>
  </si>
  <si>
    <t>Ghost Snow Globe MagSafe Case</t>
  </si>
  <si>
    <t>https://dghyt15qon7us.cloudfront.net/images/productTheme/Inventory/small/0.86891400%201758429795.jpg</t>
  </si>
  <si>
    <t>10713</t>
  </si>
  <si>
    <t>TM8-PC-10895</t>
  </si>
  <si>
    <t>Iridescent MagSafe Case for iPhone 17 - Black</t>
  </si>
  <si>
    <t>https://dghyt15qon7us.cloudfront.net/images/productTheme/Inventory/small/0.63398300%201765070877.jpg</t>
  </si>
  <si>
    <t>10895</t>
  </si>
  <si>
    <t>TM8-PC-10998</t>
  </si>
  <si>
    <t>NBA MagSafe Case for iPhone 17</t>
  </si>
  <si>
    <t>NBA MagSafe Case</t>
  </si>
  <si>
    <t>https://dghyt15qon7us.cloudfront.net/images/productTheme/Inventory/small/0.86974800%201769494665.jpg</t>
  </si>
  <si>
    <t>10998</t>
  </si>
  <si>
    <t>TM8-PC-11000</t>
  </si>
  <si>
    <t>ONE PIECE MagSafe Case for iPhone 17</t>
  </si>
  <si>
    <t>ONE PIECE MagSafe Case</t>
  </si>
  <si>
    <t>https://dghyt15qon7us.cloudfront.net/images/productTheme/Inventory/small/0.01067200%201769495009.jpg</t>
  </si>
  <si>
    <t>11000</t>
  </si>
  <si>
    <t>TM8-PC-10714</t>
  </si>
  <si>
    <t>Snake MagSafe Case for iPhone 17</t>
  </si>
  <si>
    <t>https://dghyt15qon7us.cloudfront.net/images/productTheme/Inventory/small/0.76540400%201758430937.jpg</t>
  </si>
  <si>
    <t>10714</t>
  </si>
  <si>
    <t>TM8-PC-11002</t>
  </si>
  <si>
    <t>Ton MagSafe Case for iPhone 17</t>
  </si>
  <si>
    <t>Ton MagSafe Case</t>
  </si>
  <si>
    <t>https://dghyt15qon7us.cloudfront.net/images/productTheme/Inventory/small/0.51305200%201769495485.jpg</t>
  </si>
  <si>
    <t>11002</t>
  </si>
  <si>
    <t>TM8-PC-10651</t>
  </si>
  <si>
    <t>Shockproof MagSafe Matte Feeling Case for iPhone 17 - Grey</t>
  </si>
  <si>
    <t>Shockproof MagSafe Matte Feeling Case</t>
  </si>
  <si>
    <t>Grey</t>
  </si>
  <si>
    <t>https://dghyt15qon7us.cloudfront.net/images/productTheme/Inventory/small/0.75699200%201757479749.jpg</t>
  </si>
  <si>
    <t>10651</t>
  </si>
  <si>
    <t>TM8-PC-10658</t>
  </si>
  <si>
    <t>Shockproof MagSafe Matte Feeling Case for iPhone 17 - Pink</t>
  </si>
  <si>
    <t>https://dghyt15qon7us.cloudfront.net/images/productTheme/Inventory/small/0.31412200%20175869144742461737.jpg</t>
  </si>
  <si>
    <t>10658</t>
  </si>
  <si>
    <t>TM8-PC-10666</t>
  </si>
  <si>
    <t>Shockproof MagSafe Matte Feeling Case for iPhone 17 - Sky Blue</t>
  </si>
  <si>
    <t>Sky Blue</t>
  </si>
  <si>
    <t>https://dghyt15qon7us.cloudfront.net/images/productTheme/Inventory/small/0.65026000%201757480460.jpg</t>
  </si>
  <si>
    <t>10666</t>
  </si>
  <si>
    <t>TM8-PC-10707</t>
  </si>
  <si>
    <t>Cherry Blossom Gradient MagSafe Case for iPhone 17 Air</t>
  </si>
  <si>
    <t>iPhone 17 Air</t>
  </si>
  <si>
    <t>https://dghyt15qon7us.cloudfront.net/images/productTheme/Inventory/small/0.38758000%201758429132.jpg</t>
  </si>
  <si>
    <t>10707</t>
  </si>
  <si>
    <t>TM8-PC-11003</t>
  </si>
  <si>
    <t>Daub Hearts MagSafe Case for iPhone 17 Air</t>
  </si>
  <si>
    <t>https://dghyt15qon7us.cloudfront.net/images/productTheme/Inventory/small/0.55542900%201769495594.jpg</t>
  </si>
  <si>
    <t>11003</t>
  </si>
  <si>
    <t>TM8-PC-10712</t>
  </si>
  <si>
    <t>Ghost Snow Globe MagSafe Case for iPhone 17 Air</t>
  </si>
  <si>
    <t>https://dghyt15qon7us.cloudfront.net/images/productTheme/Inventory/small/0.01546100%201758429760.jpg</t>
  </si>
  <si>
    <t>10712</t>
  </si>
  <si>
    <t>TM8-PC-10897</t>
  </si>
  <si>
    <t>Iridescent MagSafe Case for iPhone 17 Air - Black</t>
  </si>
  <si>
    <t>https://dghyt15qon7us.cloudfront.net/images/productTheme/Inventory/small/0.56514400%201765071048.jpg</t>
  </si>
  <si>
    <t>10897</t>
  </si>
  <si>
    <t>TM8-PC-10898</t>
  </si>
  <si>
    <t>Iridescent MagSafe Case for iPhone 17 Air - Pink</t>
  </si>
  <si>
    <t>https://dghyt15qon7us.cloudfront.net/images/productTheme/Inventory/small/0.55344500%201765071096.jpg</t>
  </si>
  <si>
    <t>10898</t>
  </si>
  <si>
    <t>TM8-PC-10997</t>
  </si>
  <si>
    <t>NBA MagSafe Case for iPhone 17 Air</t>
  </si>
  <si>
    <t>https://dghyt15qon7us.cloudfront.net/images/productTheme/Inventory/small/0.74224500%201769493979.jpg</t>
  </si>
  <si>
    <t>10997</t>
  </si>
  <si>
    <t>TM8-PC-10999</t>
  </si>
  <si>
    <t>ONE PIECE MagSafe Case for iPhone 17 Air</t>
  </si>
  <si>
    <t>https://dghyt15qon7us.cloudfront.net/images/productTheme/Inventory/small/0.32087200%201769494987.jpg</t>
  </si>
  <si>
    <t>10999</t>
  </si>
  <si>
    <t>TM8-PC-11001</t>
  </si>
  <si>
    <t>Ton MagSafe Case for iPhone 17 Air</t>
  </si>
  <si>
    <t>https://dghyt15qon7us.cloudfront.net/images/productTheme/Inventory/small/0.09852300%201769495049.jpg</t>
  </si>
  <si>
    <t>11001</t>
  </si>
  <si>
    <t>TM8-PC-10660</t>
  </si>
  <si>
    <t>Shockproof MagSafe Matte Feeling Case for iPhone 17 Air - Dark Blue</t>
  </si>
  <si>
    <t>Dark Blue</t>
  </si>
  <si>
    <t>https://dghyt15qon7us.cloudfront.net/images/productTheme/Inventory/small/0.92656800%201757480231.jpg</t>
  </si>
  <si>
    <t>10660</t>
  </si>
  <si>
    <t>TM8-PC-10652</t>
  </si>
  <si>
    <t>Shockproof MagSafe Matte Feeling Case for iPhone 17 Air - Grey</t>
  </si>
  <si>
    <t>https://dghyt15qon7us.cloudfront.net/images/productTheme/Inventory/small/0.73836600%201757479811.jpg</t>
  </si>
  <si>
    <t>10652</t>
  </si>
  <si>
    <t>TM8-PC-10657</t>
  </si>
  <si>
    <t>Shockproof MagSafe Matte Feeling Case for iPhone 17 Air - Pink</t>
  </si>
  <si>
    <t>https://dghyt15qon7us.cloudfront.net/images/productTheme/Inventory/small/0.64749500%20175869141542461736.jpg</t>
  </si>
  <si>
    <t>10657</t>
  </si>
  <si>
    <t>TM8-PC-10665</t>
  </si>
  <si>
    <t>Shockproof MagSafe Matte Feeling Case for iPhone 17 Air - Sky Blue</t>
  </si>
  <si>
    <t>https://dghyt15qon7us.cloudfront.net/images/productTheme/Inventory/small/0.48125300%201757480430.jpg</t>
  </si>
  <si>
    <t>10665</t>
  </si>
  <si>
    <t>TM8-PC-10875</t>
  </si>
  <si>
    <t>OtterBox Fre Waterproof MagSafe Case for iPhone 17 Pro</t>
  </si>
  <si>
    <t>iPhone 17 Pro</t>
  </si>
  <si>
    <t>https://dghyt15qon7us.cloudfront.net/images/productTheme/Inventory/small/0.62914900%201764118528.jpg</t>
  </si>
  <si>
    <t>10875</t>
  </si>
  <si>
    <t>TM8-PC-10708</t>
  </si>
  <si>
    <t>Cherry Blossom Gradient MagSafe Case for iPhone 17 Pro</t>
  </si>
  <si>
    <t>https://dghyt15qon7us.cloudfront.net/images/productTheme/Inventory/small/0.77861200%201758429170.jpg</t>
  </si>
  <si>
    <t>10708</t>
  </si>
  <si>
    <t>TM8-PC-10862</t>
  </si>
  <si>
    <t>Daub Hearts MagSafe Case for iPhone 17 Pro</t>
  </si>
  <si>
    <t>https://dghyt15qon7us.cloudfront.net/images/productTheme/Inventory/small/0.02068300%201763534979.jpg</t>
  </si>
  <si>
    <t>10862</t>
  </si>
  <si>
    <t>TM8-PC-10899</t>
  </si>
  <si>
    <t>Iridescent MagSafe Case for iPhone 17 Pro - Black</t>
  </si>
  <si>
    <t>https://dghyt15qon7us.cloudfront.net/images/productTheme/Inventory/small/0.93052900%201765071139.jpg</t>
  </si>
  <si>
    <t>10899</t>
  </si>
  <si>
    <t>TM8-PC-10865</t>
  </si>
  <si>
    <t>NBA MagSafe Case for iPhone 17 Pro</t>
  </si>
  <si>
    <t>https://dghyt15qon7us.cloudfront.net/images/productTheme/Inventory/small/0.08407600%201763535255.jpg</t>
  </si>
  <si>
    <t>10865</t>
  </si>
  <si>
    <t>TM8-PC-10863</t>
  </si>
  <si>
    <t>ONE PIECE MagSafe Case for iPhone 17 Pro</t>
  </si>
  <si>
    <t>https://dghyt15qon7us.cloudfront.net/images/productTheme/Inventory/small/0.89688100%201763535035.jpg</t>
  </si>
  <si>
    <t>10863</t>
  </si>
  <si>
    <t>TM8-PC-10716</t>
  </si>
  <si>
    <t>Snake MagSafe Case for iPhone 17 Pro</t>
  </si>
  <si>
    <t>https://dghyt15qon7us.cloudfront.net/images/productTheme/Inventory/small/0.49577200%201758430991.jpg</t>
  </si>
  <si>
    <t>10716</t>
  </si>
  <si>
    <t>TM8-PC-10864</t>
  </si>
  <si>
    <t>Ton MagSafe Case for iPhone 17 Pro</t>
  </si>
  <si>
    <t>https://dghyt15qon7us.cloudfront.net/images/productTheme/Inventory/small/0.07596300%201763535091.jpg</t>
  </si>
  <si>
    <t>10864</t>
  </si>
  <si>
    <t>TM8-PC-10661</t>
  </si>
  <si>
    <t>Shockproof MagSafe Matte Feeling Case for iPhone 17 Pro - Dark Blue</t>
  </si>
  <si>
    <t>https://dghyt15qon7us.cloudfront.net/images/productTheme/Inventory/small/0.39926800%201757480264.jpg</t>
  </si>
  <si>
    <t>10661</t>
  </si>
  <si>
    <t>TM8-PC-10653</t>
  </si>
  <si>
    <t>Shockproof MagSafe Matte Feeling Case for iPhone 17 Pro - Grey</t>
  </si>
  <si>
    <t>https://dghyt15qon7us.cloudfront.net/images/productTheme/Inventory/small/0.94660700%201757479848.jpg</t>
  </si>
  <si>
    <t>10653</t>
  </si>
  <si>
    <t>TM8-PC-10655</t>
  </si>
  <si>
    <t>Shockproof MagSafe Matte Feeling Case for iPhone 17 Pro - Pink</t>
  </si>
  <si>
    <t>https://dghyt15qon7us.cloudfront.net/images/productTheme/Inventory/small/0.32646100%20175869138042461734.jpg</t>
  </si>
  <si>
    <t>10655</t>
  </si>
  <si>
    <t>TM8-PC-10664</t>
  </si>
  <si>
    <t>Shockproof MagSafe Matte Feeling Case for iPhone 17 Pro - Sky Blue</t>
  </si>
  <si>
    <t>https://dghyt15qon7us.cloudfront.net/images/productTheme/Inventory/small/0.33182700%201757480395.jpg</t>
  </si>
  <si>
    <t>10664</t>
  </si>
  <si>
    <t>TM8-PC-10876</t>
  </si>
  <si>
    <t>OtterBox Fre Waterproof MagSafe Case for iPhone 17 Pro Max</t>
  </si>
  <si>
    <t>iPhone 17 Pro Max</t>
  </si>
  <si>
    <t>https://dghyt15qon7us.cloudfront.net/images/productTheme/Inventory/small/0.40901600%201764118545.jpg</t>
  </si>
  <si>
    <t>10876</t>
  </si>
  <si>
    <t>TM8-PC-10709</t>
  </si>
  <si>
    <t>Cherry Blossom Gradient MagSafe Case for iPhone 17 Pro Max</t>
  </si>
  <si>
    <t>https://dghyt15qon7us.cloudfront.net/images/productTheme/Inventory/small/0.08999200%201758429199.jpg</t>
  </si>
  <si>
    <t>10709</t>
  </si>
  <si>
    <t>TM8-PC-10861</t>
  </si>
  <si>
    <t>NBA MagSafe Case for iPhone 17 Pro Max</t>
  </si>
  <si>
    <t>https://dghyt15qon7us.cloudfront.net/images/productTheme/Inventory/small/0.50115900%201763532823.jpg</t>
  </si>
  <si>
    <t>10861</t>
  </si>
  <si>
    <t>TM8-PC-10859</t>
  </si>
  <si>
    <t>ONE PIECE MagSafe Case for iPhone 17 Pro Max</t>
  </si>
  <si>
    <t>https://dghyt15qon7us.cloudfront.net/images/productTheme/Inventory/small/0.04962000%201763531912.jpg</t>
  </si>
  <si>
    <t>10859</t>
  </si>
  <si>
    <t>TM8-PC-10663</t>
  </si>
  <si>
    <t>Shockproof MagSafe Matte Feeling Case for iPhone 17 Pro Max - Sky Blue</t>
  </si>
  <si>
    <t>https://dghyt15qon7us.cloudfront.net/images/productTheme/Inventory/small/0.80689400%201757480358.jpg</t>
  </si>
  <si>
    <t>10663</t>
  </si>
  <si>
    <t>TM8-PC-8960</t>
  </si>
  <si>
    <t>Back Cover for Samsung Galaxy A15</t>
  </si>
  <si>
    <t>Samsung Galaxy A15</t>
  </si>
  <si>
    <t>Samsung Galaxy</t>
  </si>
  <si>
    <t>https://dghyt15qon7us.cloudfront.net/images/productTheme/Inventory/small/1705452323.jpg</t>
  </si>
  <si>
    <t>8960</t>
  </si>
  <si>
    <t>TM8-PC-8961</t>
  </si>
  <si>
    <t>Back Cover for Samsung Galaxy A25</t>
  </si>
  <si>
    <t>Samsung Galaxy A25</t>
  </si>
  <si>
    <t>https://dghyt15qon7us.cloudfront.net/images/productTheme/Inventory/small/1705452346.jpg</t>
  </si>
  <si>
    <t>8961</t>
  </si>
  <si>
    <t>TM8-PC-9547</t>
  </si>
  <si>
    <t>Back Cover for Samsung Galaxy S24 FE</t>
  </si>
  <si>
    <t>Samsung Galaxy S24 FE</t>
  </si>
  <si>
    <t>https://dghyt15qon7us.cloudfront.net/images/productTheme/Inventory/small/0.16018800%201731993054.jpg</t>
  </si>
  <si>
    <t>9547</t>
  </si>
  <si>
    <t>TM8-PC-9568</t>
  </si>
  <si>
    <t>Back Cover for Samsung Galaxy S25</t>
  </si>
  <si>
    <t>Samsung Galaxy S25</t>
  </si>
  <si>
    <t>https://dghyt15qon7us.cloudfront.net/images/productTheme/Inventory/small/0.68985900%201732165108.jpg</t>
  </si>
  <si>
    <t>9568</t>
  </si>
  <si>
    <t>TM8-PC-9573</t>
  </si>
  <si>
    <t>Back Cover for Samsung Galaxy S25 Plus</t>
  </si>
  <si>
    <t>Samsung Galaxy S25 Plus</t>
  </si>
  <si>
    <t>https://dghyt15qon7us.cloudfront.net/images/productTheme/Inventory/small/0.19887400%201732165999.jpg</t>
  </si>
  <si>
    <t>9573</t>
  </si>
  <si>
    <t>TM8-PC-9578</t>
  </si>
  <si>
    <t>Back Cover for Samsung Galaxy S25 Ultra</t>
  </si>
  <si>
    <t>Samsung Galaxy S25 Ultra</t>
  </si>
  <si>
    <t>https://dghyt15qon7us.cloudfront.net/images/productTheme/Inventory/small/0.98340600%201732166910.jpg</t>
  </si>
  <si>
    <t>9578</t>
  </si>
  <si>
    <t>TM8-PC-10500</t>
  </si>
  <si>
    <t>Back Cover for Samsung Galaxy S25 Edge</t>
  </si>
  <si>
    <t>Samsung Galaxy S25 Edge</t>
  </si>
  <si>
    <t>https://dghyt15qon7us.cloudfront.net/images/productTheme/Inventory/small/0.41141800%201752031811.jpg</t>
  </si>
  <si>
    <t>10500</t>
  </si>
  <si>
    <t>TM8-PC-9668</t>
  </si>
  <si>
    <t>Yesido Waterproof Case Wb49 for Universal Waterproof Phone Pouch</t>
  </si>
  <si>
    <t>Yesido</t>
  </si>
  <si>
    <t>Universal Waterproof Phone Pouch</t>
  </si>
  <si>
    <t>Yesido Waterproof Case Wb49</t>
  </si>
  <si>
    <t>Other &amp; Universal</t>
  </si>
  <si>
    <t>https://dghyt15qon7us.cloudfront.net/images/productTheme/Inventory/small/0.64284000%201734058012.jpg</t>
  </si>
  <si>
    <t>9668</t>
  </si>
  <si>
    <t>Comparable Case Style</t>
  </si>
  <si>
    <t>Rows</t>
  </si>
  <si>
    <t>Canonical Group Costs</t>
  </si>
  <si>
    <t>Suggested Cross-model Cost</t>
  </si>
  <si>
    <t>Conflict / no cost</t>
  </si>
  <si>
    <t>$28.60</t>
  </si>
  <si>
    <t>Consistent or clear mode</t>
  </si>
  <si>
    <t>$3.50, $4.00, $35.00</t>
  </si>
  <si>
    <t>$59.07</t>
  </si>
  <si>
    <t>$2.00</t>
  </si>
  <si>
    <t>$2.50, $3.00, $5.50</t>
  </si>
  <si>
    <t>$1.00</t>
  </si>
  <si>
    <t>$5.00</t>
  </si>
  <si>
    <t>$8.50</t>
  </si>
  <si>
    <t>Review: cost is not below every retail price</t>
  </si>
  <si>
    <t>$3.00</t>
  </si>
  <si>
    <t>$4.00</t>
  </si>
  <si>
    <t>Original Name</t>
  </si>
  <si>
    <t>Action</t>
  </si>
  <si>
    <t>Reason Excluded</t>
  </si>
  <si>
    <t>6666</t>
  </si>
  <si>
    <t>Silicone Air Tag Loop</t>
  </si>
  <si>
    <t>5. Phone Cases &gt; Air Tag</t>
  </si>
  <si>
    <t>AirPods and AirTag accessories are not phone cases.</t>
  </si>
  <si>
    <t>6665</t>
  </si>
  <si>
    <t>Leather Air Tag Loop</t>
  </si>
  <si>
    <t>6664</t>
  </si>
  <si>
    <t>Leather Air Tag Key Ring</t>
  </si>
  <si>
    <t>5956</t>
  </si>
  <si>
    <t>Airpods 3D Cartoon Silicone Cases</t>
  </si>
  <si>
    <t>5. Phone Cases &gt; Air Pods</t>
  </si>
  <si>
    <t>5955</t>
  </si>
  <si>
    <t>Airpod Design Cases</t>
  </si>
  <si>
    <t>5954</t>
  </si>
  <si>
    <t>Airpods Leather cases</t>
  </si>
  <si>
    <t>5916</t>
  </si>
  <si>
    <t>Airpods Silicone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</si>
</sst>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
  </numFmts>
  <fonts count="8">
    <font>
      <sz val="11"/>
      <name val="Carlito"/>
    </font>
    <font>
      <b/>
      <sz val="18"/>
      <color rgb="FFFFFFFF"/>
      <name val="Carlito"/>
    </font>
    <font>
      <b/>
      <sz val="11"/>
      <color rgb="FF075E54"/>
      <name val="Carlito"/>
    </font>
    <font>
      <sz val="11"/>
      <color rgb="FF274640"/>
      <name val="Carlito"/>
    </font>
    <font>
      <b/>
      <sz val="11"/>
      <color rgb="FF664D03"/>
      <name val="Carlito"/>
    </font>
    <font>
      <b/>
      <sz val="11"/>
      <color rgb="FFFFFFFF"/>
      <name val="Carlito"/>
    </font>
    <font>
      <sz val="11"/>
      <name val="Carlito"/>
    </font>
    <font>
      <sz val="9"/>
      <name val="宋体"/>
      <family val="3"/>
      <charset val="134"/>
    </font>
  </fonts>
  <fills count="8">
    <fill>
      <patternFill patternType="none"/>
    </fill>
    <fill>
      <patternFill patternType="gray125"/>
    </fill>
    <fill>
      <patternFill patternType="solid">
        <fgColor rgb="FF087F6B"/>
      </patternFill>
    </fill>
    <fill>
      <patternFill patternType="solid">
        <fgColor rgb="FFDFF4EF"/>
      </patternFill>
    </fill>
    <fill>
      <patternFill patternType="solid">
        <fgColor rgb="FFF5FAF8"/>
      </patternFill>
    </fill>
    <fill>
      <patternFill patternType="solid">
        <fgColor rgb="FFFFF3CD"/>
      </patternFill>
    </fill>
    <fill>
      <patternFill patternType="solid">
        <fgColor rgb="FF9C2F22"/>
      </patternFill>
    </fill>
    <fill>
      <patternFill patternType="solid">
        <fgColor rgb="FF59636B"/>
      </patternFill>
    </fill>
  </fills>
  <borders count="1">
    <border>
      <left/>
      <right/>
      <top/>
      <bottom/>
      <diagonal/>
    </border>
  </borders>
  <cellStyleXfs count="2">
    <xf numFmtId="0" fontId="0" fillId="0" borderId="0"/>
    <xf numFmtId="0" fontId="6" fillId="0" borderId="0"/>
  </cellStyleXfs>
  <cellXfs count="20">
    <xf numFmtId="0" fontId="0" fillId="0" borderId="0" xfId="0"/>
    <xf numFmtId="0" fontId="2" fillId="3" borderId="0" xfId="1" applyFont="1" applyFill="1"/>
    <xf numFmtId="1" fontId="0" fillId="0" borderId="0" xfId="1" applyNumberFormat="1" applyFont="1"/>
    <xf numFmtId="176" fontId="0" fillId="0" borderId="0" xfId="1" applyNumberFormat="1" applyFont="1"/>
    <xf numFmtId="0" fontId="5" fillId="6" borderId="0" xfId="1" applyFont="1" applyFill="1" applyAlignment="1">
      <alignment wrapText="1"/>
    </xf>
    <xf numFmtId="0" fontId="5" fillId="6" borderId="0" xfId="1" applyFont="1" applyFill="1" applyAlignment="1">
      <alignment vertical="top" wrapText="1"/>
    </xf>
    <xf numFmtId="0" fontId="0" fillId="0" borderId="0" xfId="1" applyFont="1" applyAlignment="1">
      <alignment vertical="top"/>
    </xf>
    <xf numFmtId="176" fontId="0" fillId="0" borderId="0" xfId="1" applyNumberFormat="1" applyFont="1" applyAlignment="1">
      <alignment vertical="top"/>
    </xf>
    <xf numFmtId="176" fontId="0" fillId="5" borderId="0" xfId="1" applyNumberFormat="1" applyFont="1" applyFill="1" applyAlignment="1">
      <alignment vertical="top"/>
    </xf>
    <xf numFmtId="0" fontId="0" fillId="0" borderId="0" xfId="1" applyFont="1" applyAlignment="1">
      <alignment vertical="top" wrapText="1"/>
    </xf>
    <xf numFmtId="0" fontId="0" fillId="5" borderId="0" xfId="1" applyFont="1" applyFill="1" applyAlignment="1">
      <alignment vertical="top" wrapText="1"/>
    </xf>
    <xf numFmtId="0" fontId="0" fillId="0" borderId="0" xfId="1" applyFont="1" applyAlignment="1">
      <alignment wrapText="1"/>
    </xf>
    <xf numFmtId="176" fontId="0" fillId="0" borderId="0" xfId="1" applyNumberFormat="1" applyFont="1" applyAlignment="1">
      <alignment wrapText="1"/>
    </xf>
    <xf numFmtId="176" fontId="4" fillId="5" borderId="0" xfId="1" applyNumberFormat="1" applyFont="1" applyFill="1" applyAlignment="1">
      <alignment wrapText="1"/>
    </xf>
    <xf numFmtId="0" fontId="5" fillId="2" borderId="0" xfId="1" applyFont="1" applyFill="1" applyAlignment="1">
      <alignment wrapText="1"/>
    </xf>
    <xf numFmtId="0" fontId="5" fillId="7" borderId="0" xfId="1" applyFont="1" applyFill="1" applyAlignment="1">
      <alignment wrapText="1"/>
    </xf>
    <xf numFmtId="0" fontId="1" fillId="2" borderId="0" xfId="1" applyFont="1" applyFill="1" applyAlignment="1">
      <alignment vertical="center"/>
    </xf>
    <xf numFmtId="0" fontId="2" fillId="3" borderId="0" xfId="1" applyFont="1" applyFill="1"/>
    <xf numFmtId="0" fontId="3" fillId="4" borderId="0" xfId="1" applyFont="1" applyFill="1" applyAlignment="1">
      <alignment wrapText="1"/>
    </xf>
    <xf numFmtId="0" fontId="4" fillId="5" borderId="0" xfId="1" applyFont="1" applyFill="1" applyAlignment="1">
      <alignment wrapText="1"/>
    </xf>
  </cellXfs>
  <cellStyles count="2">
    <cellStyle name="Normal" xfId="1" xr:uid="{00000000-0005-0000-0000-000000000000}"/>
    <cellStyle name="常规" xfId="0" builtinId="0"/>
  </cellStyles>
  <dxfs count="4">
    <dxf>
      <font>
        <b/>
        <color rgb="FF075E54"/>
      </font>
      <fill>
        <patternFill patternType="solid">
          <bgColor rgb="FFDFF4EF"/>
        </patternFill>
      </fill>
    </dxf>
    <dxf>
      <font>
        <b/>
        <color rgb="FF9C2F22"/>
      </font>
      <fill>
        <patternFill patternType="solid">
          <bgColor rgb="FFFDE7E3"/>
        </patternFill>
      </fill>
    </dxf>
    <dxf>
      <font>
        <b/>
        <color rgb="FF075E54"/>
      </font>
      <fill>
        <patternFill patternType="solid">
          <bgColor rgb="FFDFF4EF"/>
        </patternFill>
      </fill>
    </dxf>
    <dxf>
      <font>
        <b/>
        <color rgb="FF9C2F22"/>
      </font>
      <fill>
        <patternFill patternType="solid">
          <bgColor rgb="FFFDE7E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honeCaseNeedsInput" displayName="PhoneCaseNeedsInput" ref="A1:P36" totalsRowShown="0">
  <tableColumns count="16">
    <tableColumn id="1" xr3:uid="{00000000-0010-0000-0000-000001000000}" name="Source Item ID"/>
    <tableColumn id="2" xr3:uid="{00000000-0010-0000-0000-000002000000}" name="Original Product Name"/>
    <tableColumn id="3" xr3:uid="{00000000-0010-0000-0000-000003000000}" name="Source Category"/>
    <tableColumn id="4" xr3:uid="{00000000-0010-0000-0000-000004000000}" name="Issue"/>
    <tableColumn id="5" xr3:uid="{00000000-0010-0000-0000-000005000000}" name="Proposed Device"/>
    <tableColumn id="6" xr3:uid="{00000000-0010-0000-0000-000006000000}" name="Proposed Case Style"/>
    <tableColumn id="7" xr3:uid="{00000000-0010-0000-0000-000007000000}" name="Source Cost"/>
    <tableColumn id="8" xr3:uid="{00000000-0010-0000-0000-000008000000}" name="Comparable Costs"/>
    <tableColumn id="9" xr3:uid="{00000000-0010-0000-0000-000009000000}" name="Suggested Cost"/>
    <tableColumn id="10" xr3:uid="{00000000-0010-0000-0000-00000A000000}" name="Source Retail"/>
    <tableColumn id="11" xr3:uid="{00000000-0010-0000-0000-00000B000000}" name="Final Retail"/>
    <tableColumn id="12" xr3:uid="{00000000-0010-0000-0000-00000C000000}" name="Final Image URL"/>
    <tableColumn id="13" xr3:uid="{00000000-0010-0000-0000-00000D000000}" name="Final Device / Compatibility"/>
    <tableColumn id="14" xr3:uid="{00000000-0010-0000-0000-00000E000000}" name="Include?"/>
    <tableColumn id="15" xr3:uid="{00000000-0010-0000-0000-00000F000000}" name="Notes"/>
    <tableColumn id="16" xr3:uid="{00000000-0010-0000-0000-000010000000}"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honeCaseCostQuestions" displayName="PhoneCaseCostQuestions" ref="A1:J38" totalsRowShown="0">
  <tableColumns count="10">
    <tableColumn id="1" xr3:uid="{00000000-0010-0000-0100-000001000000}" name="Brand"/>
    <tableColumn id="2" xr3:uid="{00000000-0010-0000-0100-000002000000}" name="Case Style"/>
    <tableColumn id="3" xr3:uid="{00000000-0010-0000-0100-000003000000}" name="Affected Products"/>
    <tableColumn id="4" xr3:uid="{00000000-0010-0000-0100-000004000000}" name="Devices"/>
    <tableColumn id="5" xr3:uid="{00000000-0010-0000-0100-000005000000}" name="Examples"/>
    <tableColumn id="6" xr3:uid="{00000000-0010-0000-0100-000006000000}" name="Positive Source Costs"/>
    <tableColumn id="7" xr3:uid="{00000000-0010-0000-0100-000007000000}" name="Comparable Cost Counts"/>
    <tableColumn id="8" xr3:uid="{00000000-0010-0000-0100-000008000000}" name="Suggested Cost"/>
    <tableColumn id="9" xr3:uid="{00000000-0010-0000-0100-000009000000}" name="Confirmed Cost"/>
    <tableColumn id="10" xr3:uid="{00000000-0010-0000-0100-00000A000000}"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ImportedPhoneCases" displayName="ImportedPhoneCases" ref="A1:M150" totalsRowShown="0">
  <tableColumns count="13">
    <tableColumn id="1" xr3:uid="{00000000-0010-0000-0200-000001000000}" name="New SKU"/>
    <tableColumn id="2" xr3:uid="{00000000-0010-0000-0200-000002000000}" name="Product Name"/>
    <tableColumn id="3" xr3:uid="{00000000-0010-0000-0200-000003000000}" name="Brand"/>
    <tableColumn id="4" xr3:uid="{00000000-0010-0000-0200-000004000000}" name="Device"/>
    <tableColumn id="5" xr3:uid="{00000000-0010-0000-0200-000005000000}" name="Case Style"/>
    <tableColumn id="6" xr3:uid="{00000000-0010-0000-0200-000006000000}" name="Colour / Variant"/>
    <tableColumn id="7" xr3:uid="{00000000-0010-0000-0200-000007000000}" name="Cost"/>
    <tableColumn id="8" xr3:uid="{00000000-0010-0000-0200-000008000000}" name="Retail"/>
    <tableColumn id="9" xr3:uid="{00000000-0010-0000-0200-000009000000}" name="POS Category"/>
    <tableColumn id="10" xr3:uid="{00000000-0010-0000-0200-00000A000000}" name="POS Subcategory"/>
    <tableColumn id="11" xr3:uid="{00000000-0010-0000-0200-00000B000000}" name="Image URL"/>
    <tableColumn id="12" xr3:uid="{00000000-0010-0000-0200-00000C000000}" name="Source Item ID"/>
    <tableColumn id="13" xr3:uid="{00000000-0010-0000-0200-00000D000000}" name="Cost Rul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honeCaseCostCrossCheck" displayName="PhoneCaseCostCrossCheck" ref="A1:H80" totalsRowShown="0">
  <tableColumns count="8">
    <tableColumn id="1" xr3:uid="{00000000-0010-0000-0300-000001000000}" name="Brand"/>
    <tableColumn id="2" xr3:uid="{00000000-0010-0000-0300-000002000000}" name="Comparable Case Style"/>
    <tableColumn id="3" xr3:uid="{00000000-0010-0000-0300-000003000000}" name="Rows"/>
    <tableColumn id="4" xr3:uid="{00000000-0010-0000-0300-000004000000}" name="Devices"/>
    <tableColumn id="5" xr3:uid="{00000000-0010-0000-0300-000005000000}" name="Positive Source Costs"/>
    <tableColumn id="6" xr3:uid="{00000000-0010-0000-0300-000006000000}" name="Canonical Group Costs"/>
    <tableColumn id="7" xr3:uid="{00000000-0010-0000-0300-000007000000}" name="Suggested Cross-model Cost"/>
    <tableColumn id="8" xr3:uid="{00000000-0010-0000-0300-000008000000}" name="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honeCaseNonCaseExclusions" displayName="PhoneCaseNonCaseExclusions" ref="A1:F8" totalsRowShown="0">
  <tableColumns count="6">
    <tableColumn id="1" xr3:uid="{00000000-0010-0000-0400-000001000000}" name="Source Item ID"/>
    <tableColumn id="2" xr3:uid="{00000000-0010-0000-0400-000002000000}" name="Original Name"/>
    <tableColumn id="3" xr3:uid="{00000000-0010-0000-0400-000003000000}" name="Source Category"/>
    <tableColumn id="4" xr3:uid="{00000000-0010-0000-0400-000004000000}" name="Cost"/>
    <tableColumn id="5" xr3:uid="{00000000-0010-0000-0400-000005000000}" name="Retail"/>
    <tableColumn id="6" xr3:uid="{00000000-0010-0000-0400-000006000000}" name="Reason Exclude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showGridLines="0" workbookViewId="0">
      <selection sqref="A1:H1"/>
    </sheetView>
  </sheetViews>
  <sheetFormatPr defaultRowHeight="14.25"/>
  <cols>
    <col min="1" max="1" width="42" customWidth="1"/>
    <col min="2" max="2" width="18" customWidth="1"/>
    <col min="4" max="8" width="18" customWidth="1"/>
  </cols>
  <sheetData>
    <row r="1" spans="1:8" ht="36" customHeight="1">
      <c r="A1" s="16" t="s">
        <v>0</v>
      </c>
      <c r="B1" s="16"/>
      <c r="C1" s="16"/>
      <c r="D1" s="16"/>
      <c r="E1" s="16"/>
      <c r="F1" s="16"/>
      <c r="G1" s="16"/>
      <c r="H1" s="16"/>
    </row>
    <row r="3" spans="1:8" ht="15">
      <c r="A3" s="1" t="s">
        <v>1</v>
      </c>
      <c r="B3" s="1" t="s">
        <v>2</v>
      </c>
      <c r="D3" s="17" t="s">
        <v>3</v>
      </c>
      <c r="E3" s="17"/>
      <c r="F3" s="17"/>
      <c r="G3" s="17"/>
      <c r="H3" s="17"/>
    </row>
    <row r="4" spans="1:8">
      <c r="A4" t="s">
        <v>4</v>
      </c>
      <c r="B4" s="2">
        <v>924</v>
      </c>
      <c r="D4" s="18" t="s">
        <v>5</v>
      </c>
      <c r="E4" s="18"/>
      <c r="F4" s="18"/>
      <c r="G4" s="18"/>
      <c r="H4" s="18"/>
    </row>
    <row r="5" spans="1:8">
      <c r="A5" t="s">
        <v>6</v>
      </c>
      <c r="B5" s="2">
        <v>149</v>
      </c>
      <c r="D5" s="18" t="s">
        <v>7</v>
      </c>
      <c r="E5" s="18"/>
      <c r="F5" s="18"/>
      <c r="G5" s="18"/>
      <c r="H5" s="18"/>
    </row>
    <row r="6" spans="1:8">
      <c r="A6" t="s">
        <v>8</v>
      </c>
      <c r="B6" s="2">
        <v>135</v>
      </c>
      <c r="D6" s="18" t="s">
        <v>9</v>
      </c>
      <c r="E6" s="18"/>
      <c r="F6" s="18"/>
      <c r="G6" s="18"/>
      <c r="H6" s="18"/>
    </row>
    <row r="7" spans="1:8">
      <c r="A7" t="s">
        <v>10</v>
      </c>
      <c r="B7" s="2">
        <v>37</v>
      </c>
      <c r="D7" s="18" t="s">
        <v>11</v>
      </c>
      <c r="E7" s="18"/>
      <c r="F7" s="18"/>
      <c r="G7" s="18"/>
      <c r="H7" s="18"/>
    </row>
    <row r="8" spans="1:8">
      <c r="A8" t="s">
        <v>12</v>
      </c>
      <c r="B8" s="2">
        <v>37</v>
      </c>
      <c r="D8" s="18" t="s">
        <v>13</v>
      </c>
      <c r="E8" s="18"/>
      <c r="F8" s="18"/>
      <c r="G8" s="18"/>
      <c r="H8" s="18"/>
    </row>
    <row r="9" spans="1:8">
      <c r="A9" t="s">
        <v>14</v>
      </c>
      <c r="B9" s="2">
        <v>35</v>
      </c>
      <c r="D9" s="18" t="s">
        <v>15</v>
      </c>
      <c r="E9" s="18"/>
      <c r="F9" s="18"/>
      <c r="G9" s="18"/>
      <c r="H9" s="18"/>
    </row>
    <row r="10" spans="1:8">
      <c r="A10" t="s">
        <v>16</v>
      </c>
      <c r="B10" s="2">
        <v>0</v>
      </c>
      <c r="D10" s="18" t="s">
        <v>17</v>
      </c>
      <c r="E10" s="18"/>
      <c r="F10" s="18"/>
      <c r="G10" s="18"/>
      <c r="H10" s="18"/>
    </row>
    <row r="11" spans="1:8">
      <c r="A11" t="s">
        <v>18</v>
      </c>
      <c r="B11" s="2">
        <v>7</v>
      </c>
    </row>
    <row r="12" spans="1:8">
      <c r="A12" t="s">
        <v>19</v>
      </c>
      <c r="B12" s="2">
        <v>149</v>
      </c>
    </row>
    <row r="13" spans="1:8">
      <c r="A13" t="s">
        <v>20</v>
      </c>
      <c r="B13" s="2">
        <v>0</v>
      </c>
    </row>
    <row r="14" spans="1:8" ht="15">
      <c r="A14" s="19" t="s">
        <v>21</v>
      </c>
      <c r="B14" s="19"/>
      <c r="C14" s="19"/>
      <c r="D14" s="19"/>
      <c r="E14" s="19"/>
      <c r="F14" s="19"/>
      <c r="G14" s="19"/>
      <c r="H14" s="19"/>
    </row>
  </sheetData>
  <mergeCells count="10">
    <mergeCell ref="D7:H7"/>
    <mergeCell ref="D8:H8"/>
    <mergeCell ref="D9:H9"/>
    <mergeCell ref="D10:H10"/>
    <mergeCell ref="A14:H14"/>
    <mergeCell ref="A1:H1"/>
    <mergeCell ref="D3:H3"/>
    <mergeCell ref="D4:H4"/>
    <mergeCell ref="D5:H5"/>
    <mergeCell ref="D6:H6"/>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6"/>
  <sheetViews>
    <sheetView workbookViewId="0">
      <selection activeCell="F20" sqref="F20"/>
    </sheetView>
  </sheetViews>
  <sheetFormatPr defaultRowHeight="14.25"/>
  <cols>
    <col min="1" max="1" width="16" customWidth="1"/>
    <col min="2" max="2" width="42" customWidth="1"/>
    <col min="3" max="3" width="30" customWidth="1"/>
    <col min="4" max="4" width="44" customWidth="1"/>
    <col min="5" max="6" width="30" customWidth="1"/>
    <col min="7" max="11" width="18" customWidth="1"/>
    <col min="12" max="12" width="48" customWidth="1"/>
    <col min="13" max="13" width="34" customWidth="1"/>
    <col min="14" max="16" width="20" customWidth="1"/>
  </cols>
  <sheetData>
    <row r="1" spans="1:16" ht="15">
      <c r="A1" s="5" t="s">
        <v>22</v>
      </c>
      <c r="B1" s="5" t="s">
        <v>23</v>
      </c>
      <c r="C1" s="5" t="s">
        <v>24</v>
      </c>
      <c r="D1" s="5" t="s">
        <v>25</v>
      </c>
      <c r="E1" s="5" t="s">
        <v>26</v>
      </c>
      <c r="F1" s="5" t="s">
        <v>27</v>
      </c>
      <c r="G1" s="5" t="s">
        <v>28</v>
      </c>
      <c r="H1" s="5" t="s">
        <v>29</v>
      </c>
      <c r="I1" s="5" t="s">
        <v>30</v>
      </c>
      <c r="J1" s="5" t="s">
        <v>31</v>
      </c>
      <c r="K1" s="5" t="s">
        <v>32</v>
      </c>
      <c r="L1" s="5" t="s">
        <v>33</v>
      </c>
      <c r="M1" s="5" t="s">
        <v>34</v>
      </c>
      <c r="N1" s="5" t="s">
        <v>35</v>
      </c>
      <c r="O1" s="5" t="s">
        <v>36</v>
      </c>
      <c r="P1" s="5" t="s">
        <v>37</v>
      </c>
    </row>
    <row r="2" spans="1:16" ht="42.75">
      <c r="A2" s="6" t="s">
        <v>38</v>
      </c>
      <c r="B2" s="9" t="s">
        <v>39</v>
      </c>
      <c r="C2" s="9" t="s">
        <v>40</v>
      </c>
      <c r="D2" s="9" t="s">
        <v>41</v>
      </c>
      <c r="E2" s="9" t="s">
        <v>42</v>
      </c>
      <c r="F2" s="9" t="s">
        <v>43</v>
      </c>
      <c r="G2" s="7">
        <v>0</v>
      </c>
      <c r="H2" s="7" t="s">
        <v>44</v>
      </c>
      <c r="I2" s="7">
        <v>45</v>
      </c>
      <c r="J2" s="7">
        <v>0</v>
      </c>
      <c r="K2" s="8">
        <v>0</v>
      </c>
      <c r="L2" s="10" t="s">
        <v>45</v>
      </c>
      <c r="M2" s="10" t="s">
        <v>42</v>
      </c>
      <c r="N2" s="10" t="s">
        <v>46</v>
      </c>
      <c r="O2" s="9"/>
      <c r="P2" s="9" t="str">
        <f t="shared" ref="P2:P36" si="0">IF(N2="No","Excluded",IF(OR(K2&lt;=0,L2="",M2=""),"Needs input","Ready to import"))</f>
        <v>Needs input</v>
      </c>
    </row>
    <row r="3" spans="1:16" ht="28.5">
      <c r="A3" s="6" t="s">
        <v>47</v>
      </c>
      <c r="B3" s="9" t="s">
        <v>48</v>
      </c>
      <c r="C3" s="9" t="s">
        <v>49</v>
      </c>
      <c r="D3" s="9" t="s">
        <v>50</v>
      </c>
      <c r="E3" s="9"/>
      <c r="F3" s="9" t="s">
        <v>51</v>
      </c>
      <c r="G3" s="7">
        <v>0</v>
      </c>
      <c r="H3" s="7"/>
      <c r="I3" s="7"/>
      <c r="J3" s="7">
        <v>89.95</v>
      </c>
      <c r="K3" s="8">
        <v>89.95</v>
      </c>
      <c r="L3" s="10" t="s">
        <v>52</v>
      </c>
      <c r="M3" s="10"/>
      <c r="N3" s="10" t="s">
        <v>46</v>
      </c>
      <c r="O3" s="9"/>
      <c r="P3" s="9" t="str">
        <f t="shared" si="0"/>
        <v>Needs input</v>
      </c>
    </row>
    <row r="4" spans="1:16" ht="28.5">
      <c r="A4" s="6" t="s">
        <v>53</v>
      </c>
      <c r="B4" s="9" t="s">
        <v>54</v>
      </c>
      <c r="C4" s="9" t="s">
        <v>55</v>
      </c>
      <c r="D4" s="9" t="s">
        <v>50</v>
      </c>
      <c r="E4" s="9"/>
      <c r="F4" s="9" t="s">
        <v>56</v>
      </c>
      <c r="G4" s="7">
        <v>0</v>
      </c>
      <c r="H4" s="7"/>
      <c r="I4" s="7"/>
      <c r="J4" s="7">
        <v>49</v>
      </c>
      <c r="K4" s="8">
        <v>49</v>
      </c>
      <c r="L4" s="10" t="s">
        <v>57</v>
      </c>
      <c r="M4" s="10"/>
      <c r="N4" s="10" t="s">
        <v>46</v>
      </c>
      <c r="O4" s="9"/>
      <c r="P4" s="9" t="str">
        <f t="shared" si="0"/>
        <v>Needs input</v>
      </c>
    </row>
    <row r="5" spans="1:16" ht="28.5">
      <c r="A5" s="6" t="s">
        <v>58</v>
      </c>
      <c r="B5" s="9" t="s">
        <v>59</v>
      </c>
      <c r="C5" s="9" t="s">
        <v>60</v>
      </c>
      <c r="D5" s="9" t="s">
        <v>61</v>
      </c>
      <c r="E5" s="9" t="s">
        <v>62</v>
      </c>
      <c r="F5" s="9" t="s">
        <v>63</v>
      </c>
      <c r="G5" s="7">
        <v>0</v>
      </c>
      <c r="H5" s="7" t="s">
        <v>64</v>
      </c>
      <c r="I5" s="7">
        <v>5.5</v>
      </c>
      <c r="J5" s="7">
        <v>49</v>
      </c>
      <c r="K5" s="8">
        <v>49</v>
      </c>
      <c r="L5" s="10"/>
      <c r="M5" s="10" t="s">
        <v>62</v>
      </c>
      <c r="N5" s="10" t="s">
        <v>46</v>
      </c>
      <c r="O5" s="9"/>
      <c r="P5" s="9" t="str">
        <f t="shared" si="0"/>
        <v>Needs input</v>
      </c>
    </row>
    <row r="6" spans="1:16" ht="28.5">
      <c r="A6" s="6" t="s">
        <v>65</v>
      </c>
      <c r="B6" s="9" t="s">
        <v>66</v>
      </c>
      <c r="C6" s="9" t="s">
        <v>49</v>
      </c>
      <c r="D6" s="9" t="s">
        <v>50</v>
      </c>
      <c r="E6" s="9"/>
      <c r="F6" s="9" t="s">
        <v>51</v>
      </c>
      <c r="G6" s="7">
        <v>0</v>
      </c>
      <c r="H6" s="7"/>
      <c r="I6" s="7"/>
      <c r="J6" s="7">
        <v>110</v>
      </c>
      <c r="K6" s="8">
        <v>110</v>
      </c>
      <c r="L6" s="10" t="s">
        <v>67</v>
      </c>
      <c r="M6" s="10"/>
      <c r="N6" s="10" t="s">
        <v>46</v>
      </c>
      <c r="O6" s="9"/>
      <c r="P6" s="9" t="str">
        <f t="shared" si="0"/>
        <v>Needs input</v>
      </c>
    </row>
    <row r="7" spans="1:16" ht="28.5">
      <c r="A7" s="6" t="s">
        <v>68</v>
      </c>
      <c r="B7" s="9" t="s">
        <v>69</v>
      </c>
      <c r="C7" s="9" t="s">
        <v>70</v>
      </c>
      <c r="D7" s="9" t="s">
        <v>71</v>
      </c>
      <c r="E7" s="9" t="s">
        <v>72</v>
      </c>
      <c r="F7" s="9" t="s">
        <v>73</v>
      </c>
      <c r="G7" s="7">
        <v>0</v>
      </c>
      <c r="H7" s="7"/>
      <c r="I7" s="7"/>
      <c r="J7" s="7">
        <v>35</v>
      </c>
      <c r="K7" s="8">
        <v>35</v>
      </c>
      <c r="L7" s="10"/>
      <c r="M7" s="10" t="s">
        <v>72</v>
      </c>
      <c r="N7" s="10" t="s">
        <v>46</v>
      </c>
      <c r="O7" s="9"/>
      <c r="P7" s="9" t="str">
        <f t="shared" si="0"/>
        <v>Needs input</v>
      </c>
    </row>
    <row r="8" spans="1:16" ht="42.75">
      <c r="A8" s="6" t="s">
        <v>74</v>
      </c>
      <c r="B8" s="9" t="s">
        <v>75</v>
      </c>
      <c r="C8" s="9" t="s">
        <v>76</v>
      </c>
      <c r="D8" s="9" t="s">
        <v>77</v>
      </c>
      <c r="E8" s="9" t="s">
        <v>78</v>
      </c>
      <c r="F8" s="9" t="s">
        <v>79</v>
      </c>
      <c r="G8" s="7">
        <v>35</v>
      </c>
      <c r="H8" s="7" t="s">
        <v>80</v>
      </c>
      <c r="I8" s="7">
        <v>35</v>
      </c>
      <c r="J8" s="7">
        <v>35</v>
      </c>
      <c r="K8" s="8">
        <v>35</v>
      </c>
      <c r="L8" s="10"/>
      <c r="M8" s="10" t="s">
        <v>78</v>
      </c>
      <c r="N8" s="10" t="s">
        <v>46</v>
      </c>
      <c r="O8" s="9"/>
      <c r="P8" s="9" t="str">
        <f t="shared" si="0"/>
        <v>Needs input</v>
      </c>
    </row>
    <row r="9" spans="1:16" ht="42.75">
      <c r="A9" s="6" t="s">
        <v>81</v>
      </c>
      <c r="B9" s="9" t="s">
        <v>82</v>
      </c>
      <c r="C9" s="9" t="s">
        <v>76</v>
      </c>
      <c r="D9" s="9" t="s">
        <v>77</v>
      </c>
      <c r="E9" s="9" t="s">
        <v>83</v>
      </c>
      <c r="F9" s="9" t="s">
        <v>79</v>
      </c>
      <c r="G9" s="7">
        <v>35</v>
      </c>
      <c r="H9" s="7" t="s">
        <v>80</v>
      </c>
      <c r="I9" s="7">
        <v>35</v>
      </c>
      <c r="J9" s="7">
        <v>35</v>
      </c>
      <c r="K9" s="8">
        <v>35</v>
      </c>
      <c r="L9" s="10"/>
      <c r="M9" s="10" t="s">
        <v>83</v>
      </c>
      <c r="N9" s="10" t="s">
        <v>46</v>
      </c>
      <c r="O9" s="9"/>
      <c r="P9" s="9" t="str">
        <f t="shared" si="0"/>
        <v>Needs input</v>
      </c>
    </row>
    <row r="10" spans="1:16" ht="42.75">
      <c r="A10" s="6" t="s">
        <v>84</v>
      </c>
      <c r="B10" s="9" t="s">
        <v>85</v>
      </c>
      <c r="C10" s="9" t="s">
        <v>76</v>
      </c>
      <c r="D10" s="9" t="s">
        <v>77</v>
      </c>
      <c r="E10" s="9" t="s">
        <v>86</v>
      </c>
      <c r="F10" s="9" t="s">
        <v>79</v>
      </c>
      <c r="G10" s="7">
        <v>35</v>
      </c>
      <c r="H10" s="7" t="s">
        <v>80</v>
      </c>
      <c r="I10" s="7">
        <v>35</v>
      </c>
      <c r="J10" s="7">
        <v>35</v>
      </c>
      <c r="K10" s="8">
        <v>35</v>
      </c>
      <c r="L10" s="10"/>
      <c r="M10" s="10" t="s">
        <v>86</v>
      </c>
      <c r="N10" s="10" t="s">
        <v>46</v>
      </c>
      <c r="O10" s="9"/>
      <c r="P10" s="9" t="str">
        <f t="shared" si="0"/>
        <v>Needs input</v>
      </c>
    </row>
    <row r="11" spans="1:16" ht="28.5">
      <c r="A11" s="6" t="s">
        <v>87</v>
      </c>
      <c r="B11" s="9" t="s">
        <v>88</v>
      </c>
      <c r="C11" s="9" t="s">
        <v>55</v>
      </c>
      <c r="D11" s="9" t="s">
        <v>50</v>
      </c>
      <c r="E11" s="9"/>
      <c r="F11" s="9" t="s">
        <v>88</v>
      </c>
      <c r="G11" s="7">
        <v>0</v>
      </c>
      <c r="H11" s="7"/>
      <c r="I11" s="7"/>
      <c r="J11" s="7">
        <v>49</v>
      </c>
      <c r="K11" s="8">
        <v>49</v>
      </c>
      <c r="L11" s="10" t="s">
        <v>89</v>
      </c>
      <c r="M11" s="10"/>
      <c r="N11" s="10" t="s">
        <v>46</v>
      </c>
      <c r="O11" s="9"/>
      <c r="P11" s="9" t="str">
        <f t="shared" si="0"/>
        <v>Needs input</v>
      </c>
    </row>
    <row r="12" spans="1:16" ht="28.5">
      <c r="A12" s="6" t="s">
        <v>90</v>
      </c>
      <c r="B12" s="9" t="s">
        <v>91</v>
      </c>
      <c r="C12" s="9" t="s">
        <v>55</v>
      </c>
      <c r="D12" s="9" t="s">
        <v>50</v>
      </c>
      <c r="E12" s="9"/>
      <c r="F12" s="9" t="s">
        <v>91</v>
      </c>
      <c r="G12" s="7">
        <v>0</v>
      </c>
      <c r="H12" s="7"/>
      <c r="I12" s="7"/>
      <c r="J12" s="7">
        <v>49</v>
      </c>
      <c r="K12" s="8">
        <v>49</v>
      </c>
      <c r="L12" s="10" t="s">
        <v>92</v>
      </c>
      <c r="M12" s="10"/>
      <c r="N12" s="10" t="s">
        <v>46</v>
      </c>
      <c r="O12" s="9"/>
      <c r="P12" s="9" t="str">
        <f t="shared" si="0"/>
        <v>Needs input</v>
      </c>
    </row>
    <row r="13" spans="1:16" ht="28.5">
      <c r="A13" s="6" t="s">
        <v>93</v>
      </c>
      <c r="B13" s="9" t="s">
        <v>94</v>
      </c>
      <c r="C13" s="9" t="s">
        <v>55</v>
      </c>
      <c r="D13" s="9" t="s">
        <v>50</v>
      </c>
      <c r="E13" s="9"/>
      <c r="F13" s="9" t="s">
        <v>94</v>
      </c>
      <c r="G13" s="7">
        <v>0</v>
      </c>
      <c r="H13" s="7"/>
      <c r="I13" s="7"/>
      <c r="J13" s="7">
        <v>49</v>
      </c>
      <c r="K13" s="8">
        <v>49</v>
      </c>
      <c r="L13" s="10" t="s">
        <v>95</v>
      </c>
      <c r="M13" s="10"/>
      <c r="N13" s="10" t="s">
        <v>46</v>
      </c>
      <c r="O13" s="9"/>
      <c r="P13" s="9" t="str">
        <f t="shared" si="0"/>
        <v>Needs input</v>
      </c>
    </row>
    <row r="14" spans="1:16" ht="28.5">
      <c r="A14" s="6" t="s">
        <v>96</v>
      </c>
      <c r="B14" s="9" t="s">
        <v>97</v>
      </c>
      <c r="C14" s="9" t="s">
        <v>55</v>
      </c>
      <c r="D14" s="9" t="s">
        <v>50</v>
      </c>
      <c r="E14" s="9"/>
      <c r="F14" s="9" t="s">
        <v>97</v>
      </c>
      <c r="G14" s="7">
        <v>0</v>
      </c>
      <c r="H14" s="7"/>
      <c r="I14" s="7"/>
      <c r="J14" s="7">
        <v>49</v>
      </c>
      <c r="K14" s="8">
        <v>49</v>
      </c>
      <c r="L14" s="10" t="s">
        <v>98</v>
      </c>
      <c r="M14" s="10"/>
      <c r="N14" s="10" t="s">
        <v>46</v>
      </c>
      <c r="O14" s="9"/>
      <c r="P14" s="9" t="str">
        <f t="shared" si="0"/>
        <v>Needs input</v>
      </c>
    </row>
    <row r="15" spans="1:16" ht="28.5">
      <c r="A15" s="6" t="s">
        <v>99</v>
      </c>
      <c r="B15" s="9" t="s">
        <v>100</v>
      </c>
      <c r="C15" s="9" t="s">
        <v>55</v>
      </c>
      <c r="D15" s="9" t="s">
        <v>50</v>
      </c>
      <c r="E15" s="9"/>
      <c r="F15" s="9" t="s">
        <v>100</v>
      </c>
      <c r="G15" s="7">
        <v>0</v>
      </c>
      <c r="H15" s="7"/>
      <c r="I15" s="7"/>
      <c r="J15" s="7">
        <v>49</v>
      </c>
      <c r="K15" s="8">
        <v>49</v>
      </c>
      <c r="L15" s="10" t="s">
        <v>101</v>
      </c>
      <c r="M15" s="10"/>
      <c r="N15" s="10" t="s">
        <v>46</v>
      </c>
      <c r="O15" s="9"/>
      <c r="P15" s="9" t="str">
        <f t="shared" si="0"/>
        <v>Needs input</v>
      </c>
    </row>
    <row r="16" spans="1:16" ht="28.5">
      <c r="A16" s="6" t="s">
        <v>102</v>
      </c>
      <c r="B16" s="9" t="s">
        <v>103</v>
      </c>
      <c r="C16" s="9" t="s">
        <v>55</v>
      </c>
      <c r="D16" s="9" t="s">
        <v>50</v>
      </c>
      <c r="E16" s="9"/>
      <c r="F16" s="9" t="s">
        <v>103</v>
      </c>
      <c r="G16" s="7">
        <v>0</v>
      </c>
      <c r="H16" s="7"/>
      <c r="I16" s="7"/>
      <c r="J16" s="7">
        <v>49</v>
      </c>
      <c r="K16" s="8">
        <v>49</v>
      </c>
      <c r="L16" s="10" t="s">
        <v>104</v>
      </c>
      <c r="M16" s="10"/>
      <c r="N16" s="10" t="s">
        <v>46</v>
      </c>
      <c r="O16" s="9"/>
      <c r="P16" s="9" t="str">
        <f t="shared" si="0"/>
        <v>Needs input</v>
      </c>
    </row>
    <row r="17" spans="1:16" ht="28.5">
      <c r="A17" s="6" t="s">
        <v>105</v>
      </c>
      <c r="B17" s="9" t="s">
        <v>106</v>
      </c>
      <c r="C17" s="9" t="s">
        <v>55</v>
      </c>
      <c r="D17" s="9" t="s">
        <v>50</v>
      </c>
      <c r="E17" s="9"/>
      <c r="F17" s="9" t="s">
        <v>106</v>
      </c>
      <c r="G17" s="7">
        <v>0</v>
      </c>
      <c r="H17" s="7"/>
      <c r="I17" s="7"/>
      <c r="J17" s="7">
        <v>49</v>
      </c>
      <c r="K17" s="8">
        <v>49</v>
      </c>
      <c r="L17" s="10" t="s">
        <v>107</v>
      </c>
      <c r="M17" s="10"/>
      <c r="N17" s="10" t="s">
        <v>46</v>
      </c>
      <c r="O17" s="9"/>
      <c r="P17" s="9" t="str">
        <f t="shared" si="0"/>
        <v>Needs input</v>
      </c>
    </row>
    <row r="18" spans="1:16" ht="28.5">
      <c r="A18" s="6" t="s">
        <v>108</v>
      </c>
      <c r="B18" s="9" t="s">
        <v>109</v>
      </c>
      <c r="C18" s="9" t="s">
        <v>110</v>
      </c>
      <c r="D18" s="9" t="s">
        <v>50</v>
      </c>
      <c r="E18" s="9"/>
      <c r="F18" s="9" t="s">
        <v>111</v>
      </c>
      <c r="G18" s="7">
        <v>0</v>
      </c>
      <c r="H18" s="7"/>
      <c r="I18" s="7"/>
      <c r="J18" s="7">
        <v>60</v>
      </c>
      <c r="K18" s="8">
        <v>60</v>
      </c>
      <c r="L18" s="10" t="s">
        <v>112</v>
      </c>
      <c r="M18" s="10"/>
      <c r="N18" s="10" t="s">
        <v>46</v>
      </c>
      <c r="O18" s="9"/>
      <c r="P18" s="9" t="str">
        <f t="shared" si="0"/>
        <v>Needs input</v>
      </c>
    </row>
    <row r="19" spans="1:16" ht="28.5">
      <c r="A19" s="6" t="s">
        <v>113</v>
      </c>
      <c r="B19" s="9" t="s">
        <v>114</v>
      </c>
      <c r="C19" s="9" t="s">
        <v>110</v>
      </c>
      <c r="D19" s="9" t="s">
        <v>50</v>
      </c>
      <c r="E19" s="9"/>
      <c r="F19" s="9" t="s">
        <v>111</v>
      </c>
      <c r="G19" s="7">
        <v>0</v>
      </c>
      <c r="H19" s="7"/>
      <c r="I19" s="7"/>
      <c r="J19" s="7">
        <v>60</v>
      </c>
      <c r="K19" s="8">
        <v>60</v>
      </c>
      <c r="L19" s="10" t="s">
        <v>115</v>
      </c>
      <c r="M19" s="10"/>
      <c r="N19" s="10" t="s">
        <v>46</v>
      </c>
      <c r="O19" s="9"/>
      <c r="P19" s="9" t="str">
        <f t="shared" si="0"/>
        <v>Needs input</v>
      </c>
    </row>
    <row r="20" spans="1:16" ht="28.5">
      <c r="A20" s="6" t="s">
        <v>116</v>
      </c>
      <c r="B20" s="9" t="s">
        <v>117</v>
      </c>
      <c r="C20" s="9" t="s">
        <v>110</v>
      </c>
      <c r="D20" s="9" t="s">
        <v>50</v>
      </c>
      <c r="E20" s="9"/>
      <c r="F20" s="9" t="s">
        <v>118</v>
      </c>
      <c r="G20" s="7">
        <v>0</v>
      </c>
      <c r="H20" s="7"/>
      <c r="I20" s="7"/>
      <c r="J20" s="7">
        <v>60</v>
      </c>
      <c r="K20" s="8">
        <v>60</v>
      </c>
      <c r="L20" s="10" t="s">
        <v>119</v>
      </c>
      <c r="M20" s="10"/>
      <c r="N20" s="10" t="s">
        <v>46</v>
      </c>
      <c r="O20" s="9"/>
      <c r="P20" s="9" t="str">
        <f t="shared" si="0"/>
        <v>Needs input</v>
      </c>
    </row>
    <row r="21" spans="1:16" ht="28.5">
      <c r="A21" s="6" t="s">
        <v>120</v>
      </c>
      <c r="B21" s="9" t="s">
        <v>121</v>
      </c>
      <c r="C21" s="9" t="s">
        <v>110</v>
      </c>
      <c r="D21" s="9" t="s">
        <v>50</v>
      </c>
      <c r="E21" s="9"/>
      <c r="F21" s="9" t="s">
        <v>111</v>
      </c>
      <c r="G21" s="7">
        <v>0</v>
      </c>
      <c r="H21" s="7"/>
      <c r="I21" s="7"/>
      <c r="J21" s="7">
        <v>60</v>
      </c>
      <c r="K21" s="8">
        <v>60</v>
      </c>
      <c r="L21" s="10" t="s">
        <v>122</v>
      </c>
      <c r="M21" s="10"/>
      <c r="N21" s="10" t="s">
        <v>46</v>
      </c>
      <c r="O21" s="9"/>
      <c r="P21" s="9" t="str">
        <f t="shared" si="0"/>
        <v>Needs input</v>
      </c>
    </row>
    <row r="22" spans="1:16" ht="28.5">
      <c r="A22" s="6" t="s">
        <v>123</v>
      </c>
      <c r="B22" s="9" t="s">
        <v>124</v>
      </c>
      <c r="C22" s="9" t="s">
        <v>110</v>
      </c>
      <c r="D22" s="9" t="s">
        <v>50</v>
      </c>
      <c r="E22" s="9"/>
      <c r="F22" s="9" t="s">
        <v>125</v>
      </c>
      <c r="G22" s="7">
        <v>0</v>
      </c>
      <c r="H22" s="7"/>
      <c r="I22" s="7"/>
      <c r="J22" s="7">
        <v>60</v>
      </c>
      <c r="K22" s="8">
        <v>60</v>
      </c>
      <c r="L22" s="10" t="s">
        <v>126</v>
      </c>
      <c r="M22" s="10"/>
      <c r="N22" s="10" t="s">
        <v>46</v>
      </c>
      <c r="O22" s="9"/>
      <c r="P22" s="9" t="str">
        <f t="shared" si="0"/>
        <v>Needs input</v>
      </c>
    </row>
    <row r="23" spans="1:16" ht="28.5">
      <c r="A23" s="6" t="s">
        <v>127</v>
      </c>
      <c r="B23" s="9" t="s">
        <v>128</v>
      </c>
      <c r="C23" s="9" t="s">
        <v>129</v>
      </c>
      <c r="D23" s="9" t="s">
        <v>50</v>
      </c>
      <c r="E23" s="9"/>
      <c r="F23" s="9" t="s">
        <v>130</v>
      </c>
      <c r="G23" s="7">
        <v>0</v>
      </c>
      <c r="H23" s="7"/>
      <c r="I23" s="7"/>
      <c r="J23" s="7">
        <v>100</v>
      </c>
      <c r="K23" s="8">
        <v>100</v>
      </c>
      <c r="L23" s="10" t="s">
        <v>131</v>
      </c>
      <c r="M23" s="10"/>
      <c r="N23" s="10" t="s">
        <v>46</v>
      </c>
      <c r="O23" s="9"/>
      <c r="P23" s="9" t="str">
        <f t="shared" si="0"/>
        <v>Needs input</v>
      </c>
    </row>
    <row r="24" spans="1:16" ht="28.5">
      <c r="A24" s="6" t="s">
        <v>132</v>
      </c>
      <c r="B24" s="9" t="s">
        <v>133</v>
      </c>
      <c r="C24" s="9" t="s">
        <v>55</v>
      </c>
      <c r="D24" s="9" t="s">
        <v>134</v>
      </c>
      <c r="E24" s="9"/>
      <c r="F24" s="9" t="s">
        <v>135</v>
      </c>
      <c r="G24" s="7">
        <v>0</v>
      </c>
      <c r="H24" s="7"/>
      <c r="I24" s="7"/>
      <c r="J24" s="7">
        <v>45</v>
      </c>
      <c r="K24" s="8">
        <v>45</v>
      </c>
      <c r="L24" s="10"/>
      <c r="M24" s="10"/>
      <c r="N24" s="10" t="s">
        <v>46</v>
      </c>
      <c r="O24" s="9"/>
      <c r="P24" s="9" t="str">
        <f t="shared" si="0"/>
        <v>Needs input</v>
      </c>
    </row>
    <row r="25" spans="1:16" ht="28.5">
      <c r="A25" s="6" t="s">
        <v>136</v>
      </c>
      <c r="B25" s="9" t="s">
        <v>137</v>
      </c>
      <c r="C25" s="9" t="s">
        <v>49</v>
      </c>
      <c r="D25" s="9" t="s">
        <v>50</v>
      </c>
      <c r="E25" s="9"/>
      <c r="F25" s="9" t="s">
        <v>51</v>
      </c>
      <c r="G25" s="7">
        <v>0</v>
      </c>
      <c r="H25" s="7"/>
      <c r="I25" s="7"/>
      <c r="J25" s="7">
        <v>70</v>
      </c>
      <c r="K25" s="8">
        <v>70</v>
      </c>
      <c r="L25" s="10" t="s">
        <v>138</v>
      </c>
      <c r="M25" s="10"/>
      <c r="N25" s="10" t="s">
        <v>46</v>
      </c>
      <c r="O25" s="9"/>
      <c r="P25" s="9" t="str">
        <f t="shared" si="0"/>
        <v>Needs input</v>
      </c>
    </row>
    <row r="26" spans="1:16" ht="28.5">
      <c r="A26" s="6" t="s">
        <v>139</v>
      </c>
      <c r="B26" s="9" t="s">
        <v>140</v>
      </c>
      <c r="C26" s="9" t="s">
        <v>49</v>
      </c>
      <c r="D26" s="9" t="s">
        <v>50</v>
      </c>
      <c r="E26" s="9"/>
      <c r="F26" s="9" t="s">
        <v>51</v>
      </c>
      <c r="G26" s="7">
        <v>0</v>
      </c>
      <c r="H26" s="7"/>
      <c r="I26" s="7"/>
      <c r="J26" s="7">
        <v>70</v>
      </c>
      <c r="K26" s="8">
        <v>70</v>
      </c>
      <c r="L26" s="10" t="s">
        <v>141</v>
      </c>
      <c r="M26" s="10"/>
      <c r="N26" s="10" t="s">
        <v>46</v>
      </c>
      <c r="O26" s="9"/>
      <c r="P26" s="9" t="str">
        <f t="shared" si="0"/>
        <v>Needs input</v>
      </c>
    </row>
    <row r="27" spans="1:16" ht="28.5">
      <c r="A27" s="6" t="s">
        <v>142</v>
      </c>
      <c r="B27" s="9" t="s">
        <v>143</v>
      </c>
      <c r="C27" s="9" t="s">
        <v>49</v>
      </c>
      <c r="D27" s="9" t="s">
        <v>50</v>
      </c>
      <c r="E27" s="9"/>
      <c r="F27" s="9" t="s">
        <v>51</v>
      </c>
      <c r="G27" s="7">
        <v>0</v>
      </c>
      <c r="H27" s="7"/>
      <c r="I27" s="7"/>
      <c r="J27" s="7">
        <v>70</v>
      </c>
      <c r="K27" s="8">
        <v>70</v>
      </c>
      <c r="L27" s="10" t="s">
        <v>144</v>
      </c>
      <c r="M27" s="10"/>
      <c r="N27" s="10" t="s">
        <v>46</v>
      </c>
      <c r="O27" s="9"/>
      <c r="P27" s="9" t="str">
        <f t="shared" si="0"/>
        <v>Needs input</v>
      </c>
    </row>
    <row r="28" spans="1:16" ht="28.5">
      <c r="A28" s="6" t="s">
        <v>145</v>
      </c>
      <c r="B28" s="9" t="s">
        <v>146</v>
      </c>
      <c r="C28" s="9" t="s">
        <v>49</v>
      </c>
      <c r="D28" s="9" t="s">
        <v>50</v>
      </c>
      <c r="E28" s="9"/>
      <c r="F28" s="9" t="s">
        <v>51</v>
      </c>
      <c r="G28" s="7">
        <v>0</v>
      </c>
      <c r="H28" s="7"/>
      <c r="I28" s="7"/>
      <c r="J28" s="7">
        <v>70</v>
      </c>
      <c r="K28" s="8">
        <v>70</v>
      </c>
      <c r="L28" s="10" t="s">
        <v>147</v>
      </c>
      <c r="M28" s="10"/>
      <c r="N28" s="10" t="s">
        <v>46</v>
      </c>
      <c r="O28" s="9"/>
      <c r="P28" s="9" t="str">
        <f t="shared" si="0"/>
        <v>Needs input</v>
      </c>
    </row>
    <row r="29" spans="1:16" ht="28.5">
      <c r="A29" s="6" t="s">
        <v>148</v>
      </c>
      <c r="B29" s="9" t="s">
        <v>149</v>
      </c>
      <c r="C29" s="9" t="s">
        <v>110</v>
      </c>
      <c r="D29" s="9" t="s">
        <v>71</v>
      </c>
      <c r="E29" s="9" t="s">
        <v>150</v>
      </c>
      <c r="F29" s="9" t="s">
        <v>151</v>
      </c>
      <c r="G29" s="7">
        <v>0</v>
      </c>
      <c r="H29" s="7"/>
      <c r="I29" s="7"/>
      <c r="J29" s="7">
        <v>60</v>
      </c>
      <c r="K29" s="8">
        <v>60</v>
      </c>
      <c r="L29" s="10"/>
      <c r="M29" s="10" t="s">
        <v>150</v>
      </c>
      <c r="N29" s="10" t="s">
        <v>46</v>
      </c>
      <c r="O29" s="9"/>
      <c r="P29" s="9" t="str">
        <f t="shared" si="0"/>
        <v>Needs input</v>
      </c>
    </row>
    <row r="30" spans="1:16" ht="28.5">
      <c r="A30" s="6" t="s">
        <v>152</v>
      </c>
      <c r="B30" s="9" t="s">
        <v>153</v>
      </c>
      <c r="C30" s="9" t="s">
        <v>110</v>
      </c>
      <c r="D30" s="9" t="s">
        <v>50</v>
      </c>
      <c r="E30" s="9"/>
      <c r="F30" s="9" t="s">
        <v>154</v>
      </c>
      <c r="G30" s="7">
        <v>0</v>
      </c>
      <c r="H30" s="7"/>
      <c r="I30" s="7"/>
      <c r="J30" s="7">
        <v>60</v>
      </c>
      <c r="K30" s="8">
        <v>60</v>
      </c>
      <c r="L30" s="10" t="s">
        <v>155</v>
      </c>
      <c r="M30" s="10"/>
      <c r="N30" s="10" t="s">
        <v>46</v>
      </c>
      <c r="O30" s="9"/>
      <c r="P30" s="9" t="str">
        <f t="shared" si="0"/>
        <v>Needs input</v>
      </c>
    </row>
    <row r="31" spans="1:16" ht="28.5">
      <c r="A31" s="6" t="s">
        <v>156</v>
      </c>
      <c r="B31" s="9" t="s">
        <v>157</v>
      </c>
      <c r="C31" s="9" t="s">
        <v>129</v>
      </c>
      <c r="D31" s="9" t="s">
        <v>50</v>
      </c>
      <c r="E31" s="9"/>
      <c r="F31" s="9" t="s">
        <v>130</v>
      </c>
      <c r="G31" s="7">
        <v>0</v>
      </c>
      <c r="H31" s="7"/>
      <c r="I31" s="7"/>
      <c r="J31" s="7">
        <v>100</v>
      </c>
      <c r="K31" s="8">
        <v>100</v>
      </c>
      <c r="L31" s="10" t="s">
        <v>158</v>
      </c>
      <c r="M31" s="10"/>
      <c r="N31" s="10" t="s">
        <v>46</v>
      </c>
      <c r="O31" s="9"/>
      <c r="P31" s="9" t="str">
        <f t="shared" si="0"/>
        <v>Needs input</v>
      </c>
    </row>
    <row r="32" spans="1:16" ht="28.5">
      <c r="A32" s="6" t="s">
        <v>159</v>
      </c>
      <c r="B32" s="9" t="s">
        <v>160</v>
      </c>
      <c r="C32" s="9" t="s">
        <v>129</v>
      </c>
      <c r="D32" s="9" t="s">
        <v>50</v>
      </c>
      <c r="E32" s="9"/>
      <c r="F32" s="9" t="s">
        <v>130</v>
      </c>
      <c r="G32" s="7">
        <v>0</v>
      </c>
      <c r="H32" s="7"/>
      <c r="I32" s="7"/>
      <c r="J32" s="7">
        <v>100</v>
      </c>
      <c r="K32" s="8">
        <v>100</v>
      </c>
      <c r="L32" s="10" t="s">
        <v>161</v>
      </c>
      <c r="M32" s="10"/>
      <c r="N32" s="10" t="s">
        <v>46</v>
      </c>
      <c r="O32" s="9"/>
      <c r="P32" s="9" t="str">
        <f t="shared" si="0"/>
        <v>Needs input</v>
      </c>
    </row>
    <row r="33" spans="1:16" ht="28.5">
      <c r="A33" s="6" t="s">
        <v>162</v>
      </c>
      <c r="B33" s="9" t="s">
        <v>163</v>
      </c>
      <c r="C33" s="9" t="s">
        <v>164</v>
      </c>
      <c r="D33" s="9" t="s">
        <v>71</v>
      </c>
      <c r="E33" s="9" t="s">
        <v>165</v>
      </c>
      <c r="F33" s="9" t="s">
        <v>163</v>
      </c>
      <c r="G33" s="7">
        <v>0</v>
      </c>
      <c r="H33" s="7"/>
      <c r="I33" s="7"/>
      <c r="J33" s="7">
        <v>35</v>
      </c>
      <c r="K33" s="8">
        <v>35</v>
      </c>
      <c r="L33" s="10"/>
      <c r="M33" s="10" t="s">
        <v>165</v>
      </c>
      <c r="N33" s="10" t="s">
        <v>46</v>
      </c>
      <c r="O33" s="9"/>
      <c r="P33" s="9" t="str">
        <f t="shared" si="0"/>
        <v>Needs input</v>
      </c>
    </row>
    <row r="34" spans="1:16" ht="28.5">
      <c r="A34" s="6" t="s">
        <v>166</v>
      </c>
      <c r="B34" s="9" t="s">
        <v>167</v>
      </c>
      <c r="C34" s="9" t="s">
        <v>55</v>
      </c>
      <c r="D34" s="9" t="s">
        <v>50</v>
      </c>
      <c r="E34" s="9"/>
      <c r="F34" s="9" t="s">
        <v>168</v>
      </c>
      <c r="G34" s="7">
        <v>49</v>
      </c>
      <c r="H34" s="7"/>
      <c r="I34" s="7"/>
      <c r="J34" s="7">
        <v>49</v>
      </c>
      <c r="K34" s="8">
        <v>49</v>
      </c>
      <c r="L34" s="10" t="s">
        <v>169</v>
      </c>
      <c r="M34" s="10"/>
      <c r="N34" s="10" t="s">
        <v>46</v>
      </c>
      <c r="O34" s="9"/>
      <c r="P34" s="9" t="str">
        <f t="shared" si="0"/>
        <v>Needs input</v>
      </c>
    </row>
    <row r="35" spans="1:16" ht="28.5">
      <c r="A35" s="6" t="s">
        <v>170</v>
      </c>
      <c r="B35" s="9" t="s">
        <v>171</v>
      </c>
      <c r="C35" s="9" t="s">
        <v>55</v>
      </c>
      <c r="D35" s="9" t="s">
        <v>50</v>
      </c>
      <c r="E35" s="9"/>
      <c r="F35" s="9" t="s">
        <v>43</v>
      </c>
      <c r="G35" s="7">
        <v>5</v>
      </c>
      <c r="H35" s="7"/>
      <c r="I35" s="7"/>
      <c r="J35" s="7">
        <v>35</v>
      </c>
      <c r="K35" s="8">
        <v>35</v>
      </c>
      <c r="L35" s="10" t="s">
        <v>172</v>
      </c>
      <c r="M35" s="10"/>
      <c r="N35" s="10" t="s">
        <v>46</v>
      </c>
      <c r="O35" s="9"/>
      <c r="P35" s="9" t="str">
        <f t="shared" si="0"/>
        <v>Needs input</v>
      </c>
    </row>
    <row r="36" spans="1:16" ht="28.5">
      <c r="A36" s="6" t="s">
        <v>173</v>
      </c>
      <c r="B36" s="9" t="s">
        <v>174</v>
      </c>
      <c r="C36" s="9" t="s">
        <v>55</v>
      </c>
      <c r="D36" s="9" t="s">
        <v>50</v>
      </c>
      <c r="E36" s="9"/>
      <c r="F36" s="9" t="s">
        <v>175</v>
      </c>
      <c r="G36" s="7">
        <v>5</v>
      </c>
      <c r="H36" s="7"/>
      <c r="I36" s="7"/>
      <c r="J36" s="7">
        <v>35</v>
      </c>
      <c r="K36" s="8">
        <v>35</v>
      </c>
      <c r="L36" s="10" t="s">
        <v>176</v>
      </c>
      <c r="M36" s="10"/>
      <c r="N36" s="10" t="s">
        <v>46</v>
      </c>
      <c r="O36" s="9"/>
      <c r="P36" s="9" t="str">
        <f t="shared" si="0"/>
        <v>Needs input</v>
      </c>
    </row>
  </sheetData>
  <phoneticPr fontId="7" type="noConversion"/>
  <conditionalFormatting sqref="P2:P36">
    <cfRule type="containsText" dxfId="3" priority="1" operator="containsText" text="Needs input"/>
    <cfRule type="containsText" dxfId="2" priority="2" operator="containsText" text="Ready to import"/>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8"/>
  <sheetViews>
    <sheetView showGridLines="0" tabSelected="1" topLeftCell="A21" workbookViewId="0">
      <selection activeCell="E45" sqref="E45"/>
    </sheetView>
  </sheetViews>
  <sheetFormatPr defaultRowHeight="14.25"/>
  <cols>
    <col min="1" max="2" width="30" customWidth="1"/>
    <col min="3" max="3" width="18" customWidth="1"/>
    <col min="4" max="4" width="52" customWidth="1"/>
    <col min="5" max="5" width="56" customWidth="1"/>
    <col min="6" max="7" width="28" customWidth="1"/>
    <col min="8" max="10" width="18" customWidth="1"/>
  </cols>
  <sheetData>
    <row r="1" spans="1:10" ht="15">
      <c r="A1" s="4" t="s">
        <v>177</v>
      </c>
      <c r="B1" s="4" t="s">
        <v>178</v>
      </c>
      <c r="C1" s="4" t="s">
        <v>179</v>
      </c>
      <c r="D1" s="4" t="s">
        <v>180</v>
      </c>
      <c r="E1" s="4" t="s">
        <v>181</v>
      </c>
      <c r="F1" s="4" t="s">
        <v>182</v>
      </c>
      <c r="G1" s="4" t="s">
        <v>183</v>
      </c>
      <c r="H1" s="4" t="s">
        <v>30</v>
      </c>
      <c r="I1" s="4" t="s">
        <v>184</v>
      </c>
      <c r="J1" s="4" t="s">
        <v>37</v>
      </c>
    </row>
    <row r="2" spans="1:10" ht="186">
      <c r="A2" s="11" t="s">
        <v>185</v>
      </c>
      <c r="B2" s="11" t="s">
        <v>186</v>
      </c>
      <c r="C2" s="11">
        <v>138</v>
      </c>
      <c r="D2" s="11" t="s">
        <v>187</v>
      </c>
      <c r="E2" s="11" t="s">
        <v>188</v>
      </c>
      <c r="F2" s="11" t="s">
        <v>189</v>
      </c>
      <c r="G2" s="11" t="s">
        <v>190</v>
      </c>
      <c r="H2" s="12"/>
      <c r="I2" s="13">
        <v>3</v>
      </c>
      <c r="J2" s="11" t="str">
        <f t="shared" ref="J2:J38" si="0">IF(I2&gt;0,"Ready","Cost required")</f>
        <v>Ready</v>
      </c>
    </row>
    <row r="3" spans="1:10" ht="114.75">
      <c r="A3" s="11" t="s">
        <v>185</v>
      </c>
      <c r="B3" s="11" t="s">
        <v>63</v>
      </c>
      <c r="C3" s="11">
        <v>117</v>
      </c>
      <c r="D3" s="11" t="s">
        <v>191</v>
      </c>
      <c r="E3" s="11" t="s">
        <v>192</v>
      </c>
      <c r="F3" s="11" t="s">
        <v>193</v>
      </c>
      <c r="G3" s="11" t="s">
        <v>64</v>
      </c>
      <c r="H3" s="12">
        <v>5.5</v>
      </c>
      <c r="I3" s="13">
        <v>5.5</v>
      </c>
      <c r="J3" s="11" t="str">
        <f t="shared" si="0"/>
        <v>Ready</v>
      </c>
    </row>
    <row r="4" spans="1:10" ht="129">
      <c r="A4" s="11" t="s">
        <v>194</v>
      </c>
      <c r="B4" s="11" t="s">
        <v>195</v>
      </c>
      <c r="C4" s="11">
        <v>54</v>
      </c>
      <c r="D4" s="11" t="s">
        <v>196</v>
      </c>
      <c r="E4" s="11" t="s">
        <v>197</v>
      </c>
      <c r="F4" s="11" t="s">
        <v>198</v>
      </c>
      <c r="G4" s="11" t="s">
        <v>199</v>
      </c>
      <c r="H4" s="12">
        <v>4</v>
      </c>
      <c r="I4" s="13">
        <v>4</v>
      </c>
      <c r="J4" s="11" t="str">
        <f t="shared" si="0"/>
        <v>Ready</v>
      </c>
    </row>
    <row r="5" spans="1:10" ht="86.25">
      <c r="A5" s="11" t="s">
        <v>185</v>
      </c>
      <c r="B5" s="11" t="s">
        <v>200</v>
      </c>
      <c r="C5" s="11">
        <v>51</v>
      </c>
      <c r="D5" s="11" t="s">
        <v>201</v>
      </c>
      <c r="E5" s="11" t="s">
        <v>202</v>
      </c>
      <c r="F5" s="11" t="s">
        <v>203</v>
      </c>
      <c r="G5" s="11" t="s">
        <v>204</v>
      </c>
      <c r="H5" s="12">
        <v>13.5</v>
      </c>
      <c r="I5" s="13">
        <v>13.5</v>
      </c>
      <c r="J5" s="11" t="str">
        <f t="shared" si="0"/>
        <v>Ready</v>
      </c>
    </row>
    <row r="6" spans="1:10" ht="72">
      <c r="A6" s="11" t="s">
        <v>205</v>
      </c>
      <c r="B6" s="11" t="s">
        <v>206</v>
      </c>
      <c r="C6" s="11">
        <v>46</v>
      </c>
      <c r="D6" s="11" t="s">
        <v>207</v>
      </c>
      <c r="E6" s="11" t="s">
        <v>208</v>
      </c>
      <c r="F6" s="11"/>
      <c r="G6" s="11"/>
      <c r="H6" s="12"/>
      <c r="I6" s="13">
        <v>5.5</v>
      </c>
      <c r="J6" s="11" t="str">
        <f t="shared" si="0"/>
        <v>Ready</v>
      </c>
    </row>
    <row r="7" spans="1:10" ht="72">
      <c r="A7" s="11" t="s">
        <v>209</v>
      </c>
      <c r="B7" s="11" t="s">
        <v>73</v>
      </c>
      <c r="C7" s="11">
        <v>40</v>
      </c>
      <c r="D7" s="11" t="s">
        <v>210</v>
      </c>
      <c r="E7" s="11" t="s">
        <v>211</v>
      </c>
      <c r="F7" s="11"/>
      <c r="G7" s="11"/>
      <c r="H7" s="12"/>
      <c r="I7" s="13">
        <v>5</v>
      </c>
      <c r="J7" s="11" t="str">
        <f t="shared" si="0"/>
        <v>Ready</v>
      </c>
    </row>
    <row r="8" spans="1:10" ht="129">
      <c r="A8" s="11" t="s">
        <v>185</v>
      </c>
      <c r="B8" s="11" t="s">
        <v>43</v>
      </c>
      <c r="C8" s="11">
        <v>37</v>
      </c>
      <c r="D8" s="11" t="s">
        <v>212</v>
      </c>
      <c r="E8" s="11" t="s">
        <v>213</v>
      </c>
      <c r="F8" s="11" t="s">
        <v>214</v>
      </c>
      <c r="G8" s="11" t="s">
        <v>44</v>
      </c>
      <c r="H8" s="12"/>
      <c r="I8" s="13">
        <v>5</v>
      </c>
      <c r="J8" s="11" t="str">
        <f t="shared" si="0"/>
        <v>Ready</v>
      </c>
    </row>
    <row r="9" spans="1:10" ht="86.25">
      <c r="A9" s="11" t="s">
        <v>185</v>
      </c>
      <c r="B9" s="11" t="s">
        <v>215</v>
      </c>
      <c r="C9" s="11">
        <v>30</v>
      </c>
      <c r="D9" s="11" t="s">
        <v>216</v>
      </c>
      <c r="E9" s="11" t="s">
        <v>217</v>
      </c>
      <c r="F9" s="11" t="s">
        <v>218</v>
      </c>
      <c r="G9" s="11" t="s">
        <v>219</v>
      </c>
      <c r="H9" s="12">
        <v>3</v>
      </c>
      <c r="I9" s="13">
        <v>3</v>
      </c>
      <c r="J9" s="11" t="str">
        <f t="shared" si="0"/>
        <v>Ready</v>
      </c>
    </row>
    <row r="10" spans="1:10" ht="100.5">
      <c r="A10" s="11" t="s">
        <v>185</v>
      </c>
      <c r="B10" s="11" t="s">
        <v>220</v>
      </c>
      <c r="C10" s="11">
        <v>28</v>
      </c>
      <c r="D10" s="11" t="s">
        <v>221</v>
      </c>
      <c r="E10" s="11" t="s">
        <v>222</v>
      </c>
      <c r="F10" s="11" t="s">
        <v>223</v>
      </c>
      <c r="G10" s="11" t="s">
        <v>224</v>
      </c>
      <c r="H10" s="12">
        <v>3</v>
      </c>
      <c r="I10" s="13">
        <v>3</v>
      </c>
      <c r="J10" s="11" t="str">
        <f t="shared" si="0"/>
        <v>Ready</v>
      </c>
    </row>
    <row r="11" spans="1:10" ht="100.5">
      <c r="A11" s="11" t="s">
        <v>225</v>
      </c>
      <c r="B11" s="11" t="s">
        <v>130</v>
      </c>
      <c r="C11" s="11">
        <v>22</v>
      </c>
      <c r="D11" s="11" t="s">
        <v>226</v>
      </c>
      <c r="E11" s="11" t="s">
        <v>227</v>
      </c>
      <c r="F11" s="11" t="s">
        <v>228</v>
      </c>
      <c r="G11" s="11" t="s">
        <v>229</v>
      </c>
      <c r="H11" s="12">
        <v>51.74</v>
      </c>
      <c r="I11" s="13">
        <v>51.74</v>
      </c>
      <c r="J11" s="11" t="str">
        <f t="shared" si="0"/>
        <v>Ready</v>
      </c>
    </row>
    <row r="12" spans="1:10" ht="72">
      <c r="A12" s="11" t="s">
        <v>185</v>
      </c>
      <c r="B12" s="11" t="s">
        <v>79</v>
      </c>
      <c r="C12" s="11">
        <v>19</v>
      </c>
      <c r="D12" s="11" t="s">
        <v>230</v>
      </c>
      <c r="E12" s="11" t="s">
        <v>231</v>
      </c>
      <c r="F12" s="11" t="s">
        <v>232</v>
      </c>
      <c r="G12" s="11" t="s">
        <v>80</v>
      </c>
      <c r="H12" s="12"/>
      <c r="I12" s="13">
        <v>5</v>
      </c>
      <c r="J12" s="11" t="str">
        <f t="shared" si="0"/>
        <v>Ready</v>
      </c>
    </row>
    <row r="13" spans="1:10" ht="72">
      <c r="A13" s="11" t="s">
        <v>185</v>
      </c>
      <c r="B13" s="11" t="s">
        <v>233</v>
      </c>
      <c r="C13" s="11">
        <v>18</v>
      </c>
      <c r="D13" s="11" t="s">
        <v>234</v>
      </c>
      <c r="E13" s="11" t="s">
        <v>235</v>
      </c>
      <c r="F13" s="11"/>
      <c r="G13" s="11"/>
      <c r="H13" s="12"/>
      <c r="I13" s="13">
        <v>6.8</v>
      </c>
      <c r="J13" s="11" t="str">
        <f t="shared" si="0"/>
        <v>Ready</v>
      </c>
    </row>
    <row r="14" spans="1:10" ht="72">
      <c r="A14" s="11" t="s">
        <v>225</v>
      </c>
      <c r="B14" s="11" t="s">
        <v>236</v>
      </c>
      <c r="C14" s="11">
        <v>17</v>
      </c>
      <c r="D14" s="11" t="s">
        <v>237</v>
      </c>
      <c r="E14" s="11" t="s">
        <v>238</v>
      </c>
      <c r="F14" s="11" t="s">
        <v>239</v>
      </c>
      <c r="G14" s="11" t="s">
        <v>240</v>
      </c>
      <c r="H14" s="12">
        <v>30</v>
      </c>
      <c r="I14" s="13">
        <v>30</v>
      </c>
      <c r="J14" s="11" t="str">
        <f t="shared" si="0"/>
        <v>Ready</v>
      </c>
    </row>
    <row r="15" spans="1:10" ht="72">
      <c r="A15" s="11" t="s">
        <v>194</v>
      </c>
      <c r="B15" s="11" t="s">
        <v>241</v>
      </c>
      <c r="C15" s="11">
        <v>13</v>
      </c>
      <c r="D15" s="11" t="s">
        <v>242</v>
      </c>
      <c r="E15" s="11" t="s">
        <v>243</v>
      </c>
      <c r="F15" s="11"/>
      <c r="G15" s="11"/>
      <c r="H15" s="12"/>
      <c r="I15" s="13">
        <v>7</v>
      </c>
      <c r="J15" s="11" t="str">
        <f t="shared" si="0"/>
        <v>Ready</v>
      </c>
    </row>
    <row r="16" spans="1:10" ht="72">
      <c r="A16" s="11" t="s">
        <v>185</v>
      </c>
      <c r="B16" s="11" t="s">
        <v>244</v>
      </c>
      <c r="C16" s="11">
        <v>13</v>
      </c>
      <c r="D16" s="11" t="s">
        <v>245</v>
      </c>
      <c r="E16" s="11" t="s">
        <v>246</v>
      </c>
      <c r="F16" s="11" t="s">
        <v>247</v>
      </c>
      <c r="G16" s="11" t="s">
        <v>248</v>
      </c>
      <c r="H16" s="12">
        <v>4</v>
      </c>
      <c r="I16" s="13">
        <v>4</v>
      </c>
      <c r="J16" s="11" t="str">
        <f t="shared" si="0"/>
        <v>Ready</v>
      </c>
    </row>
    <row r="17" spans="1:10" ht="72">
      <c r="A17" s="11" t="s">
        <v>225</v>
      </c>
      <c r="B17" s="11" t="s">
        <v>51</v>
      </c>
      <c r="C17" s="11">
        <v>12</v>
      </c>
      <c r="D17" s="11" t="s">
        <v>249</v>
      </c>
      <c r="E17" s="11" t="s">
        <v>250</v>
      </c>
      <c r="F17" s="11" t="s">
        <v>251</v>
      </c>
      <c r="G17" s="11" t="s">
        <v>252</v>
      </c>
      <c r="H17" s="12"/>
      <c r="I17" s="13">
        <v>37</v>
      </c>
      <c r="J17" s="11" t="str">
        <f t="shared" si="0"/>
        <v>Ready</v>
      </c>
    </row>
    <row r="18" spans="1:10" ht="72">
      <c r="A18" s="11" t="s">
        <v>185</v>
      </c>
      <c r="B18" s="11" t="s">
        <v>253</v>
      </c>
      <c r="C18" s="11">
        <v>12</v>
      </c>
      <c r="D18" s="11" t="s">
        <v>254</v>
      </c>
      <c r="E18" s="11" t="s">
        <v>255</v>
      </c>
      <c r="F18" s="11" t="s">
        <v>256</v>
      </c>
      <c r="G18" s="11" t="s">
        <v>257</v>
      </c>
      <c r="H18" s="12"/>
      <c r="I18" s="13">
        <v>5</v>
      </c>
      <c r="J18" s="11" t="str">
        <f t="shared" si="0"/>
        <v>Ready</v>
      </c>
    </row>
    <row r="19" spans="1:10" ht="72">
      <c r="A19" s="11" t="s">
        <v>185</v>
      </c>
      <c r="B19" s="11" t="s">
        <v>258</v>
      </c>
      <c r="C19" s="11">
        <v>12</v>
      </c>
      <c r="D19" s="11" t="s">
        <v>259</v>
      </c>
      <c r="E19" s="11" t="s">
        <v>260</v>
      </c>
      <c r="F19" s="11" t="s">
        <v>261</v>
      </c>
      <c r="G19" s="11" t="s">
        <v>262</v>
      </c>
      <c r="H19" s="12">
        <v>3</v>
      </c>
      <c r="I19" s="13">
        <v>3</v>
      </c>
      <c r="J19" s="11" t="str">
        <f t="shared" si="0"/>
        <v>Ready</v>
      </c>
    </row>
    <row r="20" spans="1:10" ht="72">
      <c r="A20" s="11" t="s">
        <v>194</v>
      </c>
      <c r="B20" s="11" t="s">
        <v>263</v>
      </c>
      <c r="C20" s="11">
        <v>9</v>
      </c>
      <c r="D20" s="11" t="s">
        <v>264</v>
      </c>
      <c r="E20" s="11" t="s">
        <v>265</v>
      </c>
      <c r="F20" s="11" t="s">
        <v>266</v>
      </c>
      <c r="G20" s="11" t="s">
        <v>267</v>
      </c>
      <c r="H20" s="12">
        <v>5.5</v>
      </c>
      <c r="I20" s="13">
        <v>5.5</v>
      </c>
      <c r="J20" s="11" t="str">
        <f t="shared" si="0"/>
        <v>Ready</v>
      </c>
    </row>
    <row r="21" spans="1:10" ht="72">
      <c r="A21" s="11" t="s">
        <v>268</v>
      </c>
      <c r="B21" s="11" t="s">
        <v>269</v>
      </c>
      <c r="C21" s="11">
        <v>7</v>
      </c>
      <c r="D21" s="11" t="s">
        <v>270</v>
      </c>
      <c r="E21" s="11" t="s">
        <v>271</v>
      </c>
      <c r="F21" s="11"/>
      <c r="G21" s="11"/>
      <c r="H21" s="12"/>
      <c r="I21" s="13"/>
      <c r="J21" s="11" t="str">
        <f t="shared" si="0"/>
        <v>Cost required</v>
      </c>
    </row>
    <row r="22" spans="1:10" ht="72">
      <c r="A22" s="11" t="s">
        <v>268</v>
      </c>
      <c r="B22" s="11" t="s">
        <v>118</v>
      </c>
      <c r="C22" s="11">
        <v>7</v>
      </c>
      <c r="D22" s="11" t="s">
        <v>272</v>
      </c>
      <c r="E22" s="11" t="s">
        <v>273</v>
      </c>
      <c r="F22" s="11"/>
      <c r="G22" s="11"/>
      <c r="H22" s="12"/>
      <c r="I22" s="13"/>
      <c r="J22" s="11" t="str">
        <f t="shared" si="0"/>
        <v>Cost required</v>
      </c>
    </row>
    <row r="23" spans="1:10" ht="72">
      <c r="A23" s="11" t="s">
        <v>185</v>
      </c>
      <c r="B23" s="11" t="s">
        <v>274</v>
      </c>
      <c r="C23" s="11">
        <v>6</v>
      </c>
      <c r="D23" s="11" t="s">
        <v>275</v>
      </c>
      <c r="E23" s="11" t="s">
        <v>276</v>
      </c>
      <c r="F23" s="11"/>
      <c r="G23" s="11"/>
      <c r="H23" s="12"/>
      <c r="I23" s="13">
        <v>3</v>
      </c>
      <c r="J23" s="11" t="str">
        <f t="shared" si="0"/>
        <v>Ready</v>
      </c>
    </row>
    <row r="24" spans="1:10" ht="57.75">
      <c r="A24" s="11" t="s">
        <v>185</v>
      </c>
      <c r="B24" s="11" t="s">
        <v>277</v>
      </c>
      <c r="C24" s="11">
        <v>4</v>
      </c>
      <c r="D24" s="11" t="s">
        <v>278</v>
      </c>
      <c r="E24" s="11" t="s">
        <v>279</v>
      </c>
      <c r="F24" s="11" t="s">
        <v>280</v>
      </c>
      <c r="G24" s="11" t="s">
        <v>281</v>
      </c>
      <c r="H24" s="12">
        <v>5</v>
      </c>
      <c r="I24" s="13">
        <v>5</v>
      </c>
      <c r="J24" s="11" t="str">
        <f t="shared" si="0"/>
        <v>Ready</v>
      </c>
    </row>
    <row r="25" spans="1:10" ht="57.75">
      <c r="A25" s="11" t="s">
        <v>185</v>
      </c>
      <c r="B25" s="11" t="s">
        <v>282</v>
      </c>
      <c r="C25" s="11">
        <v>4</v>
      </c>
      <c r="D25" s="11" t="s">
        <v>283</v>
      </c>
      <c r="E25" s="11" t="s">
        <v>284</v>
      </c>
      <c r="F25" s="11"/>
      <c r="G25" s="11"/>
      <c r="H25" s="12"/>
      <c r="I25" s="13">
        <v>7</v>
      </c>
      <c r="J25" s="11" t="str">
        <f t="shared" si="0"/>
        <v>Ready</v>
      </c>
    </row>
    <row r="26" spans="1:10" ht="57.75">
      <c r="A26" s="11" t="s">
        <v>185</v>
      </c>
      <c r="B26" s="11" t="s">
        <v>285</v>
      </c>
      <c r="C26" s="11">
        <v>4</v>
      </c>
      <c r="D26" s="11" t="s">
        <v>286</v>
      </c>
      <c r="E26" s="11" t="s">
        <v>287</v>
      </c>
      <c r="F26" s="11" t="s">
        <v>288</v>
      </c>
      <c r="G26" s="11" t="s">
        <v>289</v>
      </c>
      <c r="H26" s="12">
        <v>3</v>
      </c>
      <c r="I26" s="13">
        <v>3</v>
      </c>
      <c r="J26" s="11" t="str">
        <f t="shared" si="0"/>
        <v>Ready</v>
      </c>
    </row>
    <row r="27" spans="1:10" ht="43.5">
      <c r="A27" s="11" t="s">
        <v>268</v>
      </c>
      <c r="B27" s="11" t="s">
        <v>290</v>
      </c>
      <c r="C27" s="11">
        <v>3</v>
      </c>
      <c r="D27" s="11" t="s">
        <v>291</v>
      </c>
      <c r="E27" s="11" t="s">
        <v>292</v>
      </c>
      <c r="F27" s="11"/>
      <c r="G27" s="11"/>
      <c r="H27" s="12"/>
      <c r="I27" s="13"/>
      <c r="J27" s="11" t="str">
        <f t="shared" si="0"/>
        <v>Cost required</v>
      </c>
    </row>
    <row r="28" spans="1:10" ht="43.5">
      <c r="A28" s="11" t="s">
        <v>185</v>
      </c>
      <c r="B28" s="11" t="s">
        <v>293</v>
      </c>
      <c r="C28" s="11">
        <v>3</v>
      </c>
      <c r="D28" s="11" t="s">
        <v>294</v>
      </c>
      <c r="E28" s="11" t="s">
        <v>295</v>
      </c>
      <c r="F28" s="11"/>
      <c r="G28" s="11"/>
      <c r="H28" s="12"/>
      <c r="I28" s="13">
        <v>5</v>
      </c>
      <c r="J28" s="11" t="str">
        <f t="shared" si="0"/>
        <v>Ready</v>
      </c>
    </row>
    <row r="29" spans="1:10" ht="43.5">
      <c r="A29" s="11" t="s">
        <v>185</v>
      </c>
      <c r="B29" s="11" t="s">
        <v>296</v>
      </c>
      <c r="C29" s="11">
        <v>3</v>
      </c>
      <c r="D29" s="11" t="s">
        <v>297</v>
      </c>
      <c r="E29" s="11" t="s">
        <v>298</v>
      </c>
      <c r="F29" s="11"/>
      <c r="G29" s="11"/>
      <c r="H29" s="12"/>
      <c r="I29" s="13">
        <v>8</v>
      </c>
      <c r="J29" s="11" t="str">
        <f t="shared" si="0"/>
        <v>Ready</v>
      </c>
    </row>
    <row r="30" spans="1:10" ht="29.25">
      <c r="A30" s="11" t="s">
        <v>268</v>
      </c>
      <c r="B30" s="11" t="s">
        <v>111</v>
      </c>
      <c r="C30" s="11">
        <v>2</v>
      </c>
      <c r="D30" s="11" t="s">
        <v>299</v>
      </c>
      <c r="E30" s="11" t="s">
        <v>300</v>
      </c>
      <c r="F30" s="11"/>
      <c r="G30" s="11"/>
      <c r="H30" s="12"/>
      <c r="I30" s="13"/>
      <c r="J30" s="11" t="str">
        <f t="shared" si="0"/>
        <v>Cost required</v>
      </c>
    </row>
    <row r="31" spans="1:10" ht="29.25">
      <c r="A31" s="11" t="s">
        <v>185</v>
      </c>
      <c r="B31" s="11" t="s">
        <v>301</v>
      </c>
      <c r="C31" s="11">
        <v>2</v>
      </c>
      <c r="D31" s="11" t="s">
        <v>302</v>
      </c>
      <c r="E31" s="11" t="s">
        <v>303</v>
      </c>
      <c r="F31" s="11"/>
      <c r="G31" s="11"/>
      <c r="H31" s="12"/>
      <c r="I31" s="13">
        <v>3</v>
      </c>
      <c r="J31" s="11" t="str">
        <f t="shared" si="0"/>
        <v>Ready</v>
      </c>
    </row>
    <row r="32" spans="1:10" ht="29.25">
      <c r="A32" s="11" t="s">
        <v>185</v>
      </c>
      <c r="B32" s="11" t="s">
        <v>304</v>
      </c>
      <c r="C32" s="11">
        <v>2</v>
      </c>
      <c r="D32" s="11" t="s">
        <v>305</v>
      </c>
      <c r="E32" s="11" t="s">
        <v>306</v>
      </c>
      <c r="F32" s="11"/>
      <c r="G32" s="11"/>
      <c r="H32" s="12"/>
      <c r="I32" s="13">
        <v>6</v>
      </c>
      <c r="J32" s="11" t="str">
        <f t="shared" si="0"/>
        <v>Ready</v>
      </c>
    </row>
    <row r="33" spans="1:10" ht="29.25">
      <c r="A33" s="11" t="s">
        <v>268</v>
      </c>
      <c r="B33" s="11" t="s">
        <v>307</v>
      </c>
      <c r="C33" s="11">
        <v>1</v>
      </c>
      <c r="D33" s="11" t="s">
        <v>150</v>
      </c>
      <c r="E33" s="11" t="s">
        <v>308</v>
      </c>
      <c r="F33" s="11"/>
      <c r="G33" s="11"/>
      <c r="H33" s="12"/>
      <c r="I33" s="13"/>
      <c r="J33" s="11" t="str">
        <f t="shared" si="0"/>
        <v>Cost required</v>
      </c>
    </row>
    <row r="34" spans="1:10" ht="15">
      <c r="A34" s="11" t="s">
        <v>268</v>
      </c>
      <c r="B34" s="11" t="s">
        <v>309</v>
      </c>
      <c r="C34" s="11">
        <v>1</v>
      </c>
      <c r="D34" s="11" t="s">
        <v>150</v>
      </c>
      <c r="E34" s="11" t="s">
        <v>310</v>
      </c>
      <c r="F34" s="11"/>
      <c r="G34" s="11"/>
      <c r="H34" s="12"/>
      <c r="I34" s="13"/>
      <c r="J34" s="11" t="str">
        <f t="shared" si="0"/>
        <v>Cost required</v>
      </c>
    </row>
    <row r="35" spans="1:10" ht="15">
      <c r="A35" s="11" t="s">
        <v>268</v>
      </c>
      <c r="B35" s="11" t="s">
        <v>151</v>
      </c>
      <c r="C35" s="11">
        <v>1</v>
      </c>
      <c r="D35" s="11" t="s">
        <v>150</v>
      </c>
      <c r="E35" s="11" t="s">
        <v>149</v>
      </c>
      <c r="F35" s="11"/>
      <c r="G35" s="11"/>
      <c r="H35" s="12"/>
      <c r="I35" s="13"/>
      <c r="J35" s="11" t="str">
        <f t="shared" si="0"/>
        <v>Cost required</v>
      </c>
    </row>
    <row r="36" spans="1:10" ht="15">
      <c r="A36" s="11" t="s">
        <v>185</v>
      </c>
      <c r="B36" s="11" t="s">
        <v>163</v>
      </c>
      <c r="C36" s="11">
        <v>1</v>
      </c>
      <c r="D36" s="11" t="s">
        <v>165</v>
      </c>
      <c r="E36" s="11" t="s">
        <v>163</v>
      </c>
      <c r="F36" s="11"/>
      <c r="G36" s="11"/>
      <c r="H36" s="12"/>
      <c r="I36" s="13"/>
      <c r="J36" s="11" t="str">
        <f t="shared" si="0"/>
        <v>Cost required</v>
      </c>
    </row>
    <row r="37" spans="1:10" ht="15">
      <c r="A37" s="11" t="s">
        <v>185</v>
      </c>
      <c r="B37" s="11" t="s">
        <v>311</v>
      </c>
      <c r="C37" s="11">
        <v>1</v>
      </c>
      <c r="D37" s="11" t="s">
        <v>312</v>
      </c>
      <c r="E37" s="11" t="s">
        <v>313</v>
      </c>
      <c r="F37" s="11"/>
      <c r="G37" s="11"/>
      <c r="H37" s="12"/>
      <c r="I37" s="13"/>
      <c r="J37" s="11" t="str">
        <f t="shared" si="0"/>
        <v>Cost required</v>
      </c>
    </row>
    <row r="38" spans="1:10" ht="15">
      <c r="A38" s="11" t="s">
        <v>185</v>
      </c>
      <c r="B38" s="11" t="s">
        <v>314</v>
      </c>
      <c r="C38" s="11">
        <v>1</v>
      </c>
      <c r="D38" s="11" t="s">
        <v>315</v>
      </c>
      <c r="E38" s="11" t="s">
        <v>316</v>
      </c>
      <c r="F38" s="11"/>
      <c r="G38" s="11"/>
      <c r="H38" s="12"/>
      <c r="I38" s="13">
        <v>5</v>
      </c>
      <c r="J38" s="11" t="str">
        <f t="shared" si="0"/>
        <v>Ready</v>
      </c>
    </row>
  </sheetData>
  <phoneticPr fontId="7" type="noConversion"/>
  <conditionalFormatting sqref="J2:J38">
    <cfRule type="containsText" dxfId="1" priority="1" operator="containsText" text="Cost required"/>
    <cfRule type="containsText" dxfId="0" priority="2" operator="containsText" text="Ready"/>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50"/>
  <sheetViews>
    <sheetView workbookViewId="0"/>
  </sheetViews>
  <sheetFormatPr defaultRowHeight="14.25"/>
  <cols>
    <col min="1" max="1" width="18" customWidth="1"/>
    <col min="2" max="2" width="44" customWidth="1"/>
    <col min="3" max="6" width="24" customWidth="1"/>
    <col min="7" max="10" width="18" customWidth="1"/>
    <col min="11" max="11" width="48" customWidth="1"/>
    <col min="12" max="13" width="24" customWidth="1"/>
  </cols>
  <sheetData>
    <row r="1" spans="1:13" ht="15">
      <c r="A1" s="14" t="s">
        <v>317</v>
      </c>
      <c r="B1" s="14" t="s">
        <v>318</v>
      </c>
      <c r="C1" s="14" t="s">
        <v>177</v>
      </c>
      <c r="D1" s="14" t="s">
        <v>319</v>
      </c>
      <c r="E1" s="14" t="s">
        <v>178</v>
      </c>
      <c r="F1" s="14" t="s">
        <v>320</v>
      </c>
      <c r="G1" s="14" t="s">
        <v>321</v>
      </c>
      <c r="H1" s="14" t="s">
        <v>322</v>
      </c>
      <c r="I1" s="14" t="s">
        <v>323</v>
      </c>
      <c r="J1" s="14" t="s">
        <v>324</v>
      </c>
      <c r="K1" s="14" t="s">
        <v>325</v>
      </c>
      <c r="L1" s="14" t="s">
        <v>22</v>
      </c>
      <c r="M1" s="14" t="s">
        <v>326</v>
      </c>
    </row>
    <row r="2" spans="1:13" ht="28.5">
      <c r="A2" t="s">
        <v>327</v>
      </c>
      <c r="B2" s="11" t="s">
        <v>328</v>
      </c>
      <c r="C2" s="11" t="s">
        <v>185</v>
      </c>
      <c r="D2" s="11" t="s">
        <v>329</v>
      </c>
      <c r="E2" s="11" t="s">
        <v>175</v>
      </c>
      <c r="F2" s="11" t="s">
        <v>330</v>
      </c>
      <c r="G2" s="12">
        <v>1</v>
      </c>
      <c r="H2" s="12">
        <v>35</v>
      </c>
      <c r="I2" s="11" t="s">
        <v>331</v>
      </c>
      <c r="J2" s="11" t="s">
        <v>332</v>
      </c>
      <c r="K2" s="11" t="s">
        <v>333</v>
      </c>
      <c r="L2" s="11" t="s">
        <v>334</v>
      </c>
      <c r="M2" s="11" t="s">
        <v>335</v>
      </c>
    </row>
    <row r="3" spans="1:13" ht="28.5">
      <c r="A3" t="s">
        <v>336</v>
      </c>
      <c r="B3" s="11" t="s">
        <v>337</v>
      </c>
      <c r="C3" s="11" t="s">
        <v>185</v>
      </c>
      <c r="D3" s="11" t="s">
        <v>338</v>
      </c>
      <c r="E3" s="11" t="s">
        <v>175</v>
      </c>
      <c r="F3" s="11" t="s">
        <v>330</v>
      </c>
      <c r="G3" s="12">
        <v>1</v>
      </c>
      <c r="H3" s="12">
        <v>35</v>
      </c>
      <c r="I3" s="11" t="s">
        <v>331</v>
      </c>
      <c r="J3" s="11" t="s">
        <v>332</v>
      </c>
      <c r="K3" s="11" t="s">
        <v>339</v>
      </c>
      <c r="L3" s="11" t="s">
        <v>340</v>
      </c>
      <c r="M3" s="11" t="s">
        <v>335</v>
      </c>
    </row>
    <row r="4" spans="1:13" ht="28.5">
      <c r="A4" t="s">
        <v>341</v>
      </c>
      <c r="B4" s="11" t="s">
        <v>342</v>
      </c>
      <c r="C4" s="11" t="s">
        <v>185</v>
      </c>
      <c r="D4" s="11" t="s">
        <v>343</v>
      </c>
      <c r="E4" s="11" t="s">
        <v>175</v>
      </c>
      <c r="F4" s="11" t="s">
        <v>330</v>
      </c>
      <c r="G4" s="12">
        <v>1</v>
      </c>
      <c r="H4" s="12">
        <v>35</v>
      </c>
      <c r="I4" s="11" t="s">
        <v>331</v>
      </c>
      <c r="J4" s="11" t="s">
        <v>332</v>
      </c>
      <c r="K4" s="11" t="s">
        <v>344</v>
      </c>
      <c r="L4" s="11" t="s">
        <v>345</v>
      </c>
      <c r="M4" s="11" t="s">
        <v>335</v>
      </c>
    </row>
    <row r="5" spans="1:13" ht="28.5">
      <c r="A5" t="s">
        <v>346</v>
      </c>
      <c r="B5" s="11" t="s">
        <v>347</v>
      </c>
      <c r="C5" s="11" t="s">
        <v>185</v>
      </c>
      <c r="D5" s="11" t="s">
        <v>348</v>
      </c>
      <c r="E5" s="11" t="s">
        <v>175</v>
      </c>
      <c r="F5" s="11" t="s">
        <v>330</v>
      </c>
      <c r="G5" s="12">
        <v>1</v>
      </c>
      <c r="H5" s="12">
        <v>35</v>
      </c>
      <c r="I5" s="11" t="s">
        <v>331</v>
      </c>
      <c r="J5" s="11" t="s">
        <v>332</v>
      </c>
      <c r="K5" s="11" t="s">
        <v>349</v>
      </c>
      <c r="L5" s="11" t="s">
        <v>350</v>
      </c>
      <c r="M5" s="11" t="s">
        <v>335</v>
      </c>
    </row>
    <row r="6" spans="1:13" ht="28.5">
      <c r="A6" t="s">
        <v>351</v>
      </c>
      <c r="B6" s="11" t="s">
        <v>352</v>
      </c>
      <c r="C6" s="11" t="s">
        <v>185</v>
      </c>
      <c r="D6" s="11" t="s">
        <v>353</v>
      </c>
      <c r="E6" s="11" t="s">
        <v>175</v>
      </c>
      <c r="F6" s="11" t="s">
        <v>330</v>
      </c>
      <c r="G6" s="12">
        <v>1</v>
      </c>
      <c r="H6" s="12">
        <v>35</v>
      </c>
      <c r="I6" s="11" t="s">
        <v>331</v>
      </c>
      <c r="J6" s="11" t="s">
        <v>332</v>
      </c>
      <c r="K6" s="11" t="s">
        <v>354</v>
      </c>
      <c r="L6" s="11" t="s">
        <v>355</v>
      </c>
      <c r="M6" s="11" t="s">
        <v>335</v>
      </c>
    </row>
    <row r="7" spans="1:13" ht="28.5">
      <c r="A7" t="s">
        <v>356</v>
      </c>
      <c r="B7" s="11" t="s">
        <v>357</v>
      </c>
      <c r="C7" s="11" t="s">
        <v>185</v>
      </c>
      <c r="D7" s="11" t="s">
        <v>315</v>
      </c>
      <c r="E7" s="11" t="s">
        <v>175</v>
      </c>
      <c r="F7" s="11" t="s">
        <v>330</v>
      </c>
      <c r="G7" s="12">
        <v>1</v>
      </c>
      <c r="H7" s="12">
        <v>35</v>
      </c>
      <c r="I7" s="11" t="s">
        <v>331</v>
      </c>
      <c r="J7" s="11" t="s">
        <v>332</v>
      </c>
      <c r="K7" s="11" t="s">
        <v>358</v>
      </c>
      <c r="L7" s="11" t="s">
        <v>359</v>
      </c>
      <c r="M7" s="11" t="s">
        <v>335</v>
      </c>
    </row>
    <row r="8" spans="1:13" ht="28.5">
      <c r="A8" t="s">
        <v>360</v>
      </c>
      <c r="B8" s="11" t="s">
        <v>361</v>
      </c>
      <c r="C8" s="11" t="s">
        <v>185</v>
      </c>
      <c r="D8" s="11" t="s">
        <v>315</v>
      </c>
      <c r="E8" s="11" t="s">
        <v>362</v>
      </c>
      <c r="F8" s="11" t="s">
        <v>330</v>
      </c>
      <c r="G8" s="12">
        <v>3</v>
      </c>
      <c r="H8" s="12">
        <v>49</v>
      </c>
      <c r="I8" s="11" t="s">
        <v>331</v>
      </c>
      <c r="J8" s="11" t="s">
        <v>332</v>
      </c>
      <c r="K8" s="11" t="s">
        <v>363</v>
      </c>
      <c r="L8" s="11" t="s">
        <v>364</v>
      </c>
      <c r="M8" s="11" t="s">
        <v>365</v>
      </c>
    </row>
    <row r="9" spans="1:13" ht="28.5">
      <c r="A9" t="s">
        <v>366</v>
      </c>
      <c r="B9" s="11" t="s">
        <v>367</v>
      </c>
      <c r="C9" s="11" t="s">
        <v>185</v>
      </c>
      <c r="D9" s="11" t="s">
        <v>315</v>
      </c>
      <c r="E9" s="11" t="s">
        <v>368</v>
      </c>
      <c r="F9" s="11" t="s">
        <v>330</v>
      </c>
      <c r="G9" s="12">
        <v>3</v>
      </c>
      <c r="H9" s="12">
        <v>49</v>
      </c>
      <c r="I9" s="11" t="s">
        <v>331</v>
      </c>
      <c r="J9" s="11" t="s">
        <v>332</v>
      </c>
      <c r="K9" s="11" t="s">
        <v>369</v>
      </c>
      <c r="L9" s="11" t="s">
        <v>370</v>
      </c>
      <c r="M9" s="11" t="s">
        <v>365</v>
      </c>
    </row>
    <row r="10" spans="1:13" ht="28.5">
      <c r="A10" t="s">
        <v>371</v>
      </c>
      <c r="B10" s="11" t="s">
        <v>372</v>
      </c>
      <c r="C10" s="11" t="s">
        <v>185</v>
      </c>
      <c r="D10" s="11" t="s">
        <v>373</v>
      </c>
      <c r="E10" s="11" t="s">
        <v>175</v>
      </c>
      <c r="F10" s="11" t="s">
        <v>330</v>
      </c>
      <c r="G10" s="12">
        <v>1</v>
      </c>
      <c r="H10" s="12">
        <v>35</v>
      </c>
      <c r="I10" s="11" t="s">
        <v>331</v>
      </c>
      <c r="J10" s="11" t="s">
        <v>332</v>
      </c>
      <c r="K10" s="11" t="s">
        <v>374</v>
      </c>
      <c r="L10" s="11" t="s">
        <v>375</v>
      </c>
      <c r="M10" s="11" t="s">
        <v>335</v>
      </c>
    </row>
    <row r="11" spans="1:13" ht="28.5">
      <c r="A11" t="s">
        <v>376</v>
      </c>
      <c r="B11" s="11" t="s">
        <v>377</v>
      </c>
      <c r="C11" s="11" t="s">
        <v>185</v>
      </c>
      <c r="D11" s="11" t="s">
        <v>378</v>
      </c>
      <c r="E11" s="11" t="s">
        <v>175</v>
      </c>
      <c r="F11" s="11" t="s">
        <v>330</v>
      </c>
      <c r="G11" s="12">
        <v>1</v>
      </c>
      <c r="H11" s="12">
        <v>35</v>
      </c>
      <c r="I11" s="11" t="s">
        <v>331</v>
      </c>
      <c r="J11" s="11" t="s">
        <v>332</v>
      </c>
      <c r="K11" s="11" t="s">
        <v>379</v>
      </c>
      <c r="L11" s="11" t="s">
        <v>380</v>
      </c>
      <c r="M11" s="11" t="s">
        <v>335</v>
      </c>
    </row>
    <row r="12" spans="1:13" ht="28.5">
      <c r="A12" t="s">
        <v>381</v>
      </c>
      <c r="B12" s="11" t="s">
        <v>382</v>
      </c>
      <c r="C12" s="11" t="s">
        <v>185</v>
      </c>
      <c r="D12" s="11" t="s">
        <v>62</v>
      </c>
      <c r="E12" s="11" t="s">
        <v>175</v>
      </c>
      <c r="F12" s="11" t="s">
        <v>330</v>
      </c>
      <c r="G12" s="12">
        <v>1</v>
      </c>
      <c r="H12" s="12">
        <v>35</v>
      </c>
      <c r="I12" s="11" t="s">
        <v>331</v>
      </c>
      <c r="J12" s="11" t="s">
        <v>332</v>
      </c>
      <c r="K12" s="11" t="s">
        <v>383</v>
      </c>
      <c r="L12" s="11" t="s">
        <v>384</v>
      </c>
      <c r="M12" s="11" t="s">
        <v>335</v>
      </c>
    </row>
    <row r="13" spans="1:13" ht="28.5">
      <c r="A13" t="s">
        <v>385</v>
      </c>
      <c r="B13" s="11" t="s">
        <v>386</v>
      </c>
      <c r="C13" s="11" t="s">
        <v>185</v>
      </c>
      <c r="D13" s="11" t="s">
        <v>62</v>
      </c>
      <c r="E13" s="11" t="s">
        <v>387</v>
      </c>
      <c r="F13" s="11" t="s">
        <v>330</v>
      </c>
      <c r="G13" s="12">
        <v>3</v>
      </c>
      <c r="H13" s="12">
        <v>49</v>
      </c>
      <c r="I13" s="11" t="s">
        <v>331</v>
      </c>
      <c r="J13" s="11" t="s">
        <v>332</v>
      </c>
      <c r="K13" s="11" t="s">
        <v>388</v>
      </c>
      <c r="L13" s="11" t="s">
        <v>389</v>
      </c>
      <c r="M13" s="11" t="s">
        <v>365</v>
      </c>
    </row>
    <row r="14" spans="1:13" ht="28.5">
      <c r="A14" t="s">
        <v>390</v>
      </c>
      <c r="B14" s="11" t="s">
        <v>391</v>
      </c>
      <c r="C14" s="11" t="s">
        <v>185</v>
      </c>
      <c r="D14" s="11" t="s">
        <v>62</v>
      </c>
      <c r="E14" s="11" t="s">
        <v>392</v>
      </c>
      <c r="F14" s="11" t="s">
        <v>330</v>
      </c>
      <c r="G14" s="12">
        <v>3</v>
      </c>
      <c r="H14" s="12">
        <v>49</v>
      </c>
      <c r="I14" s="11" t="s">
        <v>331</v>
      </c>
      <c r="J14" s="11" t="s">
        <v>332</v>
      </c>
      <c r="K14" s="11" t="s">
        <v>393</v>
      </c>
      <c r="L14" s="11" t="s">
        <v>394</v>
      </c>
      <c r="M14" s="11" t="s">
        <v>365</v>
      </c>
    </row>
    <row r="15" spans="1:13" ht="28.5">
      <c r="A15" t="s">
        <v>395</v>
      </c>
      <c r="B15" s="11" t="s">
        <v>396</v>
      </c>
      <c r="C15" s="11" t="s">
        <v>185</v>
      </c>
      <c r="D15" s="11" t="s">
        <v>150</v>
      </c>
      <c r="E15" s="11" t="s">
        <v>368</v>
      </c>
      <c r="F15" s="11" t="s">
        <v>330</v>
      </c>
      <c r="G15" s="12">
        <v>3</v>
      </c>
      <c r="H15" s="12">
        <v>49</v>
      </c>
      <c r="I15" s="11" t="s">
        <v>331</v>
      </c>
      <c r="J15" s="11" t="s">
        <v>332</v>
      </c>
      <c r="K15" s="11" t="s">
        <v>397</v>
      </c>
      <c r="L15" s="11" t="s">
        <v>398</v>
      </c>
      <c r="M15" s="11" t="s">
        <v>365</v>
      </c>
    </row>
    <row r="16" spans="1:13" ht="28.5">
      <c r="A16" t="s">
        <v>399</v>
      </c>
      <c r="B16" s="11" t="s">
        <v>400</v>
      </c>
      <c r="C16" s="11" t="s">
        <v>268</v>
      </c>
      <c r="D16" s="11" t="s">
        <v>401</v>
      </c>
      <c r="E16" s="11" t="s">
        <v>402</v>
      </c>
      <c r="F16" s="11" t="s">
        <v>403</v>
      </c>
      <c r="G16" s="12">
        <v>28.6</v>
      </c>
      <c r="H16" s="12">
        <v>70</v>
      </c>
      <c r="I16" s="11" t="s">
        <v>331</v>
      </c>
      <c r="J16" s="11" t="s">
        <v>332</v>
      </c>
      <c r="K16" s="11" t="s">
        <v>404</v>
      </c>
      <c r="L16" s="11" t="s">
        <v>405</v>
      </c>
      <c r="M16" s="11" t="s">
        <v>365</v>
      </c>
    </row>
    <row r="17" spans="1:13" ht="28.5">
      <c r="A17" t="s">
        <v>406</v>
      </c>
      <c r="B17" s="11" t="s">
        <v>407</v>
      </c>
      <c r="C17" s="11" t="s">
        <v>185</v>
      </c>
      <c r="D17" s="11" t="s">
        <v>401</v>
      </c>
      <c r="E17" s="11" t="s">
        <v>408</v>
      </c>
      <c r="F17" s="11" t="s">
        <v>330</v>
      </c>
      <c r="G17" s="12">
        <v>5</v>
      </c>
      <c r="H17" s="12">
        <v>59</v>
      </c>
      <c r="I17" s="11" t="s">
        <v>331</v>
      </c>
      <c r="J17" s="11" t="s">
        <v>332</v>
      </c>
      <c r="K17" s="11" t="s">
        <v>409</v>
      </c>
      <c r="L17" s="11" t="s">
        <v>410</v>
      </c>
      <c r="M17" s="11" t="s">
        <v>365</v>
      </c>
    </row>
    <row r="18" spans="1:13" ht="28.5">
      <c r="A18" t="s">
        <v>411</v>
      </c>
      <c r="B18" s="11" t="s">
        <v>412</v>
      </c>
      <c r="C18" s="11" t="s">
        <v>185</v>
      </c>
      <c r="D18" s="11" t="s">
        <v>401</v>
      </c>
      <c r="E18" s="11" t="s">
        <v>413</v>
      </c>
      <c r="F18" s="11" t="s">
        <v>330</v>
      </c>
      <c r="G18" s="12">
        <v>5</v>
      </c>
      <c r="H18" s="12">
        <v>59</v>
      </c>
      <c r="I18" s="11" t="s">
        <v>331</v>
      </c>
      <c r="J18" s="11" t="s">
        <v>332</v>
      </c>
      <c r="K18" s="11" t="s">
        <v>414</v>
      </c>
      <c r="L18" s="11" t="s">
        <v>415</v>
      </c>
      <c r="M18" s="11" t="s">
        <v>365</v>
      </c>
    </row>
    <row r="19" spans="1:13" ht="28.5">
      <c r="A19" t="s">
        <v>416</v>
      </c>
      <c r="B19" s="11" t="s">
        <v>417</v>
      </c>
      <c r="C19" s="11" t="s">
        <v>185</v>
      </c>
      <c r="D19" s="11" t="s">
        <v>401</v>
      </c>
      <c r="E19" s="11" t="s">
        <v>418</v>
      </c>
      <c r="F19" s="11" t="s">
        <v>330</v>
      </c>
      <c r="G19" s="12">
        <v>5</v>
      </c>
      <c r="H19" s="12">
        <v>59</v>
      </c>
      <c r="I19" s="11" t="s">
        <v>331</v>
      </c>
      <c r="J19" s="11" t="s">
        <v>332</v>
      </c>
      <c r="K19" s="11" t="s">
        <v>419</v>
      </c>
      <c r="L19" s="11" t="s">
        <v>420</v>
      </c>
      <c r="M19" s="11" t="s">
        <v>365</v>
      </c>
    </row>
    <row r="20" spans="1:13" ht="28.5">
      <c r="A20" t="s">
        <v>421</v>
      </c>
      <c r="B20" s="11" t="s">
        <v>422</v>
      </c>
      <c r="C20" s="11" t="s">
        <v>185</v>
      </c>
      <c r="D20" s="11" t="s">
        <v>401</v>
      </c>
      <c r="E20" s="11" t="s">
        <v>175</v>
      </c>
      <c r="F20" s="11" t="s">
        <v>330</v>
      </c>
      <c r="G20" s="12">
        <v>1</v>
      </c>
      <c r="H20" s="12">
        <v>35</v>
      </c>
      <c r="I20" s="11" t="s">
        <v>331</v>
      </c>
      <c r="J20" s="11" t="s">
        <v>332</v>
      </c>
      <c r="K20" s="11" t="s">
        <v>423</v>
      </c>
      <c r="L20" s="11" t="s">
        <v>424</v>
      </c>
      <c r="M20" s="11" t="s">
        <v>335</v>
      </c>
    </row>
    <row r="21" spans="1:13" ht="28.5">
      <c r="A21" t="s">
        <v>425</v>
      </c>
      <c r="B21" s="11" t="s">
        <v>426</v>
      </c>
      <c r="C21" s="11" t="s">
        <v>185</v>
      </c>
      <c r="D21" s="11" t="s">
        <v>401</v>
      </c>
      <c r="E21" s="11" t="s">
        <v>387</v>
      </c>
      <c r="F21" s="11" t="s">
        <v>330</v>
      </c>
      <c r="G21" s="12">
        <v>3</v>
      </c>
      <c r="H21" s="12">
        <v>49</v>
      </c>
      <c r="I21" s="11" t="s">
        <v>331</v>
      </c>
      <c r="J21" s="11" t="s">
        <v>332</v>
      </c>
      <c r="K21" s="11" t="s">
        <v>427</v>
      </c>
      <c r="L21" s="11" t="s">
        <v>428</v>
      </c>
      <c r="M21" s="11" t="s">
        <v>365</v>
      </c>
    </row>
    <row r="22" spans="1:13" ht="28.5">
      <c r="A22" t="s">
        <v>429</v>
      </c>
      <c r="B22" s="11" t="s">
        <v>430</v>
      </c>
      <c r="C22" s="11" t="s">
        <v>185</v>
      </c>
      <c r="D22" s="11" t="s">
        <v>401</v>
      </c>
      <c r="E22" s="11" t="s">
        <v>368</v>
      </c>
      <c r="F22" s="11" t="s">
        <v>330</v>
      </c>
      <c r="G22" s="12">
        <v>3</v>
      </c>
      <c r="H22" s="12">
        <v>49</v>
      </c>
      <c r="I22" s="11" t="s">
        <v>331</v>
      </c>
      <c r="J22" s="11" t="s">
        <v>332</v>
      </c>
      <c r="K22" s="11" t="s">
        <v>431</v>
      </c>
      <c r="L22" s="11" t="s">
        <v>432</v>
      </c>
      <c r="M22" s="11" t="s">
        <v>365</v>
      </c>
    </row>
    <row r="23" spans="1:13" ht="28.5">
      <c r="A23" t="s">
        <v>433</v>
      </c>
      <c r="B23" s="11" t="s">
        <v>434</v>
      </c>
      <c r="C23" s="11" t="s">
        <v>268</v>
      </c>
      <c r="D23" s="11" t="s">
        <v>435</v>
      </c>
      <c r="E23" s="11" t="s">
        <v>436</v>
      </c>
      <c r="F23" s="11" t="s">
        <v>437</v>
      </c>
      <c r="G23" s="12">
        <v>28.6</v>
      </c>
      <c r="H23" s="12">
        <v>70</v>
      </c>
      <c r="I23" s="11" t="s">
        <v>331</v>
      </c>
      <c r="J23" s="11" t="s">
        <v>332</v>
      </c>
      <c r="K23" s="11" t="s">
        <v>438</v>
      </c>
      <c r="L23" s="11" t="s">
        <v>439</v>
      </c>
      <c r="M23" s="11" t="s">
        <v>365</v>
      </c>
    </row>
    <row r="24" spans="1:13" ht="28.5">
      <c r="A24" t="s">
        <v>440</v>
      </c>
      <c r="B24" s="11" t="s">
        <v>441</v>
      </c>
      <c r="C24" s="11" t="s">
        <v>225</v>
      </c>
      <c r="D24" s="11" t="s">
        <v>435</v>
      </c>
      <c r="E24" s="11" t="s">
        <v>442</v>
      </c>
      <c r="F24" s="11" t="s">
        <v>330</v>
      </c>
      <c r="G24" s="12">
        <v>59.07</v>
      </c>
      <c r="H24" s="12">
        <v>110</v>
      </c>
      <c r="I24" s="11" t="s">
        <v>331</v>
      </c>
      <c r="J24" s="11" t="s">
        <v>332</v>
      </c>
      <c r="K24" s="11" t="s">
        <v>443</v>
      </c>
      <c r="L24" s="11" t="s">
        <v>444</v>
      </c>
      <c r="M24" s="11" t="s">
        <v>335</v>
      </c>
    </row>
    <row r="25" spans="1:13" ht="28.5">
      <c r="A25" t="s">
        <v>445</v>
      </c>
      <c r="B25" s="11" t="s">
        <v>446</v>
      </c>
      <c r="C25" s="11" t="s">
        <v>185</v>
      </c>
      <c r="D25" s="11" t="s">
        <v>435</v>
      </c>
      <c r="E25" s="11" t="s">
        <v>408</v>
      </c>
      <c r="F25" s="11" t="s">
        <v>330</v>
      </c>
      <c r="G25" s="12">
        <v>5</v>
      </c>
      <c r="H25" s="12">
        <v>59</v>
      </c>
      <c r="I25" s="11" t="s">
        <v>331</v>
      </c>
      <c r="J25" s="11" t="s">
        <v>332</v>
      </c>
      <c r="K25" s="11" t="s">
        <v>447</v>
      </c>
      <c r="L25" s="11" t="s">
        <v>448</v>
      </c>
      <c r="M25" s="11" t="s">
        <v>365</v>
      </c>
    </row>
    <row r="26" spans="1:13" ht="28.5">
      <c r="A26" t="s">
        <v>449</v>
      </c>
      <c r="B26" s="11" t="s">
        <v>450</v>
      </c>
      <c r="C26" s="11" t="s">
        <v>185</v>
      </c>
      <c r="D26" s="11" t="s">
        <v>435</v>
      </c>
      <c r="E26" s="11" t="s">
        <v>413</v>
      </c>
      <c r="F26" s="11" t="s">
        <v>330</v>
      </c>
      <c r="G26" s="12">
        <v>5</v>
      </c>
      <c r="H26" s="12">
        <v>59</v>
      </c>
      <c r="I26" s="11" t="s">
        <v>331</v>
      </c>
      <c r="J26" s="11" t="s">
        <v>332</v>
      </c>
      <c r="K26" s="11" t="s">
        <v>451</v>
      </c>
      <c r="L26" s="11" t="s">
        <v>452</v>
      </c>
      <c r="M26" s="11" t="s">
        <v>365</v>
      </c>
    </row>
    <row r="27" spans="1:13" ht="28.5">
      <c r="A27" t="s">
        <v>453</v>
      </c>
      <c r="B27" s="11" t="s">
        <v>454</v>
      </c>
      <c r="C27" s="11" t="s">
        <v>185</v>
      </c>
      <c r="D27" s="11" t="s">
        <v>435</v>
      </c>
      <c r="E27" s="11" t="s">
        <v>418</v>
      </c>
      <c r="F27" s="11" t="s">
        <v>330</v>
      </c>
      <c r="G27" s="12">
        <v>5</v>
      </c>
      <c r="H27" s="12">
        <v>59</v>
      </c>
      <c r="I27" s="11" t="s">
        <v>331</v>
      </c>
      <c r="J27" s="11" t="s">
        <v>332</v>
      </c>
      <c r="K27" s="11" t="s">
        <v>455</v>
      </c>
      <c r="L27" s="11" t="s">
        <v>456</v>
      </c>
      <c r="M27" s="11" t="s">
        <v>365</v>
      </c>
    </row>
    <row r="28" spans="1:13" ht="28.5">
      <c r="A28" t="s">
        <v>457</v>
      </c>
      <c r="B28" s="11" t="s">
        <v>458</v>
      </c>
      <c r="C28" s="11" t="s">
        <v>185</v>
      </c>
      <c r="D28" s="11" t="s">
        <v>435</v>
      </c>
      <c r="E28" s="11" t="s">
        <v>175</v>
      </c>
      <c r="F28" s="11" t="s">
        <v>330</v>
      </c>
      <c r="G28" s="12">
        <v>1</v>
      </c>
      <c r="H28" s="12">
        <v>35</v>
      </c>
      <c r="I28" s="11" t="s">
        <v>331</v>
      </c>
      <c r="J28" s="11" t="s">
        <v>332</v>
      </c>
      <c r="K28" s="11" t="s">
        <v>459</v>
      </c>
      <c r="L28" s="11" t="s">
        <v>460</v>
      </c>
      <c r="M28" s="11" t="s">
        <v>335</v>
      </c>
    </row>
    <row r="29" spans="1:13" ht="28.5">
      <c r="A29" t="s">
        <v>461</v>
      </c>
      <c r="B29" s="11" t="s">
        <v>462</v>
      </c>
      <c r="C29" s="11" t="s">
        <v>185</v>
      </c>
      <c r="D29" s="11" t="s">
        <v>435</v>
      </c>
      <c r="E29" s="11" t="s">
        <v>387</v>
      </c>
      <c r="F29" s="11" t="s">
        <v>330</v>
      </c>
      <c r="G29" s="12">
        <v>3</v>
      </c>
      <c r="H29" s="12">
        <v>49</v>
      </c>
      <c r="I29" s="11" t="s">
        <v>331</v>
      </c>
      <c r="J29" s="11" t="s">
        <v>332</v>
      </c>
      <c r="K29" s="11" t="s">
        <v>463</v>
      </c>
      <c r="L29" s="11" t="s">
        <v>464</v>
      </c>
      <c r="M29" s="11" t="s">
        <v>365</v>
      </c>
    </row>
    <row r="30" spans="1:13" ht="28.5">
      <c r="A30" t="s">
        <v>465</v>
      </c>
      <c r="B30" s="11" t="s">
        <v>466</v>
      </c>
      <c r="C30" s="11" t="s">
        <v>185</v>
      </c>
      <c r="D30" s="11" t="s">
        <v>435</v>
      </c>
      <c r="E30" s="11" t="s">
        <v>368</v>
      </c>
      <c r="F30" s="11" t="s">
        <v>330</v>
      </c>
      <c r="G30" s="12">
        <v>3</v>
      </c>
      <c r="H30" s="12">
        <v>49</v>
      </c>
      <c r="I30" s="11" t="s">
        <v>331</v>
      </c>
      <c r="J30" s="11" t="s">
        <v>332</v>
      </c>
      <c r="K30" s="11" t="s">
        <v>467</v>
      </c>
      <c r="L30" s="11" t="s">
        <v>468</v>
      </c>
      <c r="M30" s="11" t="s">
        <v>365</v>
      </c>
    </row>
    <row r="31" spans="1:13" ht="28.5">
      <c r="A31" t="s">
        <v>469</v>
      </c>
      <c r="B31" s="11" t="s">
        <v>470</v>
      </c>
      <c r="C31" s="11" t="s">
        <v>268</v>
      </c>
      <c r="D31" s="11" t="s">
        <v>471</v>
      </c>
      <c r="E31" s="11" t="s">
        <v>472</v>
      </c>
      <c r="F31" s="11" t="s">
        <v>437</v>
      </c>
      <c r="G31" s="12">
        <v>28.6</v>
      </c>
      <c r="H31" s="12">
        <v>70</v>
      </c>
      <c r="I31" s="11" t="s">
        <v>331</v>
      </c>
      <c r="J31" s="11" t="s">
        <v>332</v>
      </c>
      <c r="K31" s="11" t="s">
        <v>473</v>
      </c>
      <c r="L31" s="11" t="s">
        <v>474</v>
      </c>
      <c r="M31" s="11" t="s">
        <v>365</v>
      </c>
    </row>
    <row r="32" spans="1:13" ht="28.5">
      <c r="A32" t="s">
        <v>475</v>
      </c>
      <c r="B32" s="11" t="s">
        <v>476</v>
      </c>
      <c r="C32" s="11" t="s">
        <v>268</v>
      </c>
      <c r="D32" s="11" t="s">
        <v>471</v>
      </c>
      <c r="E32" s="11" t="s">
        <v>477</v>
      </c>
      <c r="F32" s="11" t="s">
        <v>330</v>
      </c>
      <c r="G32" s="12">
        <v>28.6</v>
      </c>
      <c r="H32" s="12">
        <v>70</v>
      </c>
      <c r="I32" s="11" t="s">
        <v>331</v>
      </c>
      <c r="J32" s="11" t="s">
        <v>332</v>
      </c>
      <c r="K32" s="11" t="s">
        <v>478</v>
      </c>
      <c r="L32" s="11" t="s">
        <v>479</v>
      </c>
      <c r="M32" s="11" t="s">
        <v>365</v>
      </c>
    </row>
    <row r="33" spans="1:13" ht="28.5">
      <c r="A33" t="s">
        <v>480</v>
      </c>
      <c r="B33" s="11" t="s">
        <v>481</v>
      </c>
      <c r="C33" s="11" t="s">
        <v>185</v>
      </c>
      <c r="D33" s="11" t="s">
        <v>471</v>
      </c>
      <c r="E33" s="11" t="s">
        <v>175</v>
      </c>
      <c r="F33" s="11" t="s">
        <v>330</v>
      </c>
      <c r="G33" s="12">
        <v>1</v>
      </c>
      <c r="H33" s="12">
        <v>35</v>
      </c>
      <c r="I33" s="11" t="s">
        <v>331</v>
      </c>
      <c r="J33" s="11" t="s">
        <v>332</v>
      </c>
      <c r="K33" s="11" t="s">
        <v>482</v>
      </c>
      <c r="L33" s="11" t="s">
        <v>483</v>
      </c>
      <c r="M33" s="11" t="s">
        <v>335</v>
      </c>
    </row>
    <row r="34" spans="1:13" ht="28.5">
      <c r="A34" t="s">
        <v>484</v>
      </c>
      <c r="B34" s="11" t="s">
        <v>485</v>
      </c>
      <c r="C34" s="11" t="s">
        <v>185</v>
      </c>
      <c r="D34" s="11" t="s">
        <v>486</v>
      </c>
      <c r="E34" s="11" t="s">
        <v>487</v>
      </c>
      <c r="F34" s="11" t="s">
        <v>488</v>
      </c>
      <c r="G34" s="12">
        <v>5</v>
      </c>
      <c r="H34" s="12">
        <v>59</v>
      </c>
      <c r="I34" s="11" t="s">
        <v>331</v>
      </c>
      <c r="J34" s="11" t="s">
        <v>332</v>
      </c>
      <c r="K34" s="11" t="s">
        <v>489</v>
      </c>
      <c r="L34" s="11" t="s">
        <v>490</v>
      </c>
      <c r="M34" s="11" t="s">
        <v>365</v>
      </c>
    </row>
    <row r="35" spans="1:13" ht="28.5">
      <c r="A35" t="s">
        <v>491</v>
      </c>
      <c r="B35" s="11" t="s">
        <v>492</v>
      </c>
      <c r="C35" s="11" t="s">
        <v>185</v>
      </c>
      <c r="D35" s="11" t="s">
        <v>486</v>
      </c>
      <c r="E35" s="11" t="s">
        <v>493</v>
      </c>
      <c r="F35" s="11" t="s">
        <v>330</v>
      </c>
      <c r="G35" s="12">
        <v>5</v>
      </c>
      <c r="H35" s="12">
        <v>59</v>
      </c>
      <c r="I35" s="11" t="s">
        <v>331</v>
      </c>
      <c r="J35" s="11" t="s">
        <v>332</v>
      </c>
      <c r="K35" s="11" t="s">
        <v>494</v>
      </c>
      <c r="L35" s="11" t="s">
        <v>495</v>
      </c>
      <c r="M35" s="11" t="s">
        <v>365</v>
      </c>
    </row>
    <row r="36" spans="1:13" ht="28.5">
      <c r="A36" t="s">
        <v>496</v>
      </c>
      <c r="B36" s="11" t="s">
        <v>497</v>
      </c>
      <c r="C36" s="11" t="s">
        <v>185</v>
      </c>
      <c r="D36" s="11" t="s">
        <v>486</v>
      </c>
      <c r="E36" s="11" t="s">
        <v>175</v>
      </c>
      <c r="F36" s="11" t="s">
        <v>330</v>
      </c>
      <c r="G36" s="12">
        <v>1</v>
      </c>
      <c r="H36" s="12">
        <v>35</v>
      </c>
      <c r="I36" s="11" t="s">
        <v>331</v>
      </c>
      <c r="J36" s="11" t="s">
        <v>332</v>
      </c>
      <c r="K36" s="11" t="s">
        <v>498</v>
      </c>
      <c r="L36" s="11" t="s">
        <v>499</v>
      </c>
      <c r="M36" s="11" t="s">
        <v>335</v>
      </c>
    </row>
    <row r="37" spans="1:13" ht="28.5">
      <c r="A37" t="s">
        <v>500</v>
      </c>
      <c r="B37" s="11" t="s">
        <v>501</v>
      </c>
      <c r="C37" s="11" t="s">
        <v>185</v>
      </c>
      <c r="D37" s="11" t="s">
        <v>486</v>
      </c>
      <c r="E37" s="11" t="s">
        <v>387</v>
      </c>
      <c r="F37" s="11" t="s">
        <v>330</v>
      </c>
      <c r="G37" s="12">
        <v>3</v>
      </c>
      <c r="H37" s="12">
        <v>49</v>
      </c>
      <c r="I37" s="11" t="s">
        <v>331</v>
      </c>
      <c r="J37" s="11" t="s">
        <v>332</v>
      </c>
      <c r="K37" s="11" t="s">
        <v>502</v>
      </c>
      <c r="L37" s="11" t="s">
        <v>503</v>
      </c>
      <c r="M37" s="11" t="s">
        <v>365</v>
      </c>
    </row>
    <row r="38" spans="1:13" ht="28.5">
      <c r="A38" t="s">
        <v>504</v>
      </c>
      <c r="B38" s="11" t="s">
        <v>505</v>
      </c>
      <c r="C38" s="11" t="s">
        <v>268</v>
      </c>
      <c r="D38" s="11" t="s">
        <v>506</v>
      </c>
      <c r="E38" s="11" t="s">
        <v>507</v>
      </c>
      <c r="F38" s="11" t="s">
        <v>403</v>
      </c>
      <c r="G38" s="12">
        <v>28.6</v>
      </c>
      <c r="H38" s="12">
        <v>70</v>
      </c>
      <c r="I38" s="11" t="s">
        <v>331</v>
      </c>
      <c r="J38" s="11" t="s">
        <v>332</v>
      </c>
      <c r="K38" s="11" t="s">
        <v>508</v>
      </c>
      <c r="L38" s="11" t="s">
        <v>509</v>
      </c>
      <c r="M38" s="11" t="s">
        <v>365</v>
      </c>
    </row>
    <row r="39" spans="1:13" ht="28.5">
      <c r="A39" t="s">
        <v>510</v>
      </c>
      <c r="B39" s="11" t="s">
        <v>511</v>
      </c>
      <c r="C39" s="11" t="s">
        <v>185</v>
      </c>
      <c r="D39" s="11" t="s">
        <v>506</v>
      </c>
      <c r="E39" s="11" t="s">
        <v>493</v>
      </c>
      <c r="F39" s="11" t="s">
        <v>330</v>
      </c>
      <c r="G39" s="12">
        <v>5</v>
      </c>
      <c r="H39" s="12">
        <v>59</v>
      </c>
      <c r="I39" s="11" t="s">
        <v>331</v>
      </c>
      <c r="J39" s="11" t="s">
        <v>332</v>
      </c>
      <c r="K39" s="11" t="s">
        <v>512</v>
      </c>
      <c r="L39" s="11" t="s">
        <v>513</v>
      </c>
      <c r="M39" s="11" t="s">
        <v>365</v>
      </c>
    </row>
    <row r="40" spans="1:13" ht="28.5">
      <c r="A40" t="s">
        <v>514</v>
      </c>
      <c r="B40" s="11" t="s">
        <v>515</v>
      </c>
      <c r="C40" s="11" t="s">
        <v>185</v>
      </c>
      <c r="D40" s="11" t="s">
        <v>506</v>
      </c>
      <c r="E40" s="11" t="s">
        <v>175</v>
      </c>
      <c r="F40" s="11" t="s">
        <v>330</v>
      </c>
      <c r="G40" s="12">
        <v>1</v>
      </c>
      <c r="H40" s="12">
        <v>35</v>
      </c>
      <c r="I40" s="11" t="s">
        <v>331</v>
      </c>
      <c r="J40" s="11" t="s">
        <v>332</v>
      </c>
      <c r="K40" s="11" t="s">
        <v>516</v>
      </c>
      <c r="L40" s="11" t="s">
        <v>517</v>
      </c>
      <c r="M40" s="11" t="s">
        <v>335</v>
      </c>
    </row>
    <row r="41" spans="1:13" ht="28.5">
      <c r="A41" t="s">
        <v>518</v>
      </c>
      <c r="B41" s="11" t="s">
        <v>519</v>
      </c>
      <c r="C41" s="11" t="s">
        <v>185</v>
      </c>
      <c r="D41" s="11" t="s">
        <v>506</v>
      </c>
      <c r="E41" s="11" t="s">
        <v>368</v>
      </c>
      <c r="F41" s="11" t="s">
        <v>330</v>
      </c>
      <c r="G41" s="12">
        <v>3</v>
      </c>
      <c r="H41" s="12">
        <v>49</v>
      </c>
      <c r="I41" s="11" t="s">
        <v>331</v>
      </c>
      <c r="J41" s="11" t="s">
        <v>332</v>
      </c>
      <c r="K41" s="11" t="s">
        <v>520</v>
      </c>
      <c r="L41" s="11" t="s">
        <v>521</v>
      </c>
      <c r="M41" s="11" t="s">
        <v>365</v>
      </c>
    </row>
    <row r="42" spans="1:13" ht="28.5">
      <c r="A42" t="s">
        <v>522</v>
      </c>
      <c r="B42" s="11" t="s">
        <v>523</v>
      </c>
      <c r="C42" s="11" t="s">
        <v>185</v>
      </c>
      <c r="D42" s="11" t="s">
        <v>524</v>
      </c>
      <c r="E42" s="11" t="s">
        <v>493</v>
      </c>
      <c r="F42" s="11" t="s">
        <v>330</v>
      </c>
      <c r="G42" s="12">
        <v>5</v>
      </c>
      <c r="H42" s="12">
        <v>59</v>
      </c>
      <c r="I42" s="11" t="s">
        <v>331</v>
      </c>
      <c r="J42" s="11" t="s">
        <v>332</v>
      </c>
      <c r="K42" s="11" t="s">
        <v>525</v>
      </c>
      <c r="L42" s="11" t="s">
        <v>526</v>
      </c>
      <c r="M42" s="11" t="s">
        <v>365</v>
      </c>
    </row>
    <row r="43" spans="1:13" ht="28.5">
      <c r="A43" t="s">
        <v>527</v>
      </c>
      <c r="B43" s="11" t="s">
        <v>528</v>
      </c>
      <c r="C43" s="11" t="s">
        <v>185</v>
      </c>
      <c r="D43" s="11" t="s">
        <v>524</v>
      </c>
      <c r="E43" s="11" t="s">
        <v>175</v>
      </c>
      <c r="F43" s="11" t="s">
        <v>330</v>
      </c>
      <c r="G43" s="12">
        <v>1</v>
      </c>
      <c r="H43" s="12">
        <v>35</v>
      </c>
      <c r="I43" s="11" t="s">
        <v>331</v>
      </c>
      <c r="J43" s="11" t="s">
        <v>332</v>
      </c>
      <c r="K43" s="11" t="s">
        <v>529</v>
      </c>
      <c r="L43" s="11" t="s">
        <v>530</v>
      </c>
      <c r="M43" s="11" t="s">
        <v>335</v>
      </c>
    </row>
    <row r="44" spans="1:13" ht="28.5">
      <c r="A44" t="s">
        <v>531</v>
      </c>
      <c r="B44" s="11" t="s">
        <v>532</v>
      </c>
      <c r="C44" s="11" t="s">
        <v>185</v>
      </c>
      <c r="D44" s="11" t="s">
        <v>533</v>
      </c>
      <c r="E44" s="11" t="s">
        <v>493</v>
      </c>
      <c r="F44" s="11" t="s">
        <v>330</v>
      </c>
      <c r="G44" s="12">
        <v>5</v>
      </c>
      <c r="H44" s="12">
        <v>59</v>
      </c>
      <c r="I44" s="11" t="s">
        <v>331</v>
      </c>
      <c r="J44" s="11" t="s">
        <v>332</v>
      </c>
      <c r="K44" s="11" t="s">
        <v>534</v>
      </c>
      <c r="L44" s="11" t="s">
        <v>535</v>
      </c>
      <c r="M44" s="11" t="s">
        <v>365</v>
      </c>
    </row>
    <row r="45" spans="1:13" ht="28.5">
      <c r="A45" t="s">
        <v>536</v>
      </c>
      <c r="B45" s="11" t="s">
        <v>537</v>
      </c>
      <c r="C45" s="11" t="s">
        <v>185</v>
      </c>
      <c r="D45" s="11" t="s">
        <v>533</v>
      </c>
      <c r="E45" s="11" t="s">
        <v>175</v>
      </c>
      <c r="F45" s="11" t="s">
        <v>330</v>
      </c>
      <c r="G45" s="12">
        <v>1</v>
      </c>
      <c r="H45" s="12">
        <v>35</v>
      </c>
      <c r="I45" s="11" t="s">
        <v>331</v>
      </c>
      <c r="J45" s="11" t="s">
        <v>332</v>
      </c>
      <c r="K45" s="11" t="s">
        <v>538</v>
      </c>
      <c r="L45" s="11" t="s">
        <v>539</v>
      </c>
      <c r="M45" s="11" t="s">
        <v>335</v>
      </c>
    </row>
    <row r="46" spans="1:13" ht="28.5">
      <c r="A46" t="s">
        <v>540</v>
      </c>
      <c r="B46" s="11" t="s">
        <v>541</v>
      </c>
      <c r="C46" s="11" t="s">
        <v>268</v>
      </c>
      <c r="D46" s="11" t="s">
        <v>42</v>
      </c>
      <c r="E46" s="11" t="s">
        <v>507</v>
      </c>
      <c r="F46" s="11" t="s">
        <v>403</v>
      </c>
      <c r="G46" s="12">
        <v>28.6</v>
      </c>
      <c r="H46" s="12">
        <v>70</v>
      </c>
      <c r="I46" s="11" t="s">
        <v>331</v>
      </c>
      <c r="J46" s="11" t="s">
        <v>332</v>
      </c>
      <c r="K46" s="11" t="s">
        <v>542</v>
      </c>
      <c r="L46" s="11" t="s">
        <v>543</v>
      </c>
      <c r="M46" s="11" t="s">
        <v>335</v>
      </c>
    </row>
    <row r="47" spans="1:13" ht="28.5">
      <c r="A47" t="s">
        <v>544</v>
      </c>
      <c r="B47" s="11" t="s">
        <v>545</v>
      </c>
      <c r="C47" s="11" t="s">
        <v>268</v>
      </c>
      <c r="D47" s="11" t="s">
        <v>42</v>
      </c>
      <c r="E47" s="11" t="s">
        <v>507</v>
      </c>
      <c r="F47" s="11" t="s">
        <v>437</v>
      </c>
      <c r="G47" s="12">
        <v>28.6</v>
      </c>
      <c r="H47" s="12">
        <v>70</v>
      </c>
      <c r="I47" s="11" t="s">
        <v>331</v>
      </c>
      <c r="J47" s="11" t="s">
        <v>332</v>
      </c>
      <c r="K47" s="11" t="s">
        <v>546</v>
      </c>
      <c r="L47" s="11" t="s">
        <v>547</v>
      </c>
      <c r="M47" s="11" t="s">
        <v>335</v>
      </c>
    </row>
    <row r="48" spans="1:13" ht="28.5">
      <c r="A48" t="s">
        <v>548</v>
      </c>
      <c r="B48" s="11" t="s">
        <v>549</v>
      </c>
      <c r="C48" s="11" t="s">
        <v>225</v>
      </c>
      <c r="D48" s="11" t="s">
        <v>42</v>
      </c>
      <c r="E48" s="11" t="s">
        <v>442</v>
      </c>
      <c r="F48" s="11" t="s">
        <v>330</v>
      </c>
      <c r="G48" s="12">
        <v>59.07</v>
      </c>
      <c r="H48" s="12">
        <v>129.94999999999999</v>
      </c>
      <c r="I48" s="11" t="s">
        <v>331</v>
      </c>
      <c r="J48" s="11" t="s">
        <v>332</v>
      </c>
      <c r="K48" s="11" t="s">
        <v>550</v>
      </c>
      <c r="L48" s="11" t="s">
        <v>551</v>
      </c>
      <c r="M48" s="11" t="s">
        <v>335</v>
      </c>
    </row>
    <row r="49" spans="1:13" ht="28.5">
      <c r="A49" t="s">
        <v>552</v>
      </c>
      <c r="B49" s="11" t="s">
        <v>553</v>
      </c>
      <c r="C49" s="11" t="s">
        <v>185</v>
      </c>
      <c r="D49" s="11" t="s">
        <v>42</v>
      </c>
      <c r="E49" s="11" t="s">
        <v>387</v>
      </c>
      <c r="F49" s="11" t="s">
        <v>330</v>
      </c>
      <c r="G49" s="12">
        <v>3</v>
      </c>
      <c r="H49" s="12">
        <v>49</v>
      </c>
      <c r="I49" s="11" t="s">
        <v>331</v>
      </c>
      <c r="J49" s="11" t="s">
        <v>332</v>
      </c>
      <c r="K49" s="11" t="s">
        <v>554</v>
      </c>
      <c r="L49" s="11" t="s">
        <v>555</v>
      </c>
      <c r="M49" s="11" t="s">
        <v>365</v>
      </c>
    </row>
    <row r="50" spans="1:13" ht="28.5">
      <c r="A50" t="s">
        <v>556</v>
      </c>
      <c r="B50" s="11" t="s">
        <v>557</v>
      </c>
      <c r="C50" s="11" t="s">
        <v>185</v>
      </c>
      <c r="D50" s="11" t="s">
        <v>42</v>
      </c>
      <c r="E50" s="11" t="s">
        <v>558</v>
      </c>
      <c r="F50" s="11" t="s">
        <v>403</v>
      </c>
      <c r="G50" s="12">
        <v>3</v>
      </c>
      <c r="H50" s="12">
        <v>49</v>
      </c>
      <c r="I50" s="11" t="s">
        <v>331</v>
      </c>
      <c r="J50" s="11" t="s">
        <v>332</v>
      </c>
      <c r="K50" s="11" t="s">
        <v>559</v>
      </c>
      <c r="L50" s="11" t="s">
        <v>560</v>
      </c>
      <c r="M50" s="11" t="s">
        <v>365</v>
      </c>
    </row>
    <row r="51" spans="1:13" ht="28.5">
      <c r="A51" t="s">
        <v>561</v>
      </c>
      <c r="B51" s="11" t="s">
        <v>562</v>
      </c>
      <c r="C51" s="11" t="s">
        <v>185</v>
      </c>
      <c r="D51" s="11" t="s">
        <v>42</v>
      </c>
      <c r="E51" s="11" t="s">
        <v>563</v>
      </c>
      <c r="F51" s="11" t="s">
        <v>330</v>
      </c>
      <c r="G51" s="12">
        <v>3</v>
      </c>
      <c r="H51" s="12">
        <v>49</v>
      </c>
      <c r="I51" s="11" t="s">
        <v>331</v>
      </c>
      <c r="J51" s="11" t="s">
        <v>332</v>
      </c>
      <c r="K51" s="11" t="s">
        <v>564</v>
      </c>
      <c r="L51" s="11" t="s">
        <v>565</v>
      </c>
      <c r="M51" s="11" t="s">
        <v>365</v>
      </c>
    </row>
    <row r="52" spans="1:13" ht="28.5">
      <c r="A52" t="s">
        <v>566</v>
      </c>
      <c r="B52" s="11" t="s">
        <v>567</v>
      </c>
      <c r="C52" s="11" t="s">
        <v>185</v>
      </c>
      <c r="D52" s="11" t="s">
        <v>42</v>
      </c>
      <c r="E52" s="11" t="s">
        <v>362</v>
      </c>
      <c r="F52" s="11" t="s">
        <v>330</v>
      </c>
      <c r="G52" s="12">
        <v>3</v>
      </c>
      <c r="H52" s="12">
        <v>49</v>
      </c>
      <c r="I52" s="11" t="s">
        <v>331</v>
      </c>
      <c r="J52" s="11" t="s">
        <v>332</v>
      </c>
      <c r="K52" s="11" t="s">
        <v>568</v>
      </c>
      <c r="L52" s="11" t="s">
        <v>569</v>
      </c>
      <c r="M52" s="11" t="s">
        <v>365</v>
      </c>
    </row>
    <row r="53" spans="1:13" ht="28.5">
      <c r="A53" t="s">
        <v>570</v>
      </c>
      <c r="B53" s="11" t="s">
        <v>571</v>
      </c>
      <c r="C53" s="11" t="s">
        <v>185</v>
      </c>
      <c r="D53" s="11" t="s">
        <v>42</v>
      </c>
      <c r="E53" s="11" t="s">
        <v>368</v>
      </c>
      <c r="F53" s="11" t="s">
        <v>330</v>
      </c>
      <c r="G53" s="12">
        <v>3</v>
      </c>
      <c r="H53" s="12">
        <v>49</v>
      </c>
      <c r="I53" s="11" t="s">
        <v>331</v>
      </c>
      <c r="J53" s="11" t="s">
        <v>332</v>
      </c>
      <c r="K53" s="11" t="s">
        <v>572</v>
      </c>
      <c r="L53" s="11" t="s">
        <v>573</v>
      </c>
      <c r="M53" s="11" t="s">
        <v>365</v>
      </c>
    </row>
    <row r="54" spans="1:13" ht="28.5">
      <c r="A54" t="s">
        <v>574</v>
      </c>
      <c r="B54" s="11" t="s">
        <v>575</v>
      </c>
      <c r="C54" s="11" t="s">
        <v>185</v>
      </c>
      <c r="D54" s="11" t="s">
        <v>42</v>
      </c>
      <c r="E54" s="11" t="s">
        <v>576</v>
      </c>
      <c r="F54" s="11" t="s">
        <v>330</v>
      </c>
      <c r="G54" s="12">
        <v>3</v>
      </c>
      <c r="H54" s="12">
        <v>49</v>
      </c>
      <c r="I54" s="11" t="s">
        <v>331</v>
      </c>
      <c r="J54" s="11" t="s">
        <v>332</v>
      </c>
      <c r="K54" s="11" t="s">
        <v>577</v>
      </c>
      <c r="L54" s="11" t="s">
        <v>578</v>
      </c>
      <c r="M54" s="11" t="s">
        <v>365</v>
      </c>
    </row>
    <row r="55" spans="1:13" ht="28.5">
      <c r="A55" t="s">
        <v>579</v>
      </c>
      <c r="B55" s="11" t="s">
        <v>580</v>
      </c>
      <c r="C55" s="11" t="s">
        <v>185</v>
      </c>
      <c r="D55" s="11" t="s">
        <v>42</v>
      </c>
      <c r="E55" s="11" t="s">
        <v>392</v>
      </c>
      <c r="F55" s="11" t="s">
        <v>330</v>
      </c>
      <c r="G55" s="12">
        <v>3</v>
      </c>
      <c r="H55" s="12">
        <v>49</v>
      </c>
      <c r="I55" s="11" t="s">
        <v>331</v>
      </c>
      <c r="J55" s="11" t="s">
        <v>332</v>
      </c>
      <c r="K55" s="11" t="s">
        <v>581</v>
      </c>
      <c r="L55" s="11" t="s">
        <v>582</v>
      </c>
      <c r="M55" s="11" t="s">
        <v>365</v>
      </c>
    </row>
    <row r="56" spans="1:13" ht="28.5">
      <c r="A56" t="s">
        <v>583</v>
      </c>
      <c r="B56" s="11" t="s">
        <v>584</v>
      </c>
      <c r="C56" s="11" t="s">
        <v>268</v>
      </c>
      <c r="D56" s="11" t="s">
        <v>585</v>
      </c>
      <c r="E56" s="11" t="s">
        <v>507</v>
      </c>
      <c r="F56" s="11" t="s">
        <v>403</v>
      </c>
      <c r="G56" s="12">
        <v>28.6</v>
      </c>
      <c r="H56" s="12">
        <v>70</v>
      </c>
      <c r="I56" s="11" t="s">
        <v>331</v>
      </c>
      <c r="J56" s="11" t="s">
        <v>332</v>
      </c>
      <c r="K56" s="11" t="s">
        <v>586</v>
      </c>
      <c r="L56" s="11" t="s">
        <v>587</v>
      </c>
      <c r="M56" s="11" t="s">
        <v>335</v>
      </c>
    </row>
    <row r="57" spans="1:13" ht="28.5">
      <c r="A57" t="s">
        <v>588</v>
      </c>
      <c r="B57" s="11" t="s">
        <v>589</v>
      </c>
      <c r="C57" s="11" t="s">
        <v>185</v>
      </c>
      <c r="D57" s="11" t="s">
        <v>585</v>
      </c>
      <c r="E57" s="11" t="s">
        <v>590</v>
      </c>
      <c r="F57" s="11" t="s">
        <v>330</v>
      </c>
      <c r="G57" s="12">
        <v>5</v>
      </c>
      <c r="H57" s="12">
        <v>59</v>
      </c>
      <c r="I57" s="11" t="s">
        <v>331</v>
      </c>
      <c r="J57" s="11" t="s">
        <v>332</v>
      </c>
      <c r="K57" s="11" t="s">
        <v>591</v>
      </c>
      <c r="L57" s="11" t="s">
        <v>592</v>
      </c>
      <c r="M57" s="11" t="s">
        <v>365</v>
      </c>
    </row>
    <row r="58" spans="1:13" ht="28.5">
      <c r="A58" t="s">
        <v>593</v>
      </c>
      <c r="B58" s="11" t="s">
        <v>594</v>
      </c>
      <c r="C58" s="11" t="s">
        <v>185</v>
      </c>
      <c r="D58" s="11" t="s">
        <v>585</v>
      </c>
      <c r="E58" s="11" t="s">
        <v>387</v>
      </c>
      <c r="F58" s="11" t="s">
        <v>330</v>
      </c>
      <c r="G58" s="12">
        <v>3</v>
      </c>
      <c r="H58" s="12">
        <v>49</v>
      </c>
      <c r="I58" s="11" t="s">
        <v>331</v>
      </c>
      <c r="J58" s="11" t="s">
        <v>332</v>
      </c>
      <c r="K58" s="11" t="s">
        <v>595</v>
      </c>
      <c r="L58" s="11" t="s">
        <v>596</v>
      </c>
      <c r="M58" s="11" t="s">
        <v>365</v>
      </c>
    </row>
    <row r="59" spans="1:13" ht="28.5">
      <c r="A59" t="s">
        <v>597</v>
      </c>
      <c r="B59" s="11" t="s">
        <v>598</v>
      </c>
      <c r="C59" s="11" t="s">
        <v>185</v>
      </c>
      <c r="D59" s="11" t="s">
        <v>585</v>
      </c>
      <c r="E59" s="11" t="s">
        <v>368</v>
      </c>
      <c r="F59" s="11" t="s">
        <v>330</v>
      </c>
      <c r="G59" s="12">
        <v>3</v>
      </c>
      <c r="H59" s="12">
        <v>49</v>
      </c>
      <c r="I59" s="11" t="s">
        <v>331</v>
      </c>
      <c r="J59" s="11" t="s">
        <v>332</v>
      </c>
      <c r="K59" s="11" t="s">
        <v>599</v>
      </c>
      <c r="L59" s="11" t="s">
        <v>600</v>
      </c>
      <c r="M59" s="11" t="s">
        <v>365</v>
      </c>
    </row>
    <row r="60" spans="1:13" ht="28.5">
      <c r="A60" t="s">
        <v>601</v>
      </c>
      <c r="B60" s="11" t="s">
        <v>602</v>
      </c>
      <c r="C60" s="11" t="s">
        <v>185</v>
      </c>
      <c r="D60" s="11" t="s">
        <v>585</v>
      </c>
      <c r="E60" s="11" t="s">
        <v>576</v>
      </c>
      <c r="F60" s="11" t="s">
        <v>330</v>
      </c>
      <c r="G60" s="12">
        <v>3</v>
      </c>
      <c r="H60" s="12">
        <v>49</v>
      </c>
      <c r="I60" s="11" t="s">
        <v>331</v>
      </c>
      <c r="J60" s="11" t="s">
        <v>332</v>
      </c>
      <c r="K60" s="11" t="s">
        <v>603</v>
      </c>
      <c r="L60" s="11" t="s">
        <v>604</v>
      </c>
      <c r="M60" s="11" t="s">
        <v>365</v>
      </c>
    </row>
    <row r="61" spans="1:13" ht="28.5">
      <c r="A61" t="s">
        <v>605</v>
      </c>
      <c r="B61" s="11" t="s">
        <v>606</v>
      </c>
      <c r="C61" s="11" t="s">
        <v>268</v>
      </c>
      <c r="D61" s="11" t="s">
        <v>607</v>
      </c>
      <c r="E61" s="11" t="s">
        <v>507</v>
      </c>
      <c r="F61" s="11" t="s">
        <v>403</v>
      </c>
      <c r="G61" s="12">
        <v>28.6</v>
      </c>
      <c r="H61" s="12">
        <v>70</v>
      </c>
      <c r="I61" s="11" t="s">
        <v>331</v>
      </c>
      <c r="J61" s="11" t="s">
        <v>332</v>
      </c>
      <c r="K61" s="11" t="s">
        <v>608</v>
      </c>
      <c r="L61" s="11" t="s">
        <v>609</v>
      </c>
      <c r="M61" s="11" t="s">
        <v>335</v>
      </c>
    </row>
    <row r="62" spans="1:13" ht="28.5">
      <c r="A62" t="s">
        <v>610</v>
      </c>
      <c r="B62" s="11" t="s">
        <v>611</v>
      </c>
      <c r="C62" s="11" t="s">
        <v>268</v>
      </c>
      <c r="D62" s="11" t="s">
        <v>607</v>
      </c>
      <c r="E62" s="11" t="s">
        <v>507</v>
      </c>
      <c r="F62" s="11" t="s">
        <v>437</v>
      </c>
      <c r="G62" s="12">
        <v>28.6</v>
      </c>
      <c r="H62" s="12">
        <v>70</v>
      </c>
      <c r="I62" s="11" t="s">
        <v>331</v>
      </c>
      <c r="J62" s="11" t="s">
        <v>332</v>
      </c>
      <c r="K62" s="11" t="s">
        <v>612</v>
      </c>
      <c r="L62" s="11" t="s">
        <v>613</v>
      </c>
      <c r="M62" s="11" t="s">
        <v>335</v>
      </c>
    </row>
    <row r="63" spans="1:13" ht="28.5">
      <c r="A63" t="s">
        <v>614</v>
      </c>
      <c r="B63" s="11" t="s">
        <v>615</v>
      </c>
      <c r="C63" s="11" t="s">
        <v>185</v>
      </c>
      <c r="D63" s="11" t="s">
        <v>607</v>
      </c>
      <c r="E63" s="11" t="s">
        <v>387</v>
      </c>
      <c r="F63" s="11" t="s">
        <v>330</v>
      </c>
      <c r="G63" s="12">
        <v>3</v>
      </c>
      <c r="H63" s="12">
        <v>49</v>
      </c>
      <c r="I63" s="11" t="s">
        <v>331</v>
      </c>
      <c r="J63" s="11" t="s">
        <v>332</v>
      </c>
      <c r="K63" s="11" t="s">
        <v>616</v>
      </c>
      <c r="L63" s="11" t="s">
        <v>617</v>
      </c>
      <c r="M63" s="11" t="s">
        <v>365</v>
      </c>
    </row>
    <row r="64" spans="1:13" ht="28.5">
      <c r="A64" t="s">
        <v>618</v>
      </c>
      <c r="B64" s="11" t="s">
        <v>619</v>
      </c>
      <c r="C64" s="11" t="s">
        <v>185</v>
      </c>
      <c r="D64" s="11" t="s">
        <v>607</v>
      </c>
      <c r="E64" s="11" t="s">
        <v>563</v>
      </c>
      <c r="F64" s="11" t="s">
        <v>330</v>
      </c>
      <c r="G64" s="12">
        <v>3</v>
      </c>
      <c r="H64" s="12">
        <v>49</v>
      </c>
      <c r="I64" s="11" t="s">
        <v>331</v>
      </c>
      <c r="J64" s="11" t="s">
        <v>332</v>
      </c>
      <c r="K64" s="11" t="s">
        <v>620</v>
      </c>
      <c r="L64" s="11" t="s">
        <v>621</v>
      </c>
      <c r="M64" s="11" t="s">
        <v>365</v>
      </c>
    </row>
    <row r="65" spans="1:13" ht="28.5">
      <c r="A65" t="s">
        <v>622</v>
      </c>
      <c r="B65" s="11" t="s">
        <v>623</v>
      </c>
      <c r="C65" s="11" t="s">
        <v>185</v>
      </c>
      <c r="D65" s="11" t="s">
        <v>607</v>
      </c>
      <c r="E65" s="11" t="s">
        <v>576</v>
      </c>
      <c r="F65" s="11" t="s">
        <v>330</v>
      </c>
      <c r="G65" s="12">
        <v>3</v>
      </c>
      <c r="H65" s="12">
        <v>49</v>
      </c>
      <c r="I65" s="11" t="s">
        <v>331</v>
      </c>
      <c r="J65" s="11" t="s">
        <v>332</v>
      </c>
      <c r="K65" s="11" t="s">
        <v>624</v>
      </c>
      <c r="L65" s="11" t="s">
        <v>625</v>
      </c>
      <c r="M65" s="11" t="s">
        <v>365</v>
      </c>
    </row>
    <row r="66" spans="1:13" ht="28.5">
      <c r="A66" t="s">
        <v>626</v>
      </c>
      <c r="B66" s="11" t="s">
        <v>627</v>
      </c>
      <c r="C66" s="11" t="s">
        <v>268</v>
      </c>
      <c r="D66" s="11" t="s">
        <v>628</v>
      </c>
      <c r="E66" s="11" t="s">
        <v>507</v>
      </c>
      <c r="F66" s="11" t="s">
        <v>403</v>
      </c>
      <c r="G66" s="12">
        <v>28.6</v>
      </c>
      <c r="H66" s="12">
        <v>70</v>
      </c>
      <c r="I66" s="11" t="s">
        <v>331</v>
      </c>
      <c r="J66" s="11" t="s">
        <v>332</v>
      </c>
      <c r="K66" s="11" t="s">
        <v>629</v>
      </c>
      <c r="L66" s="11" t="s">
        <v>630</v>
      </c>
      <c r="M66" s="11" t="s">
        <v>335</v>
      </c>
    </row>
    <row r="67" spans="1:13" ht="28.5">
      <c r="A67" t="s">
        <v>631</v>
      </c>
      <c r="B67" s="11" t="s">
        <v>632</v>
      </c>
      <c r="C67" s="11" t="s">
        <v>268</v>
      </c>
      <c r="D67" s="11" t="s">
        <v>628</v>
      </c>
      <c r="E67" s="11" t="s">
        <v>507</v>
      </c>
      <c r="F67" s="11" t="s">
        <v>437</v>
      </c>
      <c r="G67" s="12">
        <v>28.6</v>
      </c>
      <c r="H67" s="12">
        <v>70</v>
      </c>
      <c r="I67" s="11" t="s">
        <v>331</v>
      </c>
      <c r="J67" s="11" t="s">
        <v>332</v>
      </c>
      <c r="K67" s="11" t="s">
        <v>633</v>
      </c>
      <c r="L67" s="11" t="s">
        <v>634</v>
      </c>
      <c r="M67" s="11" t="s">
        <v>335</v>
      </c>
    </row>
    <row r="68" spans="1:13" ht="28.5">
      <c r="A68" t="s">
        <v>635</v>
      </c>
      <c r="B68" s="11" t="s">
        <v>636</v>
      </c>
      <c r="C68" s="11" t="s">
        <v>185</v>
      </c>
      <c r="D68" s="11" t="s">
        <v>628</v>
      </c>
      <c r="E68" s="11" t="s">
        <v>408</v>
      </c>
      <c r="F68" s="11" t="s">
        <v>330</v>
      </c>
      <c r="G68" s="12">
        <v>5</v>
      </c>
      <c r="H68" s="12">
        <v>59</v>
      </c>
      <c r="I68" s="11" t="s">
        <v>331</v>
      </c>
      <c r="J68" s="11" t="s">
        <v>332</v>
      </c>
      <c r="K68" s="11" t="s">
        <v>637</v>
      </c>
      <c r="L68" s="11" t="s">
        <v>638</v>
      </c>
      <c r="M68" s="11" t="s">
        <v>365</v>
      </c>
    </row>
    <row r="69" spans="1:13" ht="28.5">
      <c r="A69" t="s">
        <v>639</v>
      </c>
      <c r="B69" s="11" t="s">
        <v>640</v>
      </c>
      <c r="C69" s="11" t="s">
        <v>185</v>
      </c>
      <c r="D69" s="11" t="s">
        <v>628</v>
      </c>
      <c r="E69" s="11" t="s">
        <v>487</v>
      </c>
      <c r="F69" s="11" t="s">
        <v>488</v>
      </c>
      <c r="G69" s="12">
        <v>5</v>
      </c>
      <c r="H69" s="12">
        <v>59</v>
      </c>
      <c r="I69" s="11" t="s">
        <v>331</v>
      </c>
      <c r="J69" s="11" t="s">
        <v>332</v>
      </c>
      <c r="K69" s="11" t="s">
        <v>641</v>
      </c>
      <c r="L69" s="11" t="s">
        <v>642</v>
      </c>
      <c r="M69" s="11" t="s">
        <v>365</v>
      </c>
    </row>
    <row r="70" spans="1:13" ht="28.5">
      <c r="A70" t="s">
        <v>643</v>
      </c>
      <c r="B70" s="11" t="s">
        <v>644</v>
      </c>
      <c r="C70" s="11" t="s">
        <v>185</v>
      </c>
      <c r="D70" s="11" t="s">
        <v>628</v>
      </c>
      <c r="E70" s="11" t="s">
        <v>645</v>
      </c>
      <c r="F70" s="11" t="s">
        <v>646</v>
      </c>
      <c r="G70" s="12">
        <v>4</v>
      </c>
      <c r="H70" s="12">
        <v>49</v>
      </c>
      <c r="I70" s="11" t="s">
        <v>331</v>
      </c>
      <c r="J70" s="11" t="s">
        <v>332</v>
      </c>
      <c r="K70" s="11" t="s">
        <v>647</v>
      </c>
      <c r="L70" s="11" t="s">
        <v>648</v>
      </c>
      <c r="M70" s="11" t="s">
        <v>335</v>
      </c>
    </row>
    <row r="71" spans="1:13" ht="28.5">
      <c r="A71" t="s">
        <v>649</v>
      </c>
      <c r="B71" s="11" t="s">
        <v>650</v>
      </c>
      <c r="C71" s="11" t="s">
        <v>185</v>
      </c>
      <c r="D71" s="11" t="s">
        <v>628</v>
      </c>
      <c r="E71" s="11" t="s">
        <v>387</v>
      </c>
      <c r="F71" s="11" t="s">
        <v>330</v>
      </c>
      <c r="G71" s="12">
        <v>3</v>
      </c>
      <c r="H71" s="12">
        <v>49</v>
      </c>
      <c r="I71" s="11" t="s">
        <v>331</v>
      </c>
      <c r="J71" s="11" t="s">
        <v>332</v>
      </c>
      <c r="K71" s="11" t="s">
        <v>651</v>
      </c>
      <c r="L71" s="11" t="s">
        <v>652</v>
      </c>
      <c r="M71" s="11" t="s">
        <v>365</v>
      </c>
    </row>
    <row r="72" spans="1:13" ht="28.5">
      <c r="A72" t="s">
        <v>653</v>
      </c>
      <c r="B72" s="11" t="s">
        <v>654</v>
      </c>
      <c r="C72" s="11" t="s">
        <v>185</v>
      </c>
      <c r="D72" s="11" t="s">
        <v>628</v>
      </c>
      <c r="E72" s="11" t="s">
        <v>368</v>
      </c>
      <c r="F72" s="11" t="s">
        <v>330</v>
      </c>
      <c r="G72" s="12">
        <v>3</v>
      </c>
      <c r="H72" s="12">
        <v>49</v>
      </c>
      <c r="I72" s="11" t="s">
        <v>331</v>
      </c>
      <c r="J72" s="11" t="s">
        <v>332</v>
      </c>
      <c r="K72" s="11" t="s">
        <v>655</v>
      </c>
      <c r="L72" s="11" t="s">
        <v>656</v>
      </c>
      <c r="M72" s="11" t="s">
        <v>365</v>
      </c>
    </row>
    <row r="73" spans="1:13" ht="28.5">
      <c r="A73" t="s">
        <v>657</v>
      </c>
      <c r="B73" s="11" t="s">
        <v>658</v>
      </c>
      <c r="C73" s="11" t="s">
        <v>225</v>
      </c>
      <c r="D73" s="11" t="s">
        <v>659</v>
      </c>
      <c r="E73" s="11" t="s">
        <v>442</v>
      </c>
      <c r="F73" s="11" t="s">
        <v>330</v>
      </c>
      <c r="G73" s="12">
        <v>59.07</v>
      </c>
      <c r="H73" s="12">
        <v>129.94999999999999</v>
      </c>
      <c r="I73" s="11" t="s">
        <v>331</v>
      </c>
      <c r="J73" s="11" t="s">
        <v>332</v>
      </c>
      <c r="K73" s="11" t="s">
        <v>660</v>
      </c>
      <c r="L73" s="11" t="s">
        <v>661</v>
      </c>
      <c r="M73" s="11" t="s">
        <v>365</v>
      </c>
    </row>
    <row r="74" spans="1:13" ht="28.5">
      <c r="A74" t="s">
        <v>662</v>
      </c>
      <c r="B74" s="11" t="s">
        <v>663</v>
      </c>
      <c r="C74" s="11" t="s">
        <v>185</v>
      </c>
      <c r="D74" s="11" t="s">
        <v>659</v>
      </c>
      <c r="E74" s="11" t="s">
        <v>664</v>
      </c>
      <c r="F74" s="11" t="s">
        <v>665</v>
      </c>
      <c r="G74" s="12">
        <v>5</v>
      </c>
      <c r="H74" s="12">
        <v>59</v>
      </c>
      <c r="I74" s="11" t="s">
        <v>331</v>
      </c>
      <c r="J74" s="11" t="s">
        <v>332</v>
      </c>
      <c r="K74" s="11" t="s">
        <v>666</v>
      </c>
      <c r="L74" s="11" t="s">
        <v>667</v>
      </c>
      <c r="M74" s="11" t="s">
        <v>365</v>
      </c>
    </row>
    <row r="75" spans="1:13" ht="28.5">
      <c r="A75" t="s">
        <v>668</v>
      </c>
      <c r="B75" s="11" t="s">
        <v>669</v>
      </c>
      <c r="C75" s="11" t="s">
        <v>185</v>
      </c>
      <c r="D75" s="11" t="s">
        <v>659</v>
      </c>
      <c r="E75" s="11" t="s">
        <v>670</v>
      </c>
      <c r="F75" s="11" t="s">
        <v>403</v>
      </c>
      <c r="G75" s="12">
        <v>5</v>
      </c>
      <c r="H75" s="12">
        <v>59</v>
      </c>
      <c r="I75" s="11" t="s">
        <v>331</v>
      </c>
      <c r="J75" s="11" t="s">
        <v>332</v>
      </c>
      <c r="K75" s="11" t="s">
        <v>671</v>
      </c>
      <c r="L75" s="11" t="s">
        <v>672</v>
      </c>
      <c r="M75" s="11" t="s">
        <v>365</v>
      </c>
    </row>
    <row r="76" spans="1:13" ht="28.5">
      <c r="A76" t="s">
        <v>673</v>
      </c>
      <c r="B76" s="11" t="s">
        <v>674</v>
      </c>
      <c r="C76" s="11" t="s">
        <v>185</v>
      </c>
      <c r="D76" s="11" t="s">
        <v>659</v>
      </c>
      <c r="E76" s="11" t="s">
        <v>645</v>
      </c>
      <c r="F76" s="11" t="s">
        <v>403</v>
      </c>
      <c r="G76" s="12">
        <v>4</v>
      </c>
      <c r="H76" s="12">
        <v>49</v>
      </c>
      <c r="I76" s="11" t="s">
        <v>331</v>
      </c>
      <c r="J76" s="11" t="s">
        <v>332</v>
      </c>
      <c r="K76" s="11" t="s">
        <v>675</v>
      </c>
      <c r="L76" s="11" t="s">
        <v>676</v>
      </c>
      <c r="M76" s="11" t="s">
        <v>335</v>
      </c>
    </row>
    <row r="77" spans="1:13" ht="28.5">
      <c r="A77" t="s">
        <v>677</v>
      </c>
      <c r="B77" s="11" t="s">
        <v>678</v>
      </c>
      <c r="C77" s="11" t="s">
        <v>185</v>
      </c>
      <c r="D77" s="11" t="s">
        <v>659</v>
      </c>
      <c r="E77" s="11" t="s">
        <v>679</v>
      </c>
      <c r="F77" s="11" t="s">
        <v>330</v>
      </c>
      <c r="G77" s="12">
        <v>5</v>
      </c>
      <c r="H77" s="12">
        <v>59</v>
      </c>
      <c r="I77" s="11" t="s">
        <v>331</v>
      </c>
      <c r="J77" s="11" t="s">
        <v>332</v>
      </c>
      <c r="K77" s="11" t="s">
        <v>680</v>
      </c>
      <c r="L77" s="11" t="s">
        <v>681</v>
      </c>
      <c r="M77" s="11" t="s">
        <v>365</v>
      </c>
    </row>
    <row r="78" spans="1:13" ht="28.5">
      <c r="A78" t="s">
        <v>682</v>
      </c>
      <c r="B78" s="11" t="s">
        <v>683</v>
      </c>
      <c r="C78" s="11" t="s">
        <v>185</v>
      </c>
      <c r="D78" s="11" t="s">
        <v>684</v>
      </c>
      <c r="E78" s="11" t="s">
        <v>664</v>
      </c>
      <c r="F78" s="11" t="s">
        <v>685</v>
      </c>
      <c r="G78" s="12">
        <v>5</v>
      </c>
      <c r="H78" s="12">
        <v>59</v>
      </c>
      <c r="I78" s="11" t="s">
        <v>331</v>
      </c>
      <c r="J78" s="11" t="s">
        <v>332</v>
      </c>
      <c r="K78" s="11" t="s">
        <v>686</v>
      </c>
      <c r="L78" s="11" t="s">
        <v>687</v>
      </c>
      <c r="M78" s="11" t="s">
        <v>365</v>
      </c>
    </row>
    <row r="79" spans="1:13" ht="28.5">
      <c r="A79" t="s">
        <v>688</v>
      </c>
      <c r="B79" s="11" t="s">
        <v>689</v>
      </c>
      <c r="C79" s="11" t="s">
        <v>185</v>
      </c>
      <c r="D79" s="11" t="s">
        <v>684</v>
      </c>
      <c r="E79" s="11" t="s">
        <v>690</v>
      </c>
      <c r="F79" s="11" t="s">
        <v>330</v>
      </c>
      <c r="G79" s="12">
        <v>5</v>
      </c>
      <c r="H79" s="12">
        <v>59</v>
      </c>
      <c r="I79" s="11" t="s">
        <v>331</v>
      </c>
      <c r="J79" s="11" t="s">
        <v>332</v>
      </c>
      <c r="K79" s="11" t="s">
        <v>691</v>
      </c>
      <c r="L79" s="11" t="s">
        <v>692</v>
      </c>
      <c r="M79" s="11" t="s">
        <v>365</v>
      </c>
    </row>
    <row r="80" spans="1:13" ht="28.5">
      <c r="A80" t="s">
        <v>693</v>
      </c>
      <c r="B80" s="11" t="s">
        <v>694</v>
      </c>
      <c r="C80" s="11" t="s">
        <v>185</v>
      </c>
      <c r="D80" s="11" t="s">
        <v>684</v>
      </c>
      <c r="E80" s="11" t="s">
        <v>645</v>
      </c>
      <c r="F80" s="11" t="s">
        <v>403</v>
      </c>
      <c r="G80" s="12">
        <v>4</v>
      </c>
      <c r="H80" s="12">
        <v>49</v>
      </c>
      <c r="I80" s="11" t="s">
        <v>331</v>
      </c>
      <c r="J80" s="11" t="s">
        <v>332</v>
      </c>
      <c r="K80" s="11" t="s">
        <v>695</v>
      </c>
      <c r="L80" s="11" t="s">
        <v>696</v>
      </c>
      <c r="M80" s="11" t="s">
        <v>335</v>
      </c>
    </row>
    <row r="81" spans="1:13" ht="28.5">
      <c r="A81" t="s">
        <v>697</v>
      </c>
      <c r="B81" s="11" t="s">
        <v>698</v>
      </c>
      <c r="C81" s="11" t="s">
        <v>185</v>
      </c>
      <c r="D81" s="11" t="s">
        <v>684</v>
      </c>
      <c r="E81" s="11" t="s">
        <v>699</v>
      </c>
      <c r="F81" s="11" t="s">
        <v>330</v>
      </c>
      <c r="G81" s="12">
        <v>5</v>
      </c>
      <c r="H81" s="12">
        <v>59</v>
      </c>
      <c r="I81" s="11" t="s">
        <v>331</v>
      </c>
      <c r="J81" s="11" t="s">
        <v>332</v>
      </c>
      <c r="K81" s="11" t="s">
        <v>700</v>
      </c>
      <c r="L81" s="11" t="s">
        <v>701</v>
      </c>
      <c r="M81" s="11" t="s">
        <v>365</v>
      </c>
    </row>
    <row r="82" spans="1:13" ht="28.5">
      <c r="A82" t="s">
        <v>702</v>
      </c>
      <c r="B82" s="11" t="s">
        <v>703</v>
      </c>
      <c r="C82" s="11" t="s">
        <v>185</v>
      </c>
      <c r="D82" s="11" t="s">
        <v>684</v>
      </c>
      <c r="E82" s="11" t="s">
        <v>704</v>
      </c>
      <c r="F82" s="11" t="s">
        <v>403</v>
      </c>
      <c r="G82" s="12">
        <v>5</v>
      </c>
      <c r="H82" s="12">
        <v>59</v>
      </c>
      <c r="I82" s="11" t="s">
        <v>331</v>
      </c>
      <c r="J82" s="11" t="s">
        <v>332</v>
      </c>
      <c r="K82" s="11" t="s">
        <v>705</v>
      </c>
      <c r="L82" s="11" t="s">
        <v>706</v>
      </c>
      <c r="M82" s="11" t="s">
        <v>365</v>
      </c>
    </row>
    <row r="83" spans="1:13" ht="28.5">
      <c r="A83" t="s">
        <v>707</v>
      </c>
      <c r="B83" s="11" t="s">
        <v>708</v>
      </c>
      <c r="C83" s="11" t="s">
        <v>225</v>
      </c>
      <c r="D83" s="11" t="s">
        <v>709</v>
      </c>
      <c r="E83" s="11" t="s">
        <v>442</v>
      </c>
      <c r="F83" s="11" t="s">
        <v>330</v>
      </c>
      <c r="G83" s="12">
        <v>59.07</v>
      </c>
      <c r="H83" s="12">
        <v>129.94999999999999</v>
      </c>
      <c r="I83" s="11" t="s">
        <v>331</v>
      </c>
      <c r="J83" s="11" t="s">
        <v>332</v>
      </c>
      <c r="K83" s="11" t="s">
        <v>710</v>
      </c>
      <c r="L83" s="11" t="s">
        <v>711</v>
      </c>
      <c r="M83" s="11" t="s">
        <v>365</v>
      </c>
    </row>
    <row r="84" spans="1:13" ht="28.5">
      <c r="A84" t="s">
        <v>712</v>
      </c>
      <c r="B84" s="11" t="s">
        <v>713</v>
      </c>
      <c r="C84" s="11" t="s">
        <v>185</v>
      </c>
      <c r="D84" s="11" t="s">
        <v>709</v>
      </c>
      <c r="E84" s="11" t="s">
        <v>664</v>
      </c>
      <c r="F84" s="11" t="s">
        <v>685</v>
      </c>
      <c r="G84" s="12">
        <v>5</v>
      </c>
      <c r="H84" s="12">
        <v>59</v>
      </c>
      <c r="I84" s="11" t="s">
        <v>331</v>
      </c>
      <c r="J84" s="11" t="s">
        <v>332</v>
      </c>
      <c r="K84" s="11" t="s">
        <v>714</v>
      </c>
      <c r="L84" s="11" t="s">
        <v>715</v>
      </c>
      <c r="M84" s="11" t="s">
        <v>365</v>
      </c>
    </row>
    <row r="85" spans="1:13" ht="28.5">
      <c r="A85" t="s">
        <v>716</v>
      </c>
      <c r="B85" s="11" t="s">
        <v>717</v>
      </c>
      <c r="C85" s="11" t="s">
        <v>185</v>
      </c>
      <c r="D85" s="11" t="s">
        <v>709</v>
      </c>
      <c r="E85" s="11" t="s">
        <v>664</v>
      </c>
      <c r="F85" s="11" t="s">
        <v>665</v>
      </c>
      <c r="G85" s="12">
        <v>5</v>
      </c>
      <c r="H85" s="12">
        <v>59</v>
      </c>
      <c r="I85" s="11" t="s">
        <v>331</v>
      </c>
      <c r="J85" s="11" t="s">
        <v>332</v>
      </c>
      <c r="K85" s="11" t="s">
        <v>718</v>
      </c>
      <c r="L85" s="11" t="s">
        <v>719</v>
      </c>
      <c r="M85" s="11" t="s">
        <v>365</v>
      </c>
    </row>
    <row r="86" spans="1:13" ht="28.5">
      <c r="A86" t="s">
        <v>720</v>
      </c>
      <c r="B86" s="11" t="s">
        <v>721</v>
      </c>
      <c r="C86" s="11" t="s">
        <v>185</v>
      </c>
      <c r="D86" s="11" t="s">
        <v>709</v>
      </c>
      <c r="E86" s="11" t="s">
        <v>670</v>
      </c>
      <c r="F86" s="11" t="s">
        <v>403</v>
      </c>
      <c r="G86" s="12">
        <v>5</v>
      </c>
      <c r="H86" s="12">
        <v>59</v>
      </c>
      <c r="I86" s="11" t="s">
        <v>331</v>
      </c>
      <c r="J86" s="11" t="s">
        <v>332</v>
      </c>
      <c r="K86" s="11" t="s">
        <v>722</v>
      </c>
      <c r="L86" s="11" t="s">
        <v>723</v>
      </c>
      <c r="M86" s="11" t="s">
        <v>365</v>
      </c>
    </row>
    <row r="87" spans="1:13" ht="28.5">
      <c r="A87" t="s">
        <v>724</v>
      </c>
      <c r="B87" s="11" t="s">
        <v>725</v>
      </c>
      <c r="C87" s="11" t="s">
        <v>185</v>
      </c>
      <c r="D87" s="11" t="s">
        <v>709</v>
      </c>
      <c r="E87" s="11" t="s">
        <v>726</v>
      </c>
      <c r="F87" s="11" t="s">
        <v>330</v>
      </c>
      <c r="G87" s="12">
        <v>8.5</v>
      </c>
      <c r="H87" s="12">
        <v>59</v>
      </c>
      <c r="I87" s="11" t="s">
        <v>331</v>
      </c>
      <c r="J87" s="11" t="s">
        <v>332</v>
      </c>
      <c r="K87" s="11" t="s">
        <v>727</v>
      </c>
      <c r="L87" s="11" t="s">
        <v>728</v>
      </c>
      <c r="M87" s="11" t="s">
        <v>365</v>
      </c>
    </row>
    <row r="88" spans="1:13" ht="28.5">
      <c r="A88" t="s">
        <v>729</v>
      </c>
      <c r="B88" s="11" t="s">
        <v>730</v>
      </c>
      <c r="C88" s="11" t="s">
        <v>185</v>
      </c>
      <c r="D88" s="11" t="s">
        <v>709</v>
      </c>
      <c r="E88" s="11" t="s">
        <v>645</v>
      </c>
      <c r="F88" s="11" t="s">
        <v>403</v>
      </c>
      <c r="G88" s="12">
        <v>4</v>
      </c>
      <c r="H88" s="12">
        <v>49</v>
      </c>
      <c r="I88" s="11" t="s">
        <v>331</v>
      </c>
      <c r="J88" s="11" t="s">
        <v>332</v>
      </c>
      <c r="K88" s="11" t="s">
        <v>731</v>
      </c>
      <c r="L88" s="11" t="s">
        <v>732</v>
      </c>
      <c r="M88" s="11" t="s">
        <v>335</v>
      </c>
    </row>
    <row r="89" spans="1:13" ht="28.5">
      <c r="A89" t="s">
        <v>733</v>
      </c>
      <c r="B89" s="11" t="s">
        <v>734</v>
      </c>
      <c r="C89" s="11" t="s">
        <v>185</v>
      </c>
      <c r="D89" s="11" t="s">
        <v>709</v>
      </c>
      <c r="E89" s="11" t="s">
        <v>645</v>
      </c>
      <c r="F89" s="11" t="s">
        <v>646</v>
      </c>
      <c r="G89" s="12">
        <v>4</v>
      </c>
      <c r="H89" s="12">
        <v>49</v>
      </c>
      <c r="I89" s="11" t="s">
        <v>331</v>
      </c>
      <c r="J89" s="11" t="s">
        <v>332</v>
      </c>
      <c r="K89" s="11" t="s">
        <v>735</v>
      </c>
      <c r="L89" s="11" t="s">
        <v>736</v>
      </c>
      <c r="M89" s="11" t="s">
        <v>335</v>
      </c>
    </row>
    <row r="90" spans="1:13" ht="28.5">
      <c r="A90" t="s">
        <v>737</v>
      </c>
      <c r="B90" s="11" t="s">
        <v>738</v>
      </c>
      <c r="C90" s="11" t="s">
        <v>185</v>
      </c>
      <c r="D90" s="11" t="s">
        <v>709</v>
      </c>
      <c r="E90" s="11" t="s">
        <v>739</v>
      </c>
      <c r="F90" s="11" t="s">
        <v>330</v>
      </c>
      <c r="G90" s="12">
        <v>5</v>
      </c>
      <c r="H90" s="12">
        <v>59</v>
      </c>
      <c r="I90" s="11" t="s">
        <v>331</v>
      </c>
      <c r="J90" s="11" t="s">
        <v>332</v>
      </c>
      <c r="K90" s="11" t="s">
        <v>740</v>
      </c>
      <c r="L90" s="11" t="s">
        <v>741</v>
      </c>
      <c r="M90" s="11" t="s">
        <v>365</v>
      </c>
    </row>
    <row r="91" spans="1:13" ht="28.5">
      <c r="A91" t="s">
        <v>742</v>
      </c>
      <c r="B91" s="11" t="s">
        <v>743</v>
      </c>
      <c r="C91" s="11" t="s">
        <v>185</v>
      </c>
      <c r="D91" s="11" t="s">
        <v>709</v>
      </c>
      <c r="E91" s="11" t="s">
        <v>699</v>
      </c>
      <c r="F91" s="11" t="s">
        <v>330</v>
      </c>
      <c r="G91" s="12">
        <v>5</v>
      </c>
      <c r="H91" s="12">
        <v>59</v>
      </c>
      <c r="I91" s="11" t="s">
        <v>331</v>
      </c>
      <c r="J91" s="11" t="s">
        <v>332</v>
      </c>
      <c r="K91" s="11" t="s">
        <v>744</v>
      </c>
      <c r="L91" s="11" t="s">
        <v>745</v>
      </c>
      <c r="M91" s="11" t="s">
        <v>365</v>
      </c>
    </row>
    <row r="92" spans="1:13" ht="28.5">
      <c r="A92" t="s">
        <v>746</v>
      </c>
      <c r="B92" s="11" t="s">
        <v>747</v>
      </c>
      <c r="C92" s="11" t="s">
        <v>185</v>
      </c>
      <c r="D92" s="11" t="s">
        <v>709</v>
      </c>
      <c r="E92" s="11" t="s">
        <v>679</v>
      </c>
      <c r="F92" s="11" t="s">
        <v>330</v>
      </c>
      <c r="G92" s="12">
        <v>5</v>
      </c>
      <c r="H92" s="12">
        <v>59</v>
      </c>
      <c r="I92" s="11" t="s">
        <v>331</v>
      </c>
      <c r="J92" s="11" t="s">
        <v>332</v>
      </c>
      <c r="K92" s="11" t="s">
        <v>748</v>
      </c>
      <c r="L92" s="11" t="s">
        <v>749</v>
      </c>
      <c r="M92" s="11" t="s">
        <v>365</v>
      </c>
    </row>
    <row r="93" spans="1:13" ht="28.5">
      <c r="A93" t="s">
        <v>750</v>
      </c>
      <c r="B93" s="11" t="s">
        <v>751</v>
      </c>
      <c r="C93" s="11" t="s">
        <v>185</v>
      </c>
      <c r="D93" s="11" t="s">
        <v>709</v>
      </c>
      <c r="E93" s="11" t="s">
        <v>752</v>
      </c>
      <c r="F93" s="11" t="s">
        <v>753</v>
      </c>
      <c r="G93" s="12">
        <v>2</v>
      </c>
      <c r="H93" s="12">
        <v>45</v>
      </c>
      <c r="I93" s="11" t="s">
        <v>331</v>
      </c>
      <c r="J93" s="11" t="s">
        <v>332</v>
      </c>
      <c r="K93" s="11" t="s">
        <v>754</v>
      </c>
      <c r="L93" s="11" t="s">
        <v>755</v>
      </c>
      <c r="M93" s="11" t="s">
        <v>365</v>
      </c>
    </row>
    <row r="94" spans="1:13" ht="28.5">
      <c r="A94" t="s">
        <v>756</v>
      </c>
      <c r="B94" s="11" t="s">
        <v>757</v>
      </c>
      <c r="C94" s="11" t="s">
        <v>185</v>
      </c>
      <c r="D94" s="11" t="s">
        <v>709</v>
      </c>
      <c r="E94" s="11" t="s">
        <v>758</v>
      </c>
      <c r="F94" s="11" t="s">
        <v>759</v>
      </c>
      <c r="G94" s="12">
        <v>8.5</v>
      </c>
      <c r="H94" s="12">
        <v>59</v>
      </c>
      <c r="I94" s="11" t="s">
        <v>331</v>
      </c>
      <c r="J94" s="11" t="s">
        <v>332</v>
      </c>
      <c r="K94" s="11" t="s">
        <v>760</v>
      </c>
      <c r="L94" s="11" t="s">
        <v>761</v>
      </c>
      <c r="M94" s="11" t="s">
        <v>365</v>
      </c>
    </row>
    <row r="95" spans="1:13" ht="28.5">
      <c r="A95" t="s">
        <v>762</v>
      </c>
      <c r="B95" s="11" t="s">
        <v>763</v>
      </c>
      <c r="C95" s="11" t="s">
        <v>185</v>
      </c>
      <c r="D95" s="11" t="s">
        <v>764</v>
      </c>
      <c r="E95" s="11" t="s">
        <v>664</v>
      </c>
      <c r="F95" s="11" t="s">
        <v>665</v>
      </c>
      <c r="G95" s="12">
        <v>5</v>
      </c>
      <c r="H95" s="12">
        <v>59</v>
      </c>
      <c r="I95" s="11" t="s">
        <v>331</v>
      </c>
      <c r="J95" s="11" t="s">
        <v>332</v>
      </c>
      <c r="K95" s="11" t="s">
        <v>765</v>
      </c>
      <c r="L95" s="11" t="s">
        <v>766</v>
      </c>
      <c r="M95" s="11" t="s">
        <v>365</v>
      </c>
    </row>
    <row r="96" spans="1:13" ht="28.5">
      <c r="A96" t="s">
        <v>767</v>
      </c>
      <c r="B96" s="11" t="s">
        <v>768</v>
      </c>
      <c r="C96" s="11" t="s">
        <v>185</v>
      </c>
      <c r="D96" s="11" t="s">
        <v>764</v>
      </c>
      <c r="E96" s="11" t="s">
        <v>769</v>
      </c>
      <c r="F96" s="11" t="s">
        <v>330</v>
      </c>
      <c r="G96" s="12">
        <v>8.5</v>
      </c>
      <c r="H96" s="12">
        <v>59</v>
      </c>
      <c r="I96" s="11" t="s">
        <v>331</v>
      </c>
      <c r="J96" s="11" t="s">
        <v>332</v>
      </c>
      <c r="K96" s="11" t="s">
        <v>770</v>
      </c>
      <c r="L96" s="11" t="s">
        <v>771</v>
      </c>
      <c r="M96" s="11" t="s">
        <v>365</v>
      </c>
    </row>
    <row r="97" spans="1:13" ht="28.5">
      <c r="A97" t="s">
        <v>772</v>
      </c>
      <c r="B97" s="11" t="s">
        <v>773</v>
      </c>
      <c r="C97" s="11" t="s">
        <v>185</v>
      </c>
      <c r="D97" s="11" t="s">
        <v>764</v>
      </c>
      <c r="E97" s="11" t="s">
        <v>739</v>
      </c>
      <c r="F97" s="11" t="s">
        <v>330</v>
      </c>
      <c r="G97" s="12">
        <v>5</v>
      </c>
      <c r="H97" s="12">
        <v>59</v>
      </c>
      <c r="I97" s="11" t="s">
        <v>331</v>
      </c>
      <c r="J97" s="11" t="s">
        <v>332</v>
      </c>
      <c r="K97" s="11" t="s">
        <v>774</v>
      </c>
      <c r="L97" s="11" t="s">
        <v>775</v>
      </c>
      <c r="M97" s="11" t="s">
        <v>365</v>
      </c>
    </row>
    <row r="98" spans="1:13" ht="28.5">
      <c r="A98" t="s">
        <v>776</v>
      </c>
      <c r="B98" s="11" t="s">
        <v>777</v>
      </c>
      <c r="C98" s="11" t="s">
        <v>185</v>
      </c>
      <c r="D98" s="11" t="s">
        <v>764</v>
      </c>
      <c r="E98" s="11" t="s">
        <v>778</v>
      </c>
      <c r="F98" s="11" t="s">
        <v>403</v>
      </c>
      <c r="G98" s="12">
        <v>5</v>
      </c>
      <c r="H98" s="12">
        <v>59</v>
      </c>
      <c r="I98" s="11" t="s">
        <v>331</v>
      </c>
      <c r="J98" s="11" t="s">
        <v>332</v>
      </c>
      <c r="K98" s="11" t="s">
        <v>779</v>
      </c>
      <c r="L98" s="11" t="s">
        <v>780</v>
      </c>
      <c r="M98" s="11" t="s">
        <v>365</v>
      </c>
    </row>
    <row r="99" spans="1:13" ht="28.5">
      <c r="A99" t="s">
        <v>781</v>
      </c>
      <c r="B99" s="11" t="s">
        <v>782</v>
      </c>
      <c r="C99" s="11" t="s">
        <v>185</v>
      </c>
      <c r="D99" s="11" t="s">
        <v>764</v>
      </c>
      <c r="E99" s="11" t="s">
        <v>783</v>
      </c>
      <c r="F99" s="11" t="s">
        <v>330</v>
      </c>
      <c r="G99" s="12">
        <v>8.5</v>
      </c>
      <c r="H99" s="12">
        <v>59</v>
      </c>
      <c r="I99" s="11" t="s">
        <v>331</v>
      </c>
      <c r="J99" s="11" t="s">
        <v>332</v>
      </c>
      <c r="K99" s="11" t="s">
        <v>784</v>
      </c>
      <c r="L99" s="11" t="s">
        <v>785</v>
      </c>
      <c r="M99" s="11" t="s">
        <v>365</v>
      </c>
    </row>
    <row r="100" spans="1:13" ht="28.5">
      <c r="A100" t="s">
        <v>786</v>
      </c>
      <c r="B100" s="11" t="s">
        <v>787</v>
      </c>
      <c r="C100" s="11" t="s">
        <v>185</v>
      </c>
      <c r="D100" s="11" t="s">
        <v>764</v>
      </c>
      <c r="E100" s="11" t="s">
        <v>704</v>
      </c>
      <c r="F100" s="11" t="s">
        <v>403</v>
      </c>
      <c r="G100" s="12">
        <v>5</v>
      </c>
      <c r="H100" s="12">
        <v>59</v>
      </c>
      <c r="I100" s="11" t="s">
        <v>331</v>
      </c>
      <c r="J100" s="11" t="s">
        <v>332</v>
      </c>
      <c r="K100" s="11" t="s">
        <v>788</v>
      </c>
      <c r="L100" s="11" t="s">
        <v>789</v>
      </c>
      <c r="M100" s="11" t="s">
        <v>365</v>
      </c>
    </row>
    <row r="101" spans="1:13" ht="28.5">
      <c r="A101" t="s">
        <v>790</v>
      </c>
      <c r="B101" s="11" t="s">
        <v>791</v>
      </c>
      <c r="C101" s="11" t="s">
        <v>185</v>
      </c>
      <c r="D101" s="11" t="s">
        <v>764</v>
      </c>
      <c r="E101" s="11" t="s">
        <v>792</v>
      </c>
      <c r="F101" s="11" t="s">
        <v>330</v>
      </c>
      <c r="G101" s="12">
        <v>5</v>
      </c>
      <c r="H101" s="12">
        <v>59</v>
      </c>
      <c r="I101" s="11" t="s">
        <v>331</v>
      </c>
      <c r="J101" s="11" t="s">
        <v>332</v>
      </c>
      <c r="K101" s="11" t="s">
        <v>793</v>
      </c>
      <c r="L101" s="11" t="s">
        <v>794</v>
      </c>
      <c r="M101" s="11" t="s">
        <v>365</v>
      </c>
    </row>
    <row r="102" spans="1:13" ht="28.5">
      <c r="A102" t="s">
        <v>795</v>
      </c>
      <c r="B102" s="11" t="s">
        <v>796</v>
      </c>
      <c r="C102" s="11" t="s">
        <v>185</v>
      </c>
      <c r="D102" s="11" t="s">
        <v>764</v>
      </c>
      <c r="E102" s="11" t="s">
        <v>752</v>
      </c>
      <c r="F102" s="11" t="s">
        <v>753</v>
      </c>
      <c r="G102" s="12">
        <v>2</v>
      </c>
      <c r="H102" s="12">
        <v>45</v>
      </c>
      <c r="I102" s="11" t="s">
        <v>331</v>
      </c>
      <c r="J102" s="11" t="s">
        <v>332</v>
      </c>
      <c r="K102" s="11" t="s">
        <v>797</v>
      </c>
      <c r="L102" s="11" t="s">
        <v>798</v>
      </c>
      <c r="M102" s="11" t="s">
        <v>365</v>
      </c>
    </row>
    <row r="103" spans="1:13" ht="28.5">
      <c r="A103" t="s">
        <v>799</v>
      </c>
      <c r="B103" s="11" t="s">
        <v>800</v>
      </c>
      <c r="C103" s="11" t="s">
        <v>185</v>
      </c>
      <c r="D103" s="11" t="s">
        <v>801</v>
      </c>
      <c r="E103" s="11" t="s">
        <v>802</v>
      </c>
      <c r="F103" s="11" t="s">
        <v>330</v>
      </c>
      <c r="G103" s="12">
        <v>5</v>
      </c>
      <c r="H103" s="12">
        <v>59</v>
      </c>
      <c r="I103" s="11" t="s">
        <v>331</v>
      </c>
      <c r="J103" s="11" t="s">
        <v>332</v>
      </c>
      <c r="K103" s="11" t="s">
        <v>803</v>
      </c>
      <c r="L103" s="11" t="s">
        <v>804</v>
      </c>
      <c r="M103" s="11" t="s">
        <v>365</v>
      </c>
    </row>
    <row r="104" spans="1:13" ht="28.5">
      <c r="A104" t="s">
        <v>805</v>
      </c>
      <c r="B104" s="11" t="s">
        <v>806</v>
      </c>
      <c r="C104" s="11" t="s">
        <v>185</v>
      </c>
      <c r="D104" s="11" t="s">
        <v>801</v>
      </c>
      <c r="E104" s="11" t="s">
        <v>670</v>
      </c>
      <c r="F104" s="11" t="s">
        <v>330</v>
      </c>
      <c r="G104" s="12">
        <v>5</v>
      </c>
      <c r="H104" s="12">
        <v>59</v>
      </c>
      <c r="I104" s="11" t="s">
        <v>331</v>
      </c>
      <c r="J104" s="11" t="s">
        <v>332</v>
      </c>
      <c r="K104" s="11" t="s">
        <v>807</v>
      </c>
      <c r="L104" s="11" t="s">
        <v>808</v>
      </c>
      <c r="M104" s="11" t="s">
        <v>365</v>
      </c>
    </row>
    <row r="105" spans="1:13" ht="28.5">
      <c r="A105" t="s">
        <v>809</v>
      </c>
      <c r="B105" s="11" t="s">
        <v>810</v>
      </c>
      <c r="C105" s="11" t="s">
        <v>185</v>
      </c>
      <c r="D105" s="11" t="s">
        <v>801</v>
      </c>
      <c r="E105" s="11" t="s">
        <v>811</v>
      </c>
      <c r="F105" s="11" t="s">
        <v>330</v>
      </c>
      <c r="G105" s="12">
        <v>5</v>
      </c>
      <c r="H105" s="12">
        <v>59</v>
      </c>
      <c r="I105" s="11" t="s">
        <v>331</v>
      </c>
      <c r="J105" s="11" t="s">
        <v>332</v>
      </c>
      <c r="K105" s="11" t="s">
        <v>812</v>
      </c>
      <c r="L105" s="11" t="s">
        <v>813</v>
      </c>
      <c r="M105" s="11" t="s">
        <v>365</v>
      </c>
    </row>
    <row r="106" spans="1:13" ht="28.5">
      <c r="A106" t="s">
        <v>814</v>
      </c>
      <c r="B106" s="11" t="s">
        <v>815</v>
      </c>
      <c r="C106" s="11" t="s">
        <v>185</v>
      </c>
      <c r="D106" s="11" t="s">
        <v>801</v>
      </c>
      <c r="E106" s="11" t="s">
        <v>645</v>
      </c>
      <c r="F106" s="11" t="s">
        <v>403</v>
      </c>
      <c r="G106" s="12">
        <v>4</v>
      </c>
      <c r="H106" s="12">
        <v>49</v>
      </c>
      <c r="I106" s="11" t="s">
        <v>331</v>
      </c>
      <c r="J106" s="11" t="s">
        <v>332</v>
      </c>
      <c r="K106" s="11" t="s">
        <v>816</v>
      </c>
      <c r="L106" s="11" t="s">
        <v>817</v>
      </c>
      <c r="M106" s="11" t="s">
        <v>365</v>
      </c>
    </row>
    <row r="107" spans="1:13" ht="28.5">
      <c r="A107" t="s">
        <v>818</v>
      </c>
      <c r="B107" s="11" t="s">
        <v>819</v>
      </c>
      <c r="C107" s="11" t="s">
        <v>185</v>
      </c>
      <c r="D107" s="11" t="s">
        <v>801</v>
      </c>
      <c r="E107" s="11" t="s">
        <v>820</v>
      </c>
      <c r="F107" s="11" t="s">
        <v>330</v>
      </c>
      <c r="G107" s="12">
        <v>5</v>
      </c>
      <c r="H107" s="12">
        <v>59</v>
      </c>
      <c r="I107" s="11" t="s">
        <v>331</v>
      </c>
      <c r="J107" s="11" t="s">
        <v>332</v>
      </c>
      <c r="K107" s="11" t="s">
        <v>821</v>
      </c>
      <c r="L107" s="11" t="s">
        <v>822</v>
      </c>
      <c r="M107" s="11" t="s">
        <v>365</v>
      </c>
    </row>
    <row r="108" spans="1:13" ht="28.5">
      <c r="A108" t="s">
        <v>823</v>
      </c>
      <c r="B108" s="11" t="s">
        <v>824</v>
      </c>
      <c r="C108" s="11" t="s">
        <v>185</v>
      </c>
      <c r="D108" s="11" t="s">
        <v>801</v>
      </c>
      <c r="E108" s="11" t="s">
        <v>825</v>
      </c>
      <c r="F108" s="11" t="s">
        <v>330</v>
      </c>
      <c r="G108" s="12">
        <v>5</v>
      </c>
      <c r="H108" s="12">
        <v>59</v>
      </c>
      <c r="I108" s="11" t="s">
        <v>331</v>
      </c>
      <c r="J108" s="11" t="s">
        <v>332</v>
      </c>
      <c r="K108" s="11" t="s">
        <v>826</v>
      </c>
      <c r="L108" s="11" t="s">
        <v>827</v>
      </c>
      <c r="M108" s="11" t="s">
        <v>365</v>
      </c>
    </row>
    <row r="109" spans="1:13" ht="28.5">
      <c r="A109" t="s">
        <v>828</v>
      </c>
      <c r="B109" s="11" t="s">
        <v>829</v>
      </c>
      <c r="C109" s="11" t="s">
        <v>185</v>
      </c>
      <c r="D109" s="11" t="s">
        <v>801</v>
      </c>
      <c r="E109" s="11" t="s">
        <v>493</v>
      </c>
      <c r="F109" s="11" t="s">
        <v>330</v>
      </c>
      <c r="G109" s="12">
        <v>5</v>
      </c>
      <c r="H109" s="12">
        <v>59</v>
      </c>
      <c r="I109" s="11" t="s">
        <v>331</v>
      </c>
      <c r="J109" s="11" t="s">
        <v>332</v>
      </c>
      <c r="K109" s="11" t="s">
        <v>830</v>
      </c>
      <c r="L109" s="11" t="s">
        <v>831</v>
      </c>
      <c r="M109" s="11" t="s">
        <v>365</v>
      </c>
    </row>
    <row r="110" spans="1:13" ht="28.5">
      <c r="A110" t="s">
        <v>832</v>
      </c>
      <c r="B110" s="11" t="s">
        <v>833</v>
      </c>
      <c r="C110" s="11" t="s">
        <v>185</v>
      </c>
      <c r="D110" s="11" t="s">
        <v>801</v>
      </c>
      <c r="E110" s="11" t="s">
        <v>834</v>
      </c>
      <c r="F110" s="11" t="s">
        <v>330</v>
      </c>
      <c r="G110" s="12">
        <v>5</v>
      </c>
      <c r="H110" s="12">
        <v>59</v>
      </c>
      <c r="I110" s="11" t="s">
        <v>331</v>
      </c>
      <c r="J110" s="11" t="s">
        <v>332</v>
      </c>
      <c r="K110" s="11" t="s">
        <v>835</v>
      </c>
      <c r="L110" s="11" t="s">
        <v>836</v>
      </c>
      <c r="M110" s="11" t="s">
        <v>365</v>
      </c>
    </row>
    <row r="111" spans="1:13" ht="28.5">
      <c r="A111" t="s">
        <v>837</v>
      </c>
      <c r="B111" s="11" t="s">
        <v>838</v>
      </c>
      <c r="C111" s="11" t="s">
        <v>185</v>
      </c>
      <c r="D111" s="11" t="s">
        <v>801</v>
      </c>
      <c r="E111" s="11" t="s">
        <v>839</v>
      </c>
      <c r="F111" s="11" t="s">
        <v>840</v>
      </c>
      <c r="G111" s="12">
        <v>3</v>
      </c>
      <c r="H111" s="12">
        <v>39</v>
      </c>
      <c r="I111" s="11" t="s">
        <v>331</v>
      </c>
      <c r="J111" s="11" t="s">
        <v>332</v>
      </c>
      <c r="K111" s="11" t="s">
        <v>841</v>
      </c>
      <c r="L111" s="11" t="s">
        <v>842</v>
      </c>
      <c r="M111" s="11" t="s">
        <v>365</v>
      </c>
    </row>
    <row r="112" spans="1:13" ht="42.75">
      <c r="A112" t="s">
        <v>843</v>
      </c>
      <c r="B112" s="11" t="s">
        <v>844</v>
      </c>
      <c r="C112" s="11" t="s">
        <v>185</v>
      </c>
      <c r="D112" s="11" t="s">
        <v>801</v>
      </c>
      <c r="E112" s="11" t="s">
        <v>839</v>
      </c>
      <c r="F112" s="11" t="s">
        <v>646</v>
      </c>
      <c r="G112" s="12">
        <v>3</v>
      </c>
      <c r="H112" s="12">
        <v>39</v>
      </c>
      <c r="I112" s="11" t="s">
        <v>331</v>
      </c>
      <c r="J112" s="11" t="s">
        <v>332</v>
      </c>
      <c r="K112" s="11" t="s">
        <v>845</v>
      </c>
      <c r="L112" s="11" t="s">
        <v>846</v>
      </c>
      <c r="M112" s="11" t="s">
        <v>365</v>
      </c>
    </row>
    <row r="113" spans="1:13" ht="28.5">
      <c r="A113" t="s">
        <v>847</v>
      </c>
      <c r="B113" s="11" t="s">
        <v>848</v>
      </c>
      <c r="C113" s="11" t="s">
        <v>185</v>
      </c>
      <c r="D113" s="11" t="s">
        <v>801</v>
      </c>
      <c r="E113" s="11" t="s">
        <v>839</v>
      </c>
      <c r="F113" s="11" t="s">
        <v>849</v>
      </c>
      <c r="G113" s="12">
        <v>3</v>
      </c>
      <c r="H113" s="12">
        <v>39</v>
      </c>
      <c r="I113" s="11" t="s">
        <v>331</v>
      </c>
      <c r="J113" s="11" t="s">
        <v>332</v>
      </c>
      <c r="K113" s="11" t="s">
        <v>850</v>
      </c>
      <c r="L113" s="11" t="s">
        <v>851</v>
      </c>
      <c r="M113" s="11" t="s">
        <v>365</v>
      </c>
    </row>
    <row r="114" spans="1:13" ht="28.5">
      <c r="A114" t="s">
        <v>852</v>
      </c>
      <c r="B114" s="11" t="s">
        <v>853</v>
      </c>
      <c r="C114" s="11" t="s">
        <v>185</v>
      </c>
      <c r="D114" s="11" t="s">
        <v>854</v>
      </c>
      <c r="E114" s="11" t="s">
        <v>802</v>
      </c>
      <c r="F114" s="11" t="s">
        <v>330</v>
      </c>
      <c r="G114" s="12">
        <v>5</v>
      </c>
      <c r="H114" s="12">
        <v>59</v>
      </c>
      <c r="I114" s="11" t="s">
        <v>331</v>
      </c>
      <c r="J114" s="11" t="s">
        <v>332</v>
      </c>
      <c r="K114" s="11" t="s">
        <v>855</v>
      </c>
      <c r="L114" s="11" t="s">
        <v>856</v>
      </c>
      <c r="M114" s="11" t="s">
        <v>365</v>
      </c>
    </row>
    <row r="115" spans="1:13" ht="28.5">
      <c r="A115" t="s">
        <v>857</v>
      </c>
      <c r="B115" s="11" t="s">
        <v>858</v>
      </c>
      <c r="C115" s="11" t="s">
        <v>185</v>
      </c>
      <c r="D115" s="11" t="s">
        <v>854</v>
      </c>
      <c r="E115" s="11" t="s">
        <v>670</v>
      </c>
      <c r="F115" s="11" t="s">
        <v>330</v>
      </c>
      <c r="G115" s="12">
        <v>5</v>
      </c>
      <c r="H115" s="12">
        <v>59</v>
      </c>
      <c r="I115" s="11" t="s">
        <v>331</v>
      </c>
      <c r="J115" s="11" t="s">
        <v>332</v>
      </c>
      <c r="K115" s="11" t="s">
        <v>859</v>
      </c>
      <c r="L115" s="11" t="s">
        <v>860</v>
      </c>
      <c r="M115" s="11" t="s">
        <v>365</v>
      </c>
    </row>
    <row r="116" spans="1:13" ht="28.5">
      <c r="A116" t="s">
        <v>861</v>
      </c>
      <c r="B116" s="11" t="s">
        <v>862</v>
      </c>
      <c r="C116" s="11" t="s">
        <v>185</v>
      </c>
      <c r="D116" s="11" t="s">
        <v>854</v>
      </c>
      <c r="E116" s="11" t="s">
        <v>811</v>
      </c>
      <c r="F116" s="11" t="s">
        <v>330</v>
      </c>
      <c r="G116" s="12">
        <v>5</v>
      </c>
      <c r="H116" s="12">
        <v>59</v>
      </c>
      <c r="I116" s="11" t="s">
        <v>331</v>
      </c>
      <c r="J116" s="11" t="s">
        <v>332</v>
      </c>
      <c r="K116" s="11" t="s">
        <v>863</v>
      </c>
      <c r="L116" s="11" t="s">
        <v>864</v>
      </c>
      <c r="M116" s="11" t="s">
        <v>365</v>
      </c>
    </row>
    <row r="117" spans="1:13" ht="28.5">
      <c r="A117" t="s">
        <v>865</v>
      </c>
      <c r="B117" s="11" t="s">
        <v>866</v>
      </c>
      <c r="C117" s="11" t="s">
        <v>185</v>
      </c>
      <c r="D117" s="11" t="s">
        <v>854</v>
      </c>
      <c r="E117" s="11" t="s">
        <v>645</v>
      </c>
      <c r="F117" s="11" t="s">
        <v>403</v>
      </c>
      <c r="G117" s="12">
        <v>4</v>
      </c>
      <c r="H117" s="12">
        <v>49</v>
      </c>
      <c r="I117" s="11" t="s">
        <v>331</v>
      </c>
      <c r="J117" s="11" t="s">
        <v>332</v>
      </c>
      <c r="K117" s="11" t="s">
        <v>867</v>
      </c>
      <c r="L117" s="11" t="s">
        <v>868</v>
      </c>
      <c r="M117" s="11" t="s">
        <v>365</v>
      </c>
    </row>
    <row r="118" spans="1:13" ht="28.5">
      <c r="A118" t="s">
        <v>869</v>
      </c>
      <c r="B118" s="11" t="s">
        <v>870</v>
      </c>
      <c r="C118" s="11" t="s">
        <v>185</v>
      </c>
      <c r="D118" s="11" t="s">
        <v>854</v>
      </c>
      <c r="E118" s="11" t="s">
        <v>645</v>
      </c>
      <c r="F118" s="11" t="s">
        <v>646</v>
      </c>
      <c r="G118" s="12">
        <v>4</v>
      </c>
      <c r="H118" s="12">
        <v>49</v>
      </c>
      <c r="I118" s="11" t="s">
        <v>331</v>
      </c>
      <c r="J118" s="11" t="s">
        <v>332</v>
      </c>
      <c r="K118" s="11" t="s">
        <v>871</v>
      </c>
      <c r="L118" s="11" t="s">
        <v>872</v>
      </c>
      <c r="M118" s="11" t="s">
        <v>365</v>
      </c>
    </row>
    <row r="119" spans="1:13" ht="28.5">
      <c r="A119" t="s">
        <v>873</v>
      </c>
      <c r="B119" s="11" t="s">
        <v>874</v>
      </c>
      <c r="C119" s="11" t="s">
        <v>185</v>
      </c>
      <c r="D119" s="11" t="s">
        <v>854</v>
      </c>
      <c r="E119" s="11" t="s">
        <v>820</v>
      </c>
      <c r="F119" s="11" t="s">
        <v>330</v>
      </c>
      <c r="G119" s="12">
        <v>5</v>
      </c>
      <c r="H119" s="12">
        <v>59</v>
      </c>
      <c r="I119" s="11" t="s">
        <v>331</v>
      </c>
      <c r="J119" s="11" t="s">
        <v>332</v>
      </c>
      <c r="K119" s="11" t="s">
        <v>875</v>
      </c>
      <c r="L119" s="11" t="s">
        <v>876</v>
      </c>
      <c r="M119" s="11" t="s">
        <v>365</v>
      </c>
    </row>
    <row r="120" spans="1:13" ht="28.5">
      <c r="A120" t="s">
        <v>877</v>
      </c>
      <c r="B120" s="11" t="s">
        <v>878</v>
      </c>
      <c r="C120" s="11" t="s">
        <v>185</v>
      </c>
      <c r="D120" s="11" t="s">
        <v>854</v>
      </c>
      <c r="E120" s="11" t="s">
        <v>825</v>
      </c>
      <c r="F120" s="11" t="s">
        <v>330</v>
      </c>
      <c r="G120" s="12">
        <v>5</v>
      </c>
      <c r="H120" s="12">
        <v>59</v>
      </c>
      <c r="I120" s="11" t="s">
        <v>331</v>
      </c>
      <c r="J120" s="11" t="s">
        <v>332</v>
      </c>
      <c r="K120" s="11" t="s">
        <v>879</v>
      </c>
      <c r="L120" s="11" t="s">
        <v>880</v>
      </c>
      <c r="M120" s="11" t="s">
        <v>365</v>
      </c>
    </row>
    <row r="121" spans="1:13" ht="28.5">
      <c r="A121" t="s">
        <v>881</v>
      </c>
      <c r="B121" s="11" t="s">
        <v>882</v>
      </c>
      <c r="C121" s="11" t="s">
        <v>185</v>
      </c>
      <c r="D121" s="11" t="s">
        <v>854</v>
      </c>
      <c r="E121" s="11" t="s">
        <v>834</v>
      </c>
      <c r="F121" s="11" t="s">
        <v>330</v>
      </c>
      <c r="G121" s="12">
        <v>5</v>
      </c>
      <c r="H121" s="12">
        <v>59</v>
      </c>
      <c r="I121" s="11" t="s">
        <v>331</v>
      </c>
      <c r="J121" s="11" t="s">
        <v>332</v>
      </c>
      <c r="K121" s="11" t="s">
        <v>883</v>
      </c>
      <c r="L121" s="11" t="s">
        <v>884</v>
      </c>
      <c r="M121" s="11" t="s">
        <v>365</v>
      </c>
    </row>
    <row r="122" spans="1:13" ht="28.5">
      <c r="A122" t="s">
        <v>885</v>
      </c>
      <c r="B122" s="11" t="s">
        <v>886</v>
      </c>
      <c r="C122" s="11" t="s">
        <v>185</v>
      </c>
      <c r="D122" s="11" t="s">
        <v>854</v>
      </c>
      <c r="E122" s="11" t="s">
        <v>839</v>
      </c>
      <c r="F122" s="11" t="s">
        <v>887</v>
      </c>
      <c r="G122" s="12">
        <v>3</v>
      </c>
      <c r="H122" s="12">
        <v>39</v>
      </c>
      <c r="I122" s="11" t="s">
        <v>331</v>
      </c>
      <c r="J122" s="11" t="s">
        <v>332</v>
      </c>
      <c r="K122" s="11" t="s">
        <v>888</v>
      </c>
      <c r="L122" s="11" t="s">
        <v>889</v>
      </c>
      <c r="M122" s="11" t="s">
        <v>365</v>
      </c>
    </row>
    <row r="123" spans="1:13" ht="28.5">
      <c r="A123" t="s">
        <v>890</v>
      </c>
      <c r="B123" s="11" t="s">
        <v>891</v>
      </c>
      <c r="C123" s="11" t="s">
        <v>185</v>
      </c>
      <c r="D123" s="11" t="s">
        <v>854</v>
      </c>
      <c r="E123" s="11" t="s">
        <v>839</v>
      </c>
      <c r="F123" s="11" t="s">
        <v>840</v>
      </c>
      <c r="G123" s="12">
        <v>3</v>
      </c>
      <c r="H123" s="12">
        <v>39</v>
      </c>
      <c r="I123" s="11" t="s">
        <v>331</v>
      </c>
      <c r="J123" s="11" t="s">
        <v>332</v>
      </c>
      <c r="K123" s="11" t="s">
        <v>892</v>
      </c>
      <c r="L123" s="11" t="s">
        <v>893</v>
      </c>
      <c r="M123" s="11" t="s">
        <v>365</v>
      </c>
    </row>
    <row r="124" spans="1:13" ht="42.75">
      <c r="A124" t="s">
        <v>894</v>
      </c>
      <c r="B124" s="11" t="s">
        <v>895</v>
      </c>
      <c r="C124" s="11" t="s">
        <v>185</v>
      </c>
      <c r="D124" s="11" t="s">
        <v>854</v>
      </c>
      <c r="E124" s="11" t="s">
        <v>839</v>
      </c>
      <c r="F124" s="11" t="s">
        <v>646</v>
      </c>
      <c r="G124" s="12">
        <v>3</v>
      </c>
      <c r="H124" s="12">
        <v>39</v>
      </c>
      <c r="I124" s="11" t="s">
        <v>331</v>
      </c>
      <c r="J124" s="11" t="s">
        <v>332</v>
      </c>
      <c r="K124" s="11" t="s">
        <v>896</v>
      </c>
      <c r="L124" s="11" t="s">
        <v>897</v>
      </c>
      <c r="M124" s="11" t="s">
        <v>365</v>
      </c>
    </row>
    <row r="125" spans="1:13" ht="28.5">
      <c r="A125" t="s">
        <v>898</v>
      </c>
      <c r="B125" s="11" t="s">
        <v>899</v>
      </c>
      <c r="C125" s="11" t="s">
        <v>185</v>
      </c>
      <c r="D125" s="11" t="s">
        <v>854</v>
      </c>
      <c r="E125" s="11" t="s">
        <v>839</v>
      </c>
      <c r="F125" s="11" t="s">
        <v>849</v>
      </c>
      <c r="G125" s="12">
        <v>3</v>
      </c>
      <c r="H125" s="12">
        <v>39</v>
      </c>
      <c r="I125" s="11" t="s">
        <v>331</v>
      </c>
      <c r="J125" s="11" t="s">
        <v>332</v>
      </c>
      <c r="K125" s="11" t="s">
        <v>900</v>
      </c>
      <c r="L125" s="11" t="s">
        <v>901</v>
      </c>
      <c r="M125" s="11" t="s">
        <v>365</v>
      </c>
    </row>
    <row r="126" spans="1:13" ht="28.5">
      <c r="A126" t="s">
        <v>902</v>
      </c>
      <c r="B126" s="11" t="s">
        <v>903</v>
      </c>
      <c r="C126" s="11" t="s">
        <v>225</v>
      </c>
      <c r="D126" s="11" t="s">
        <v>904</v>
      </c>
      <c r="E126" s="11" t="s">
        <v>442</v>
      </c>
      <c r="F126" s="11" t="s">
        <v>330</v>
      </c>
      <c r="G126" s="12">
        <v>59.07</v>
      </c>
      <c r="H126" s="12">
        <v>139.94999999999999</v>
      </c>
      <c r="I126" s="11" t="s">
        <v>331</v>
      </c>
      <c r="J126" s="11" t="s">
        <v>332</v>
      </c>
      <c r="K126" s="11" t="s">
        <v>905</v>
      </c>
      <c r="L126" s="11" t="s">
        <v>906</v>
      </c>
      <c r="M126" s="11" t="s">
        <v>365</v>
      </c>
    </row>
    <row r="127" spans="1:13" ht="28.5">
      <c r="A127" t="s">
        <v>907</v>
      </c>
      <c r="B127" s="11" t="s">
        <v>908</v>
      </c>
      <c r="C127" s="11" t="s">
        <v>185</v>
      </c>
      <c r="D127" s="11" t="s">
        <v>904</v>
      </c>
      <c r="E127" s="11" t="s">
        <v>802</v>
      </c>
      <c r="F127" s="11" t="s">
        <v>330</v>
      </c>
      <c r="G127" s="12">
        <v>5</v>
      </c>
      <c r="H127" s="12">
        <v>59</v>
      </c>
      <c r="I127" s="11" t="s">
        <v>331</v>
      </c>
      <c r="J127" s="11" t="s">
        <v>332</v>
      </c>
      <c r="K127" s="11" t="s">
        <v>909</v>
      </c>
      <c r="L127" s="11" t="s">
        <v>910</v>
      </c>
      <c r="M127" s="11" t="s">
        <v>365</v>
      </c>
    </row>
    <row r="128" spans="1:13" ht="28.5">
      <c r="A128" t="s">
        <v>911</v>
      </c>
      <c r="B128" s="11" t="s">
        <v>912</v>
      </c>
      <c r="C128" s="11" t="s">
        <v>185</v>
      </c>
      <c r="D128" s="11" t="s">
        <v>904</v>
      </c>
      <c r="E128" s="11" t="s">
        <v>670</v>
      </c>
      <c r="F128" s="11" t="s">
        <v>330</v>
      </c>
      <c r="G128" s="12">
        <v>5</v>
      </c>
      <c r="H128" s="12">
        <v>59</v>
      </c>
      <c r="I128" s="11" t="s">
        <v>331</v>
      </c>
      <c r="J128" s="11" t="s">
        <v>332</v>
      </c>
      <c r="K128" s="11" t="s">
        <v>913</v>
      </c>
      <c r="L128" s="11" t="s">
        <v>914</v>
      </c>
      <c r="M128" s="11" t="s">
        <v>365</v>
      </c>
    </row>
    <row r="129" spans="1:13" ht="28.5">
      <c r="A129" t="s">
        <v>915</v>
      </c>
      <c r="B129" s="11" t="s">
        <v>916</v>
      </c>
      <c r="C129" s="11" t="s">
        <v>185</v>
      </c>
      <c r="D129" s="11" t="s">
        <v>904</v>
      </c>
      <c r="E129" s="11" t="s">
        <v>645</v>
      </c>
      <c r="F129" s="11" t="s">
        <v>403</v>
      </c>
      <c r="G129" s="12">
        <v>4</v>
      </c>
      <c r="H129" s="12">
        <v>49</v>
      </c>
      <c r="I129" s="11" t="s">
        <v>331</v>
      </c>
      <c r="J129" s="11" t="s">
        <v>332</v>
      </c>
      <c r="K129" s="11" t="s">
        <v>917</v>
      </c>
      <c r="L129" s="11" t="s">
        <v>918</v>
      </c>
      <c r="M129" s="11" t="s">
        <v>365</v>
      </c>
    </row>
    <row r="130" spans="1:13" ht="28.5">
      <c r="A130" t="s">
        <v>919</v>
      </c>
      <c r="B130" s="11" t="s">
        <v>920</v>
      </c>
      <c r="C130" s="11" t="s">
        <v>185</v>
      </c>
      <c r="D130" s="11" t="s">
        <v>904</v>
      </c>
      <c r="E130" s="11" t="s">
        <v>820</v>
      </c>
      <c r="F130" s="11" t="s">
        <v>330</v>
      </c>
      <c r="G130" s="12">
        <v>5</v>
      </c>
      <c r="H130" s="12">
        <v>59</v>
      </c>
      <c r="I130" s="11" t="s">
        <v>331</v>
      </c>
      <c r="J130" s="11" t="s">
        <v>332</v>
      </c>
      <c r="K130" s="11" t="s">
        <v>921</v>
      </c>
      <c r="L130" s="11" t="s">
        <v>922</v>
      </c>
      <c r="M130" s="11" t="s">
        <v>365</v>
      </c>
    </row>
    <row r="131" spans="1:13" ht="28.5">
      <c r="A131" t="s">
        <v>923</v>
      </c>
      <c r="B131" s="11" t="s">
        <v>924</v>
      </c>
      <c r="C131" s="11" t="s">
        <v>185</v>
      </c>
      <c r="D131" s="11" t="s">
        <v>904</v>
      </c>
      <c r="E131" s="11" t="s">
        <v>825</v>
      </c>
      <c r="F131" s="11" t="s">
        <v>330</v>
      </c>
      <c r="G131" s="12">
        <v>5</v>
      </c>
      <c r="H131" s="12">
        <v>59</v>
      </c>
      <c r="I131" s="11" t="s">
        <v>331</v>
      </c>
      <c r="J131" s="11" t="s">
        <v>332</v>
      </c>
      <c r="K131" s="11" t="s">
        <v>925</v>
      </c>
      <c r="L131" s="11" t="s">
        <v>926</v>
      </c>
      <c r="M131" s="11" t="s">
        <v>365</v>
      </c>
    </row>
    <row r="132" spans="1:13" ht="28.5">
      <c r="A132" t="s">
        <v>927</v>
      </c>
      <c r="B132" s="11" t="s">
        <v>928</v>
      </c>
      <c r="C132" s="11" t="s">
        <v>185</v>
      </c>
      <c r="D132" s="11" t="s">
        <v>904</v>
      </c>
      <c r="E132" s="11" t="s">
        <v>493</v>
      </c>
      <c r="F132" s="11" t="s">
        <v>330</v>
      </c>
      <c r="G132" s="12">
        <v>5</v>
      </c>
      <c r="H132" s="12">
        <v>59</v>
      </c>
      <c r="I132" s="11" t="s">
        <v>331</v>
      </c>
      <c r="J132" s="11" t="s">
        <v>332</v>
      </c>
      <c r="K132" s="11" t="s">
        <v>929</v>
      </c>
      <c r="L132" s="11" t="s">
        <v>930</v>
      </c>
      <c r="M132" s="11" t="s">
        <v>365</v>
      </c>
    </row>
    <row r="133" spans="1:13" ht="28.5">
      <c r="A133" t="s">
        <v>931</v>
      </c>
      <c r="B133" s="11" t="s">
        <v>932</v>
      </c>
      <c r="C133" s="11" t="s">
        <v>185</v>
      </c>
      <c r="D133" s="11" t="s">
        <v>904</v>
      </c>
      <c r="E133" s="11" t="s">
        <v>834</v>
      </c>
      <c r="F133" s="11" t="s">
        <v>330</v>
      </c>
      <c r="G133" s="12">
        <v>5</v>
      </c>
      <c r="H133" s="12">
        <v>59</v>
      </c>
      <c r="I133" s="11" t="s">
        <v>331</v>
      </c>
      <c r="J133" s="11" t="s">
        <v>332</v>
      </c>
      <c r="K133" s="11" t="s">
        <v>933</v>
      </c>
      <c r="L133" s="11" t="s">
        <v>934</v>
      </c>
      <c r="M133" s="11" t="s">
        <v>365</v>
      </c>
    </row>
    <row r="134" spans="1:13" ht="28.5">
      <c r="A134" t="s">
        <v>935</v>
      </c>
      <c r="B134" s="11" t="s">
        <v>936</v>
      </c>
      <c r="C134" s="11" t="s">
        <v>185</v>
      </c>
      <c r="D134" s="11" t="s">
        <v>904</v>
      </c>
      <c r="E134" s="11" t="s">
        <v>839</v>
      </c>
      <c r="F134" s="11" t="s">
        <v>887</v>
      </c>
      <c r="G134" s="12">
        <v>3</v>
      </c>
      <c r="H134" s="12">
        <v>39</v>
      </c>
      <c r="I134" s="11" t="s">
        <v>331</v>
      </c>
      <c r="J134" s="11" t="s">
        <v>332</v>
      </c>
      <c r="K134" s="11" t="s">
        <v>937</v>
      </c>
      <c r="L134" s="11" t="s">
        <v>938</v>
      </c>
      <c r="M134" s="11" t="s">
        <v>365</v>
      </c>
    </row>
    <row r="135" spans="1:13" ht="28.5">
      <c r="A135" t="s">
        <v>939</v>
      </c>
      <c r="B135" s="11" t="s">
        <v>940</v>
      </c>
      <c r="C135" s="11" t="s">
        <v>185</v>
      </c>
      <c r="D135" s="11" t="s">
        <v>904</v>
      </c>
      <c r="E135" s="11" t="s">
        <v>839</v>
      </c>
      <c r="F135" s="11" t="s">
        <v>840</v>
      </c>
      <c r="G135" s="12">
        <v>3</v>
      </c>
      <c r="H135" s="12">
        <v>39</v>
      </c>
      <c r="I135" s="11" t="s">
        <v>331</v>
      </c>
      <c r="J135" s="11" t="s">
        <v>332</v>
      </c>
      <c r="K135" s="11" t="s">
        <v>941</v>
      </c>
      <c r="L135" s="11" t="s">
        <v>942</v>
      </c>
      <c r="M135" s="11" t="s">
        <v>365</v>
      </c>
    </row>
    <row r="136" spans="1:13" ht="42.75">
      <c r="A136" t="s">
        <v>943</v>
      </c>
      <c r="B136" s="11" t="s">
        <v>944</v>
      </c>
      <c r="C136" s="11" t="s">
        <v>185</v>
      </c>
      <c r="D136" s="11" t="s">
        <v>904</v>
      </c>
      <c r="E136" s="11" t="s">
        <v>839</v>
      </c>
      <c r="F136" s="11" t="s">
        <v>646</v>
      </c>
      <c r="G136" s="12">
        <v>3</v>
      </c>
      <c r="H136" s="12">
        <v>39</v>
      </c>
      <c r="I136" s="11" t="s">
        <v>331</v>
      </c>
      <c r="J136" s="11" t="s">
        <v>332</v>
      </c>
      <c r="K136" s="11" t="s">
        <v>945</v>
      </c>
      <c r="L136" s="11" t="s">
        <v>946</v>
      </c>
      <c r="M136" s="11" t="s">
        <v>365</v>
      </c>
    </row>
    <row r="137" spans="1:13" ht="28.5">
      <c r="A137" t="s">
        <v>947</v>
      </c>
      <c r="B137" s="11" t="s">
        <v>948</v>
      </c>
      <c r="C137" s="11" t="s">
        <v>185</v>
      </c>
      <c r="D137" s="11" t="s">
        <v>904</v>
      </c>
      <c r="E137" s="11" t="s">
        <v>839</v>
      </c>
      <c r="F137" s="11" t="s">
        <v>849</v>
      </c>
      <c r="G137" s="12">
        <v>3</v>
      </c>
      <c r="H137" s="12">
        <v>39</v>
      </c>
      <c r="I137" s="11" t="s">
        <v>331</v>
      </c>
      <c r="J137" s="11" t="s">
        <v>332</v>
      </c>
      <c r="K137" s="11" t="s">
        <v>949</v>
      </c>
      <c r="L137" s="11" t="s">
        <v>950</v>
      </c>
      <c r="M137" s="11" t="s">
        <v>365</v>
      </c>
    </row>
    <row r="138" spans="1:13" ht="28.5">
      <c r="A138" t="s">
        <v>951</v>
      </c>
      <c r="B138" s="11" t="s">
        <v>952</v>
      </c>
      <c r="C138" s="11" t="s">
        <v>225</v>
      </c>
      <c r="D138" s="11" t="s">
        <v>953</v>
      </c>
      <c r="E138" s="11" t="s">
        <v>442</v>
      </c>
      <c r="F138" s="11" t="s">
        <v>330</v>
      </c>
      <c r="G138" s="12">
        <v>59.07</v>
      </c>
      <c r="H138" s="12">
        <v>139.94999999999999</v>
      </c>
      <c r="I138" s="11" t="s">
        <v>331</v>
      </c>
      <c r="J138" s="11" t="s">
        <v>332</v>
      </c>
      <c r="K138" s="11" t="s">
        <v>954</v>
      </c>
      <c r="L138" s="11" t="s">
        <v>955</v>
      </c>
      <c r="M138" s="11" t="s">
        <v>365</v>
      </c>
    </row>
    <row r="139" spans="1:13" ht="28.5">
      <c r="A139" t="s">
        <v>956</v>
      </c>
      <c r="B139" s="11" t="s">
        <v>957</v>
      </c>
      <c r="C139" s="11" t="s">
        <v>185</v>
      </c>
      <c r="D139" s="11" t="s">
        <v>953</v>
      </c>
      <c r="E139" s="11" t="s">
        <v>802</v>
      </c>
      <c r="F139" s="11" t="s">
        <v>330</v>
      </c>
      <c r="G139" s="12">
        <v>5</v>
      </c>
      <c r="H139" s="12">
        <v>59</v>
      </c>
      <c r="I139" s="11" t="s">
        <v>331</v>
      </c>
      <c r="J139" s="11" t="s">
        <v>332</v>
      </c>
      <c r="K139" s="11" t="s">
        <v>958</v>
      </c>
      <c r="L139" s="11" t="s">
        <v>959</v>
      </c>
      <c r="M139" s="11" t="s">
        <v>365</v>
      </c>
    </row>
    <row r="140" spans="1:13" ht="28.5">
      <c r="A140" t="s">
        <v>960</v>
      </c>
      <c r="B140" s="11" t="s">
        <v>961</v>
      </c>
      <c r="C140" s="11" t="s">
        <v>185</v>
      </c>
      <c r="D140" s="11" t="s">
        <v>953</v>
      </c>
      <c r="E140" s="11" t="s">
        <v>820</v>
      </c>
      <c r="F140" s="11" t="s">
        <v>330</v>
      </c>
      <c r="G140" s="12">
        <v>5</v>
      </c>
      <c r="H140" s="12">
        <v>59</v>
      </c>
      <c r="I140" s="11" t="s">
        <v>331</v>
      </c>
      <c r="J140" s="11" t="s">
        <v>332</v>
      </c>
      <c r="K140" s="11" t="s">
        <v>962</v>
      </c>
      <c r="L140" s="11" t="s">
        <v>963</v>
      </c>
      <c r="M140" s="11" t="s">
        <v>365</v>
      </c>
    </row>
    <row r="141" spans="1:13" ht="28.5">
      <c r="A141" t="s">
        <v>964</v>
      </c>
      <c r="B141" s="11" t="s">
        <v>965</v>
      </c>
      <c r="C141" s="11" t="s">
        <v>185</v>
      </c>
      <c r="D141" s="11" t="s">
        <v>953</v>
      </c>
      <c r="E141" s="11" t="s">
        <v>825</v>
      </c>
      <c r="F141" s="11" t="s">
        <v>330</v>
      </c>
      <c r="G141" s="12">
        <v>5</v>
      </c>
      <c r="H141" s="12">
        <v>59</v>
      </c>
      <c r="I141" s="11" t="s">
        <v>331</v>
      </c>
      <c r="J141" s="11" t="s">
        <v>332</v>
      </c>
      <c r="K141" s="11" t="s">
        <v>966</v>
      </c>
      <c r="L141" s="11" t="s">
        <v>967</v>
      </c>
      <c r="M141" s="11" t="s">
        <v>365</v>
      </c>
    </row>
    <row r="142" spans="1:13" ht="28.5">
      <c r="A142" t="s">
        <v>968</v>
      </c>
      <c r="B142" s="11" t="s">
        <v>969</v>
      </c>
      <c r="C142" s="11" t="s">
        <v>185</v>
      </c>
      <c r="D142" s="11" t="s">
        <v>953</v>
      </c>
      <c r="E142" s="11" t="s">
        <v>839</v>
      </c>
      <c r="F142" s="11" t="s">
        <v>849</v>
      </c>
      <c r="G142" s="12">
        <v>3</v>
      </c>
      <c r="H142" s="12">
        <v>39</v>
      </c>
      <c r="I142" s="11" t="s">
        <v>331</v>
      </c>
      <c r="J142" s="11" t="s">
        <v>332</v>
      </c>
      <c r="K142" s="11" t="s">
        <v>970</v>
      </c>
      <c r="L142" s="11" t="s">
        <v>971</v>
      </c>
      <c r="M142" s="11" t="s">
        <v>365</v>
      </c>
    </row>
    <row r="143" spans="1:13" ht="28.5">
      <c r="A143" t="s">
        <v>972</v>
      </c>
      <c r="B143" s="11" t="s">
        <v>973</v>
      </c>
      <c r="C143" s="11" t="s">
        <v>185</v>
      </c>
      <c r="D143" s="11" t="s">
        <v>974</v>
      </c>
      <c r="E143" s="11" t="s">
        <v>175</v>
      </c>
      <c r="F143" s="11" t="s">
        <v>330</v>
      </c>
      <c r="G143" s="12">
        <v>1</v>
      </c>
      <c r="H143" s="12">
        <v>25</v>
      </c>
      <c r="I143" s="11" t="s">
        <v>331</v>
      </c>
      <c r="J143" s="11" t="s">
        <v>975</v>
      </c>
      <c r="K143" s="11" t="s">
        <v>976</v>
      </c>
      <c r="L143" s="11" t="s">
        <v>977</v>
      </c>
      <c r="M143" s="11" t="s">
        <v>335</v>
      </c>
    </row>
    <row r="144" spans="1:13" ht="28.5">
      <c r="A144" t="s">
        <v>978</v>
      </c>
      <c r="B144" s="11" t="s">
        <v>979</v>
      </c>
      <c r="C144" s="11" t="s">
        <v>185</v>
      </c>
      <c r="D144" s="11" t="s">
        <v>980</v>
      </c>
      <c r="E144" s="11" t="s">
        <v>175</v>
      </c>
      <c r="F144" s="11" t="s">
        <v>330</v>
      </c>
      <c r="G144" s="12">
        <v>1</v>
      </c>
      <c r="H144" s="12">
        <v>25</v>
      </c>
      <c r="I144" s="11" t="s">
        <v>331</v>
      </c>
      <c r="J144" s="11" t="s">
        <v>975</v>
      </c>
      <c r="K144" s="11" t="s">
        <v>981</v>
      </c>
      <c r="L144" s="11" t="s">
        <v>982</v>
      </c>
      <c r="M144" s="11" t="s">
        <v>335</v>
      </c>
    </row>
    <row r="145" spans="1:13" ht="28.5">
      <c r="A145" t="s">
        <v>983</v>
      </c>
      <c r="B145" s="11" t="s">
        <v>984</v>
      </c>
      <c r="C145" s="11" t="s">
        <v>185</v>
      </c>
      <c r="D145" s="11" t="s">
        <v>985</v>
      </c>
      <c r="E145" s="11" t="s">
        <v>175</v>
      </c>
      <c r="F145" s="11" t="s">
        <v>330</v>
      </c>
      <c r="G145" s="12">
        <v>1</v>
      </c>
      <c r="H145" s="12">
        <v>25</v>
      </c>
      <c r="I145" s="11" t="s">
        <v>331</v>
      </c>
      <c r="J145" s="11" t="s">
        <v>975</v>
      </c>
      <c r="K145" s="11" t="s">
        <v>986</v>
      </c>
      <c r="L145" s="11" t="s">
        <v>987</v>
      </c>
      <c r="M145" s="11" t="s">
        <v>335</v>
      </c>
    </row>
    <row r="146" spans="1:13" ht="28.5">
      <c r="A146" t="s">
        <v>988</v>
      </c>
      <c r="B146" s="11" t="s">
        <v>989</v>
      </c>
      <c r="C146" s="11" t="s">
        <v>185</v>
      </c>
      <c r="D146" s="11" t="s">
        <v>990</v>
      </c>
      <c r="E146" s="11" t="s">
        <v>175</v>
      </c>
      <c r="F146" s="11" t="s">
        <v>330</v>
      </c>
      <c r="G146" s="12">
        <v>1</v>
      </c>
      <c r="H146" s="12">
        <v>35</v>
      </c>
      <c r="I146" s="11" t="s">
        <v>331</v>
      </c>
      <c r="J146" s="11" t="s">
        <v>975</v>
      </c>
      <c r="K146" s="11" t="s">
        <v>991</v>
      </c>
      <c r="L146" s="11" t="s">
        <v>992</v>
      </c>
      <c r="M146" s="11" t="s">
        <v>335</v>
      </c>
    </row>
    <row r="147" spans="1:13" ht="28.5">
      <c r="A147" t="s">
        <v>993</v>
      </c>
      <c r="B147" s="11" t="s">
        <v>994</v>
      </c>
      <c r="C147" s="11" t="s">
        <v>185</v>
      </c>
      <c r="D147" s="11" t="s">
        <v>995</v>
      </c>
      <c r="E147" s="11" t="s">
        <v>175</v>
      </c>
      <c r="F147" s="11" t="s">
        <v>330</v>
      </c>
      <c r="G147" s="12">
        <v>1</v>
      </c>
      <c r="H147" s="12">
        <v>35</v>
      </c>
      <c r="I147" s="11" t="s">
        <v>331</v>
      </c>
      <c r="J147" s="11" t="s">
        <v>975</v>
      </c>
      <c r="K147" s="11" t="s">
        <v>996</v>
      </c>
      <c r="L147" s="11" t="s">
        <v>997</v>
      </c>
      <c r="M147" s="11" t="s">
        <v>335</v>
      </c>
    </row>
    <row r="148" spans="1:13" ht="28.5">
      <c r="A148" t="s">
        <v>998</v>
      </c>
      <c r="B148" s="11" t="s">
        <v>999</v>
      </c>
      <c r="C148" s="11" t="s">
        <v>185</v>
      </c>
      <c r="D148" s="11" t="s">
        <v>1000</v>
      </c>
      <c r="E148" s="11" t="s">
        <v>175</v>
      </c>
      <c r="F148" s="11" t="s">
        <v>330</v>
      </c>
      <c r="G148" s="12">
        <v>1</v>
      </c>
      <c r="H148" s="12">
        <v>35</v>
      </c>
      <c r="I148" s="11" t="s">
        <v>331</v>
      </c>
      <c r="J148" s="11" t="s">
        <v>975</v>
      </c>
      <c r="K148" s="11" t="s">
        <v>1001</v>
      </c>
      <c r="L148" s="11" t="s">
        <v>1002</v>
      </c>
      <c r="M148" s="11" t="s">
        <v>335</v>
      </c>
    </row>
    <row r="149" spans="1:13" ht="28.5">
      <c r="A149" t="s">
        <v>1003</v>
      </c>
      <c r="B149" s="11" t="s">
        <v>1004</v>
      </c>
      <c r="C149" s="11" t="s">
        <v>185</v>
      </c>
      <c r="D149" s="11" t="s">
        <v>1005</v>
      </c>
      <c r="E149" s="11" t="s">
        <v>175</v>
      </c>
      <c r="F149" s="11" t="s">
        <v>330</v>
      </c>
      <c r="G149" s="12">
        <v>1</v>
      </c>
      <c r="H149" s="12">
        <v>35</v>
      </c>
      <c r="I149" s="11" t="s">
        <v>331</v>
      </c>
      <c r="J149" s="11" t="s">
        <v>975</v>
      </c>
      <c r="K149" s="11" t="s">
        <v>1006</v>
      </c>
      <c r="L149" s="11" t="s">
        <v>1007</v>
      </c>
      <c r="M149" s="11" t="s">
        <v>365</v>
      </c>
    </row>
    <row r="150" spans="1:13" ht="28.5">
      <c r="A150" t="s">
        <v>1008</v>
      </c>
      <c r="B150" s="11" t="s">
        <v>1009</v>
      </c>
      <c r="C150" s="11" t="s">
        <v>1010</v>
      </c>
      <c r="D150" s="11" t="s">
        <v>1011</v>
      </c>
      <c r="E150" s="11" t="s">
        <v>1012</v>
      </c>
      <c r="F150" s="11" t="s">
        <v>330</v>
      </c>
      <c r="G150" s="12">
        <v>3</v>
      </c>
      <c r="H150" s="12">
        <v>25</v>
      </c>
      <c r="I150" s="11" t="s">
        <v>331</v>
      </c>
      <c r="J150" s="11" t="s">
        <v>1013</v>
      </c>
      <c r="K150" s="11" t="s">
        <v>1014</v>
      </c>
      <c r="L150" s="11" t="s">
        <v>1015</v>
      </c>
      <c r="M150" s="11" t="s">
        <v>365</v>
      </c>
    </row>
  </sheetData>
  <phoneticPr fontId="7"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0"/>
  <sheetViews>
    <sheetView workbookViewId="0"/>
  </sheetViews>
  <sheetFormatPr defaultRowHeight="14.25"/>
  <cols>
    <col min="1" max="2" width="32" customWidth="1"/>
    <col min="3" max="4" width="14" customWidth="1"/>
    <col min="5" max="6" width="34" customWidth="1"/>
    <col min="7" max="8" width="24" customWidth="1"/>
  </cols>
  <sheetData>
    <row r="1" spans="1:8" ht="30">
      <c r="A1" s="14" t="s">
        <v>177</v>
      </c>
      <c r="B1" s="14" t="s">
        <v>1016</v>
      </c>
      <c r="C1" s="14" t="s">
        <v>1017</v>
      </c>
      <c r="D1" s="14" t="s">
        <v>180</v>
      </c>
      <c r="E1" s="14" t="s">
        <v>182</v>
      </c>
      <c r="F1" s="14" t="s">
        <v>1018</v>
      </c>
      <c r="G1" s="14" t="s">
        <v>1019</v>
      </c>
      <c r="H1" s="14" t="s">
        <v>37</v>
      </c>
    </row>
    <row r="2" spans="1:8" ht="28.5">
      <c r="A2" s="11" t="s">
        <v>268</v>
      </c>
      <c r="B2" s="11" t="s">
        <v>307</v>
      </c>
      <c r="C2" s="11">
        <v>1</v>
      </c>
      <c r="D2" s="11">
        <v>1</v>
      </c>
      <c r="E2" s="11"/>
      <c r="F2" s="11"/>
      <c r="G2" s="12"/>
      <c r="H2" s="11" t="s">
        <v>1020</v>
      </c>
    </row>
    <row r="3" spans="1:8">
      <c r="A3" s="11" t="s">
        <v>268</v>
      </c>
      <c r="B3" s="11" t="s">
        <v>309</v>
      </c>
      <c r="C3" s="11">
        <v>1</v>
      </c>
      <c r="D3" s="11">
        <v>1</v>
      </c>
      <c r="E3" s="11"/>
      <c r="F3" s="11"/>
      <c r="G3" s="12"/>
      <c r="H3" s="11" t="s">
        <v>1020</v>
      </c>
    </row>
    <row r="4" spans="1:8">
      <c r="A4" s="11" t="s">
        <v>268</v>
      </c>
      <c r="B4" s="11" t="s">
        <v>402</v>
      </c>
      <c r="C4" s="11">
        <v>1</v>
      </c>
      <c r="D4" s="11">
        <v>1</v>
      </c>
      <c r="E4" s="11" t="s">
        <v>1021</v>
      </c>
      <c r="F4" s="11" t="s">
        <v>1021</v>
      </c>
      <c r="G4" s="12">
        <v>28.6</v>
      </c>
      <c r="H4" s="11" t="s">
        <v>1022</v>
      </c>
    </row>
    <row r="5" spans="1:8">
      <c r="A5" s="11" t="s">
        <v>268</v>
      </c>
      <c r="B5" s="11" t="s">
        <v>436</v>
      </c>
      <c r="C5" s="11">
        <v>1</v>
      </c>
      <c r="D5" s="11">
        <v>1</v>
      </c>
      <c r="E5" s="11" t="s">
        <v>1021</v>
      </c>
      <c r="F5" s="11" t="s">
        <v>1021</v>
      </c>
      <c r="G5" s="12">
        <v>28.6</v>
      </c>
      <c r="H5" s="11" t="s">
        <v>1022</v>
      </c>
    </row>
    <row r="6" spans="1:8">
      <c r="A6" s="11" t="s">
        <v>268</v>
      </c>
      <c r="B6" s="11" t="s">
        <v>472</v>
      </c>
      <c r="C6" s="11">
        <v>1</v>
      </c>
      <c r="D6" s="11">
        <v>1</v>
      </c>
      <c r="E6" s="11" t="s">
        <v>1021</v>
      </c>
      <c r="F6" s="11" t="s">
        <v>1021</v>
      </c>
      <c r="G6" s="12">
        <v>28.6</v>
      </c>
      <c r="H6" s="11" t="s">
        <v>1022</v>
      </c>
    </row>
    <row r="7" spans="1:8" ht="28.5">
      <c r="A7" s="11" t="s">
        <v>268</v>
      </c>
      <c r="B7" s="11" t="s">
        <v>477</v>
      </c>
      <c r="C7" s="11">
        <v>1</v>
      </c>
      <c r="D7" s="11">
        <v>1</v>
      </c>
      <c r="E7" s="11" t="s">
        <v>1021</v>
      </c>
      <c r="F7" s="11" t="s">
        <v>1021</v>
      </c>
      <c r="G7" s="12">
        <v>28.6</v>
      </c>
      <c r="H7" s="11" t="s">
        <v>1022</v>
      </c>
    </row>
    <row r="8" spans="1:8">
      <c r="A8" s="11" t="s">
        <v>268</v>
      </c>
      <c r="B8" s="11" t="s">
        <v>269</v>
      </c>
      <c r="C8" s="11">
        <v>7</v>
      </c>
      <c r="D8" s="11">
        <v>5</v>
      </c>
      <c r="E8" s="11"/>
      <c r="F8" s="11"/>
      <c r="G8" s="12"/>
      <c r="H8" s="11" t="s">
        <v>1020</v>
      </c>
    </row>
    <row r="9" spans="1:8">
      <c r="A9" s="11" t="s">
        <v>268</v>
      </c>
      <c r="B9" s="11" t="s">
        <v>507</v>
      </c>
      <c r="C9" s="11">
        <v>8</v>
      </c>
      <c r="D9" s="11">
        <v>5</v>
      </c>
      <c r="E9" s="11" t="s">
        <v>1021</v>
      </c>
      <c r="F9" s="11" t="s">
        <v>1021</v>
      </c>
      <c r="G9" s="12">
        <v>28.6</v>
      </c>
      <c r="H9" s="11" t="s">
        <v>1022</v>
      </c>
    </row>
    <row r="10" spans="1:8">
      <c r="A10" s="11" t="s">
        <v>268</v>
      </c>
      <c r="B10" s="11" t="s">
        <v>290</v>
      </c>
      <c r="C10" s="11">
        <v>3</v>
      </c>
      <c r="D10" s="11">
        <v>3</v>
      </c>
      <c r="E10" s="11"/>
      <c r="F10" s="11"/>
      <c r="G10" s="12"/>
      <c r="H10" s="11" t="s">
        <v>1020</v>
      </c>
    </row>
    <row r="11" spans="1:8">
      <c r="A11" s="11" t="s">
        <v>268</v>
      </c>
      <c r="B11" s="11" t="s">
        <v>118</v>
      </c>
      <c r="C11" s="11">
        <v>7</v>
      </c>
      <c r="D11" s="11">
        <v>6</v>
      </c>
      <c r="E11" s="11"/>
      <c r="F11" s="11"/>
      <c r="G11" s="12"/>
      <c r="H11" s="11" t="s">
        <v>1020</v>
      </c>
    </row>
    <row r="12" spans="1:8">
      <c r="A12" s="11" t="s">
        <v>268</v>
      </c>
      <c r="B12" s="11" t="s">
        <v>111</v>
      </c>
      <c r="C12" s="11">
        <v>2</v>
      </c>
      <c r="D12" s="11">
        <v>2</v>
      </c>
      <c r="E12" s="11"/>
      <c r="F12" s="11"/>
      <c r="G12" s="12"/>
      <c r="H12" s="11" t="s">
        <v>1020</v>
      </c>
    </row>
    <row r="13" spans="1:8">
      <c r="A13" s="11" t="s">
        <v>268</v>
      </c>
      <c r="B13" s="11" t="s">
        <v>151</v>
      </c>
      <c r="C13" s="11">
        <v>1</v>
      </c>
      <c r="D13" s="11">
        <v>1</v>
      </c>
      <c r="E13" s="11"/>
      <c r="F13" s="11"/>
      <c r="G13" s="12"/>
      <c r="H13" s="11" t="s">
        <v>1020</v>
      </c>
    </row>
    <row r="14" spans="1:8">
      <c r="A14" s="11" t="s">
        <v>209</v>
      </c>
      <c r="B14" s="11" t="s">
        <v>73</v>
      </c>
      <c r="C14" s="11">
        <v>40</v>
      </c>
      <c r="D14" s="11">
        <v>11</v>
      </c>
      <c r="E14" s="11"/>
      <c r="F14" s="11"/>
      <c r="G14" s="12"/>
      <c r="H14" s="11" t="s">
        <v>1020</v>
      </c>
    </row>
    <row r="15" spans="1:8">
      <c r="A15" s="11" t="s">
        <v>194</v>
      </c>
      <c r="B15" s="11" t="s">
        <v>195</v>
      </c>
      <c r="C15" s="11">
        <v>54</v>
      </c>
      <c r="D15" s="11">
        <v>23</v>
      </c>
      <c r="E15" s="11" t="s">
        <v>198</v>
      </c>
      <c r="F15" s="11" t="s">
        <v>1023</v>
      </c>
      <c r="G15" s="12">
        <v>4</v>
      </c>
      <c r="H15" s="11" t="s">
        <v>1022</v>
      </c>
    </row>
    <row r="16" spans="1:8">
      <c r="A16" s="11" t="s">
        <v>194</v>
      </c>
      <c r="B16" s="11" t="s">
        <v>263</v>
      </c>
      <c r="C16" s="11">
        <v>9</v>
      </c>
      <c r="D16" s="11">
        <v>4</v>
      </c>
      <c r="E16" s="11" t="s">
        <v>266</v>
      </c>
      <c r="F16" s="11" t="s">
        <v>266</v>
      </c>
      <c r="G16" s="12">
        <v>5.5</v>
      </c>
      <c r="H16" s="11" t="s">
        <v>1022</v>
      </c>
    </row>
    <row r="17" spans="1:8">
      <c r="A17" s="11" t="s">
        <v>194</v>
      </c>
      <c r="B17" s="11" t="s">
        <v>241</v>
      </c>
      <c r="C17" s="11">
        <v>13</v>
      </c>
      <c r="D17" s="11">
        <v>7</v>
      </c>
      <c r="E17" s="11"/>
      <c r="F17" s="11"/>
      <c r="G17" s="12"/>
      <c r="H17" s="11" t="s">
        <v>1020</v>
      </c>
    </row>
    <row r="18" spans="1:8">
      <c r="A18" s="11" t="s">
        <v>225</v>
      </c>
      <c r="B18" s="11" t="s">
        <v>130</v>
      </c>
      <c r="C18" s="11">
        <v>22</v>
      </c>
      <c r="D18" s="11">
        <v>20</v>
      </c>
      <c r="E18" s="11" t="s">
        <v>228</v>
      </c>
      <c r="F18" s="11" t="s">
        <v>228</v>
      </c>
      <c r="G18" s="12">
        <v>51.74</v>
      </c>
      <c r="H18" s="11" t="s">
        <v>1022</v>
      </c>
    </row>
    <row r="19" spans="1:8" ht="28.5">
      <c r="A19" s="11" t="s">
        <v>225</v>
      </c>
      <c r="B19" s="11" t="s">
        <v>442</v>
      </c>
      <c r="C19" s="11">
        <v>6</v>
      </c>
      <c r="D19" s="11">
        <v>6</v>
      </c>
      <c r="E19" s="11" t="s">
        <v>1024</v>
      </c>
      <c r="F19" s="11" t="s">
        <v>1024</v>
      </c>
      <c r="G19" s="12">
        <v>59.07</v>
      </c>
      <c r="H19" s="11" t="s">
        <v>1022</v>
      </c>
    </row>
    <row r="20" spans="1:8">
      <c r="A20" s="11" t="s">
        <v>225</v>
      </c>
      <c r="B20" s="11" t="s">
        <v>51</v>
      </c>
      <c r="C20" s="11">
        <v>12</v>
      </c>
      <c r="D20" s="11">
        <v>12</v>
      </c>
      <c r="E20" s="11" t="s">
        <v>251</v>
      </c>
      <c r="F20" s="11" t="s">
        <v>251</v>
      </c>
      <c r="G20" s="12"/>
      <c r="H20" s="11" t="s">
        <v>1020</v>
      </c>
    </row>
    <row r="21" spans="1:8">
      <c r="A21" s="11" t="s">
        <v>225</v>
      </c>
      <c r="B21" s="11" t="s">
        <v>236</v>
      </c>
      <c r="C21" s="11">
        <v>17</v>
      </c>
      <c r="D21" s="11">
        <v>9</v>
      </c>
      <c r="E21" s="11" t="s">
        <v>239</v>
      </c>
      <c r="F21" s="11" t="s">
        <v>239</v>
      </c>
      <c r="G21" s="12">
        <v>30</v>
      </c>
      <c r="H21" s="11" t="s">
        <v>1022</v>
      </c>
    </row>
    <row r="22" spans="1:8">
      <c r="A22" s="11" t="s">
        <v>185</v>
      </c>
      <c r="B22" s="11" t="s">
        <v>163</v>
      </c>
      <c r="C22" s="11">
        <v>1</v>
      </c>
      <c r="D22" s="11">
        <v>1</v>
      </c>
      <c r="E22" s="11"/>
      <c r="F22" s="11"/>
      <c r="G22" s="12"/>
      <c r="H22" s="11" t="s">
        <v>1020</v>
      </c>
    </row>
    <row r="23" spans="1:8">
      <c r="A23" s="11" t="s">
        <v>185</v>
      </c>
      <c r="B23" s="11" t="s">
        <v>752</v>
      </c>
      <c r="C23" s="11">
        <v>2</v>
      </c>
      <c r="D23" s="11">
        <v>2</v>
      </c>
      <c r="E23" s="11" t="s">
        <v>1025</v>
      </c>
      <c r="F23" s="11" t="s">
        <v>1025</v>
      </c>
      <c r="G23" s="12">
        <v>2</v>
      </c>
      <c r="H23" s="11" t="s">
        <v>1022</v>
      </c>
    </row>
    <row r="24" spans="1:8">
      <c r="A24" s="11" t="s">
        <v>185</v>
      </c>
      <c r="B24" s="11" t="s">
        <v>63</v>
      </c>
      <c r="C24" s="11">
        <v>117</v>
      </c>
      <c r="D24" s="11">
        <v>30</v>
      </c>
      <c r="E24" s="11" t="s">
        <v>193</v>
      </c>
      <c r="F24" s="11" t="s">
        <v>1026</v>
      </c>
      <c r="G24" s="12">
        <v>5.5</v>
      </c>
      <c r="H24" s="11" t="s">
        <v>1022</v>
      </c>
    </row>
    <row r="25" spans="1:8">
      <c r="A25" s="11" t="s">
        <v>185</v>
      </c>
      <c r="B25" s="11" t="s">
        <v>233</v>
      </c>
      <c r="C25" s="11">
        <v>18</v>
      </c>
      <c r="D25" s="11">
        <v>8</v>
      </c>
      <c r="E25" s="11"/>
      <c r="F25" s="11"/>
      <c r="G25" s="12"/>
      <c r="H25" s="11" t="s">
        <v>1020</v>
      </c>
    </row>
    <row r="26" spans="1:8">
      <c r="A26" s="11" t="s">
        <v>185</v>
      </c>
      <c r="B26" s="11" t="s">
        <v>175</v>
      </c>
      <c r="C26" s="11">
        <v>23</v>
      </c>
      <c r="D26" s="11">
        <v>23</v>
      </c>
      <c r="E26" s="11" t="s">
        <v>1027</v>
      </c>
      <c r="F26" s="11" t="s">
        <v>1027</v>
      </c>
      <c r="G26" s="12">
        <v>1</v>
      </c>
      <c r="H26" s="11" t="s">
        <v>1022</v>
      </c>
    </row>
    <row r="27" spans="1:8">
      <c r="A27" s="11" t="s">
        <v>185</v>
      </c>
      <c r="B27" s="11" t="s">
        <v>293</v>
      </c>
      <c r="C27" s="11">
        <v>3</v>
      </c>
      <c r="D27" s="11">
        <v>3</v>
      </c>
      <c r="E27" s="11"/>
      <c r="F27" s="11"/>
      <c r="G27" s="12"/>
      <c r="H27" s="11" t="s">
        <v>1020</v>
      </c>
    </row>
    <row r="28" spans="1:8">
      <c r="A28" s="11" t="s">
        <v>185</v>
      </c>
      <c r="B28" s="11" t="s">
        <v>664</v>
      </c>
      <c r="C28" s="11">
        <v>5</v>
      </c>
      <c r="D28" s="11">
        <v>4</v>
      </c>
      <c r="E28" s="11" t="s">
        <v>1028</v>
      </c>
      <c r="F28" s="11" t="s">
        <v>1028</v>
      </c>
      <c r="G28" s="12">
        <v>5</v>
      </c>
      <c r="H28" s="11" t="s">
        <v>1022</v>
      </c>
    </row>
    <row r="29" spans="1:8">
      <c r="A29" s="11" t="s">
        <v>185</v>
      </c>
      <c r="B29" s="11" t="s">
        <v>253</v>
      </c>
      <c r="C29" s="11">
        <v>12</v>
      </c>
      <c r="D29" s="11">
        <v>12</v>
      </c>
      <c r="E29" s="11" t="s">
        <v>256</v>
      </c>
      <c r="F29" s="11" t="s">
        <v>256</v>
      </c>
      <c r="G29" s="12"/>
      <c r="H29" s="11" t="s">
        <v>1020</v>
      </c>
    </row>
    <row r="30" spans="1:8" ht="28.5">
      <c r="A30" s="11" t="s">
        <v>185</v>
      </c>
      <c r="B30" s="11" t="s">
        <v>802</v>
      </c>
      <c r="C30" s="11">
        <v>4</v>
      </c>
      <c r="D30" s="11">
        <v>4</v>
      </c>
      <c r="E30" s="11" t="s">
        <v>1028</v>
      </c>
      <c r="F30" s="11" t="s">
        <v>1028</v>
      </c>
      <c r="G30" s="12">
        <v>5</v>
      </c>
      <c r="H30" s="11" t="s">
        <v>1022</v>
      </c>
    </row>
    <row r="31" spans="1:8">
      <c r="A31" s="11" t="s">
        <v>185</v>
      </c>
      <c r="B31" s="11" t="s">
        <v>769</v>
      </c>
      <c r="C31" s="11">
        <v>1</v>
      </c>
      <c r="D31" s="11">
        <v>1</v>
      </c>
      <c r="E31" s="11" t="s">
        <v>1029</v>
      </c>
      <c r="F31" s="11" t="s">
        <v>1029</v>
      </c>
      <c r="G31" s="12">
        <v>8.5</v>
      </c>
      <c r="H31" s="11" t="s">
        <v>1022</v>
      </c>
    </row>
    <row r="32" spans="1:8">
      <c r="A32" s="11" t="s">
        <v>185</v>
      </c>
      <c r="B32" s="11" t="s">
        <v>690</v>
      </c>
      <c r="C32" s="11">
        <v>1</v>
      </c>
      <c r="D32" s="11">
        <v>1</v>
      </c>
      <c r="E32" s="11" t="s">
        <v>1028</v>
      </c>
      <c r="F32" s="11" t="s">
        <v>1028</v>
      </c>
      <c r="G32" s="12">
        <v>5</v>
      </c>
      <c r="H32" s="11" t="s">
        <v>1022</v>
      </c>
    </row>
    <row r="33" spans="1:8">
      <c r="A33" s="11" t="s">
        <v>185</v>
      </c>
      <c r="B33" s="11" t="s">
        <v>277</v>
      </c>
      <c r="C33" s="11">
        <v>4</v>
      </c>
      <c r="D33" s="11">
        <v>4</v>
      </c>
      <c r="E33" s="11" t="s">
        <v>280</v>
      </c>
      <c r="F33" s="11" t="s">
        <v>280</v>
      </c>
      <c r="G33" s="12">
        <v>5</v>
      </c>
      <c r="H33" s="11" t="s">
        <v>1022</v>
      </c>
    </row>
    <row r="34" spans="1:8">
      <c r="A34" s="11" t="s">
        <v>185</v>
      </c>
      <c r="B34" s="11" t="s">
        <v>670</v>
      </c>
      <c r="C34" s="11">
        <v>5</v>
      </c>
      <c r="D34" s="11">
        <v>5</v>
      </c>
      <c r="E34" s="11" t="s">
        <v>1028</v>
      </c>
      <c r="F34" s="11" t="s">
        <v>1028</v>
      </c>
      <c r="G34" s="12">
        <v>5</v>
      </c>
      <c r="H34" s="11" t="s">
        <v>1022</v>
      </c>
    </row>
    <row r="35" spans="1:8">
      <c r="A35" s="11" t="s">
        <v>185</v>
      </c>
      <c r="B35" s="11" t="s">
        <v>282</v>
      </c>
      <c r="C35" s="11">
        <v>4</v>
      </c>
      <c r="D35" s="11">
        <v>4</v>
      </c>
      <c r="E35" s="11"/>
      <c r="F35" s="11"/>
      <c r="G35" s="12"/>
      <c r="H35" s="11" t="s">
        <v>1020</v>
      </c>
    </row>
    <row r="36" spans="1:8">
      <c r="A36" s="11" t="s">
        <v>185</v>
      </c>
      <c r="B36" s="11" t="s">
        <v>408</v>
      </c>
      <c r="C36" s="11">
        <v>3</v>
      </c>
      <c r="D36" s="11">
        <v>3</v>
      </c>
      <c r="E36" s="11" t="s">
        <v>1028</v>
      </c>
      <c r="F36" s="11" t="s">
        <v>1028</v>
      </c>
      <c r="G36" s="12">
        <v>5</v>
      </c>
      <c r="H36" s="11" t="s">
        <v>1022</v>
      </c>
    </row>
    <row r="37" spans="1:8">
      <c r="A37" s="11" t="s">
        <v>185</v>
      </c>
      <c r="B37" s="11" t="s">
        <v>311</v>
      </c>
      <c r="C37" s="11">
        <v>1</v>
      </c>
      <c r="D37" s="11">
        <v>1</v>
      </c>
      <c r="E37" s="11"/>
      <c r="F37" s="11"/>
      <c r="G37" s="12"/>
      <c r="H37" s="11" t="s">
        <v>1020</v>
      </c>
    </row>
    <row r="38" spans="1:8" ht="28.5">
      <c r="A38" s="11" t="s">
        <v>185</v>
      </c>
      <c r="B38" s="11" t="s">
        <v>43</v>
      </c>
      <c r="C38" s="11">
        <v>37</v>
      </c>
      <c r="D38" s="11">
        <v>27</v>
      </c>
      <c r="E38" s="11" t="s">
        <v>214</v>
      </c>
      <c r="F38" s="11" t="s">
        <v>214</v>
      </c>
      <c r="G38" s="12"/>
      <c r="H38" s="11" t="s">
        <v>1030</v>
      </c>
    </row>
    <row r="39" spans="1:8">
      <c r="A39" s="11" t="s">
        <v>185</v>
      </c>
      <c r="B39" s="11" t="s">
        <v>726</v>
      </c>
      <c r="C39" s="11">
        <v>1</v>
      </c>
      <c r="D39" s="11">
        <v>1</v>
      </c>
      <c r="E39" s="11" t="s">
        <v>1029</v>
      </c>
      <c r="F39" s="11" t="s">
        <v>1029</v>
      </c>
      <c r="G39" s="12">
        <v>8.5</v>
      </c>
      <c r="H39" s="11" t="s">
        <v>1022</v>
      </c>
    </row>
    <row r="40" spans="1:8">
      <c r="A40" s="11" t="s">
        <v>185</v>
      </c>
      <c r="B40" s="11" t="s">
        <v>758</v>
      </c>
      <c r="C40" s="11">
        <v>1</v>
      </c>
      <c r="D40" s="11">
        <v>1</v>
      </c>
      <c r="E40" s="11" t="s">
        <v>1029</v>
      </c>
      <c r="F40" s="11" t="s">
        <v>1029</v>
      </c>
      <c r="G40" s="12">
        <v>8.5</v>
      </c>
      <c r="H40" s="11" t="s">
        <v>1022</v>
      </c>
    </row>
    <row r="41" spans="1:8">
      <c r="A41" s="11" t="s">
        <v>185</v>
      </c>
      <c r="B41" s="11" t="s">
        <v>811</v>
      </c>
      <c r="C41" s="11">
        <v>2</v>
      </c>
      <c r="D41" s="11">
        <v>2</v>
      </c>
      <c r="E41" s="11" t="s">
        <v>1028</v>
      </c>
      <c r="F41" s="11" t="s">
        <v>1028</v>
      </c>
      <c r="G41" s="12">
        <v>5</v>
      </c>
      <c r="H41" s="11" t="s">
        <v>1022</v>
      </c>
    </row>
    <row r="42" spans="1:8">
      <c r="A42" s="11" t="s">
        <v>185</v>
      </c>
      <c r="B42" s="11" t="s">
        <v>301</v>
      </c>
      <c r="C42" s="11">
        <v>2</v>
      </c>
      <c r="D42" s="11">
        <v>2</v>
      </c>
      <c r="E42" s="11"/>
      <c r="F42" s="11"/>
      <c r="G42" s="12"/>
      <c r="H42" s="11" t="s">
        <v>1020</v>
      </c>
    </row>
    <row r="43" spans="1:8">
      <c r="A43" s="11" t="s">
        <v>185</v>
      </c>
      <c r="B43" s="11" t="s">
        <v>413</v>
      </c>
      <c r="C43" s="11">
        <v>2</v>
      </c>
      <c r="D43" s="11">
        <v>2</v>
      </c>
      <c r="E43" s="11" t="s">
        <v>1028</v>
      </c>
      <c r="F43" s="11" t="s">
        <v>1028</v>
      </c>
      <c r="G43" s="12">
        <v>5</v>
      </c>
      <c r="H43" s="11" t="s">
        <v>1022</v>
      </c>
    </row>
    <row r="44" spans="1:8">
      <c r="A44" s="11" t="s">
        <v>185</v>
      </c>
      <c r="B44" s="11" t="s">
        <v>487</v>
      </c>
      <c r="C44" s="11">
        <v>2</v>
      </c>
      <c r="D44" s="11">
        <v>2</v>
      </c>
      <c r="E44" s="11" t="s">
        <v>1028</v>
      </c>
      <c r="F44" s="11" t="s">
        <v>1028</v>
      </c>
      <c r="G44" s="12">
        <v>5</v>
      </c>
      <c r="H44" s="11" t="s">
        <v>1022</v>
      </c>
    </row>
    <row r="45" spans="1:8">
      <c r="A45" s="11" t="s">
        <v>185</v>
      </c>
      <c r="B45" s="11" t="s">
        <v>387</v>
      </c>
      <c r="C45" s="11">
        <v>8</v>
      </c>
      <c r="D45" s="11">
        <v>8</v>
      </c>
      <c r="E45" s="11" t="s">
        <v>1031</v>
      </c>
      <c r="F45" s="11" t="s">
        <v>1031</v>
      </c>
      <c r="G45" s="12">
        <v>3</v>
      </c>
      <c r="H45" s="11" t="s">
        <v>1022</v>
      </c>
    </row>
    <row r="46" spans="1:8">
      <c r="A46" s="11" t="s">
        <v>185</v>
      </c>
      <c r="B46" s="11" t="s">
        <v>645</v>
      </c>
      <c r="C46" s="11">
        <v>9</v>
      </c>
      <c r="D46" s="11">
        <v>7</v>
      </c>
      <c r="E46" s="11" t="s">
        <v>1032</v>
      </c>
      <c r="F46" s="11" t="s">
        <v>1032</v>
      </c>
      <c r="G46" s="12">
        <v>4</v>
      </c>
      <c r="H46" s="11" t="s">
        <v>1022</v>
      </c>
    </row>
    <row r="47" spans="1:8">
      <c r="A47" s="11" t="s">
        <v>185</v>
      </c>
      <c r="B47" s="11" t="s">
        <v>739</v>
      </c>
      <c r="C47" s="11">
        <v>2</v>
      </c>
      <c r="D47" s="11">
        <v>2</v>
      </c>
      <c r="E47" s="11" t="s">
        <v>1028</v>
      </c>
      <c r="F47" s="11" t="s">
        <v>1028</v>
      </c>
      <c r="G47" s="12">
        <v>5</v>
      </c>
      <c r="H47" s="11" t="s">
        <v>1022</v>
      </c>
    </row>
    <row r="48" spans="1:8">
      <c r="A48" s="11" t="s">
        <v>185</v>
      </c>
      <c r="B48" s="11" t="s">
        <v>418</v>
      </c>
      <c r="C48" s="11">
        <v>2</v>
      </c>
      <c r="D48" s="11">
        <v>2</v>
      </c>
      <c r="E48" s="11" t="s">
        <v>1028</v>
      </c>
      <c r="F48" s="11" t="s">
        <v>1028</v>
      </c>
      <c r="G48" s="12">
        <v>5</v>
      </c>
      <c r="H48" s="11" t="s">
        <v>1022</v>
      </c>
    </row>
    <row r="49" spans="1:8">
      <c r="A49" s="11" t="s">
        <v>185</v>
      </c>
      <c r="B49" s="11" t="s">
        <v>314</v>
      </c>
      <c r="C49" s="11">
        <v>1</v>
      </c>
      <c r="D49" s="11">
        <v>1</v>
      </c>
      <c r="E49" s="11"/>
      <c r="F49" s="11"/>
      <c r="G49" s="12"/>
      <c r="H49" s="11" t="s">
        <v>1020</v>
      </c>
    </row>
    <row r="50" spans="1:8">
      <c r="A50" s="11" t="s">
        <v>185</v>
      </c>
      <c r="B50" s="11" t="s">
        <v>200</v>
      </c>
      <c r="C50" s="11">
        <v>51</v>
      </c>
      <c r="D50" s="11">
        <v>21</v>
      </c>
      <c r="E50" s="11" t="s">
        <v>203</v>
      </c>
      <c r="F50" s="11" t="s">
        <v>203</v>
      </c>
      <c r="G50" s="12">
        <v>13.5</v>
      </c>
      <c r="H50" s="11" t="s">
        <v>1022</v>
      </c>
    </row>
    <row r="51" spans="1:8" ht="28.5">
      <c r="A51" s="11" t="s">
        <v>185</v>
      </c>
      <c r="B51" s="11" t="s">
        <v>274</v>
      </c>
      <c r="C51" s="11">
        <v>6</v>
      </c>
      <c r="D51" s="11">
        <v>4</v>
      </c>
      <c r="E51" s="11"/>
      <c r="F51" s="11"/>
      <c r="G51" s="12"/>
      <c r="H51" s="11" t="s">
        <v>1020</v>
      </c>
    </row>
    <row r="52" spans="1:8">
      <c r="A52" s="11" t="s">
        <v>185</v>
      </c>
      <c r="B52" s="11" t="s">
        <v>220</v>
      </c>
      <c r="C52" s="11">
        <v>28</v>
      </c>
      <c r="D52" s="11">
        <v>22</v>
      </c>
      <c r="E52" s="11" t="s">
        <v>223</v>
      </c>
      <c r="F52" s="11" t="s">
        <v>223</v>
      </c>
      <c r="G52" s="12">
        <v>3</v>
      </c>
      <c r="H52" s="11" t="s">
        <v>1022</v>
      </c>
    </row>
    <row r="53" spans="1:8">
      <c r="A53" s="11" t="s">
        <v>185</v>
      </c>
      <c r="B53" s="11" t="s">
        <v>258</v>
      </c>
      <c r="C53" s="11">
        <v>12</v>
      </c>
      <c r="D53" s="11">
        <v>12</v>
      </c>
      <c r="E53" s="11" t="s">
        <v>261</v>
      </c>
      <c r="F53" s="11" t="s">
        <v>261</v>
      </c>
      <c r="G53" s="12">
        <v>3</v>
      </c>
      <c r="H53" s="11" t="s">
        <v>1022</v>
      </c>
    </row>
    <row r="54" spans="1:8">
      <c r="A54" s="11" t="s">
        <v>185</v>
      </c>
      <c r="B54" s="11" t="s">
        <v>285</v>
      </c>
      <c r="C54" s="11">
        <v>4</v>
      </c>
      <c r="D54" s="11">
        <v>3</v>
      </c>
      <c r="E54" s="11" t="s">
        <v>288</v>
      </c>
      <c r="F54" s="11" t="s">
        <v>288</v>
      </c>
      <c r="G54" s="12">
        <v>3</v>
      </c>
      <c r="H54" s="11" t="s">
        <v>1022</v>
      </c>
    </row>
    <row r="55" spans="1:8">
      <c r="A55" s="11" t="s">
        <v>185</v>
      </c>
      <c r="B55" s="11" t="s">
        <v>558</v>
      </c>
      <c r="C55" s="11">
        <v>1</v>
      </c>
      <c r="D55" s="11">
        <v>1</v>
      </c>
      <c r="E55" s="11" t="s">
        <v>1031</v>
      </c>
      <c r="F55" s="11" t="s">
        <v>1031</v>
      </c>
      <c r="G55" s="12">
        <v>3</v>
      </c>
      <c r="H55" s="11" t="s">
        <v>1022</v>
      </c>
    </row>
    <row r="56" spans="1:8">
      <c r="A56" s="11" t="s">
        <v>185</v>
      </c>
      <c r="B56" s="11" t="s">
        <v>563</v>
      </c>
      <c r="C56" s="11">
        <v>2</v>
      </c>
      <c r="D56" s="11">
        <v>2</v>
      </c>
      <c r="E56" s="11" t="s">
        <v>1031</v>
      </c>
      <c r="F56" s="11" t="s">
        <v>1031</v>
      </c>
      <c r="G56" s="12">
        <v>3</v>
      </c>
      <c r="H56" s="11" t="s">
        <v>1022</v>
      </c>
    </row>
    <row r="57" spans="1:8">
      <c r="A57" s="11" t="s">
        <v>185</v>
      </c>
      <c r="B57" s="11" t="s">
        <v>820</v>
      </c>
      <c r="C57" s="11">
        <v>4</v>
      </c>
      <c r="D57" s="11">
        <v>4</v>
      </c>
      <c r="E57" s="11" t="s">
        <v>1028</v>
      </c>
      <c r="F57" s="11" t="s">
        <v>1028</v>
      </c>
      <c r="G57" s="12">
        <v>5</v>
      </c>
      <c r="H57" s="11" t="s">
        <v>1022</v>
      </c>
    </row>
    <row r="58" spans="1:8">
      <c r="A58" s="11" t="s">
        <v>185</v>
      </c>
      <c r="B58" s="11" t="s">
        <v>778</v>
      </c>
      <c r="C58" s="11">
        <v>1</v>
      </c>
      <c r="D58" s="11">
        <v>1</v>
      </c>
      <c r="E58" s="11" t="s">
        <v>1028</v>
      </c>
      <c r="F58" s="11" t="s">
        <v>1028</v>
      </c>
      <c r="G58" s="12">
        <v>5</v>
      </c>
      <c r="H58" s="11" t="s">
        <v>1022</v>
      </c>
    </row>
    <row r="59" spans="1:8">
      <c r="A59" s="11" t="s">
        <v>185</v>
      </c>
      <c r="B59" s="11" t="s">
        <v>362</v>
      </c>
      <c r="C59" s="11">
        <v>2</v>
      </c>
      <c r="D59" s="11">
        <v>2</v>
      </c>
      <c r="E59" s="11" t="s">
        <v>1031</v>
      </c>
      <c r="F59" s="11" t="s">
        <v>1031</v>
      </c>
      <c r="G59" s="12">
        <v>3</v>
      </c>
      <c r="H59" s="11" t="s">
        <v>1022</v>
      </c>
    </row>
    <row r="60" spans="1:8">
      <c r="A60" s="11" t="s">
        <v>185</v>
      </c>
      <c r="B60" s="11" t="s">
        <v>825</v>
      </c>
      <c r="C60" s="11">
        <v>4</v>
      </c>
      <c r="D60" s="11">
        <v>4</v>
      </c>
      <c r="E60" s="11" t="s">
        <v>1028</v>
      </c>
      <c r="F60" s="11" t="s">
        <v>1028</v>
      </c>
      <c r="G60" s="12">
        <v>5</v>
      </c>
      <c r="H60" s="11" t="s">
        <v>1022</v>
      </c>
    </row>
    <row r="61" spans="1:8">
      <c r="A61" s="11" t="s">
        <v>185</v>
      </c>
      <c r="B61" s="11" t="s">
        <v>368</v>
      </c>
      <c r="C61" s="11">
        <v>8</v>
      </c>
      <c r="D61" s="11">
        <v>8</v>
      </c>
      <c r="E61" s="11" t="s">
        <v>1031</v>
      </c>
      <c r="F61" s="11" t="s">
        <v>1031</v>
      </c>
      <c r="G61" s="12">
        <v>3</v>
      </c>
      <c r="H61" s="11" t="s">
        <v>1022</v>
      </c>
    </row>
    <row r="62" spans="1:8">
      <c r="A62" s="11" t="s">
        <v>185</v>
      </c>
      <c r="B62" s="11" t="s">
        <v>590</v>
      </c>
      <c r="C62" s="11">
        <v>1</v>
      </c>
      <c r="D62" s="11">
        <v>1</v>
      </c>
      <c r="E62" s="11" t="s">
        <v>1028</v>
      </c>
      <c r="F62" s="11" t="s">
        <v>1028</v>
      </c>
      <c r="G62" s="12">
        <v>5</v>
      </c>
      <c r="H62" s="11" t="s">
        <v>1022</v>
      </c>
    </row>
    <row r="63" spans="1:8">
      <c r="A63" s="11" t="s">
        <v>185</v>
      </c>
      <c r="B63" s="11" t="s">
        <v>783</v>
      </c>
      <c r="C63" s="11">
        <v>1</v>
      </c>
      <c r="D63" s="11">
        <v>1</v>
      </c>
      <c r="E63" s="11" t="s">
        <v>1029</v>
      </c>
      <c r="F63" s="11" t="s">
        <v>1029</v>
      </c>
      <c r="G63" s="12">
        <v>8.5</v>
      </c>
      <c r="H63" s="11" t="s">
        <v>1022</v>
      </c>
    </row>
    <row r="64" spans="1:8">
      <c r="A64" s="11" t="s">
        <v>185</v>
      </c>
      <c r="B64" s="11" t="s">
        <v>186</v>
      </c>
      <c r="C64" s="11">
        <v>138</v>
      </c>
      <c r="D64" s="11">
        <v>41</v>
      </c>
      <c r="E64" s="11" t="s">
        <v>189</v>
      </c>
      <c r="F64" s="11" t="s">
        <v>189</v>
      </c>
      <c r="G64" s="12"/>
      <c r="H64" s="11" t="s">
        <v>1020</v>
      </c>
    </row>
    <row r="65" spans="1:8" ht="28.5">
      <c r="A65" s="11" t="s">
        <v>185</v>
      </c>
      <c r="B65" s="11" t="s">
        <v>839</v>
      </c>
      <c r="C65" s="11">
        <v>12</v>
      </c>
      <c r="D65" s="11">
        <v>4</v>
      </c>
      <c r="E65" s="11" t="s">
        <v>1031</v>
      </c>
      <c r="F65" s="11" t="s">
        <v>1031</v>
      </c>
      <c r="G65" s="12">
        <v>3</v>
      </c>
      <c r="H65" s="11" t="s">
        <v>1022</v>
      </c>
    </row>
    <row r="66" spans="1:8">
      <c r="A66" s="11" t="s">
        <v>185</v>
      </c>
      <c r="B66" s="11" t="s">
        <v>215</v>
      </c>
      <c r="C66" s="11">
        <v>30</v>
      </c>
      <c r="D66" s="11">
        <v>15</v>
      </c>
      <c r="E66" s="11" t="s">
        <v>218</v>
      </c>
      <c r="F66" s="11" t="s">
        <v>218</v>
      </c>
      <c r="G66" s="12">
        <v>3</v>
      </c>
      <c r="H66" s="11" t="s">
        <v>1022</v>
      </c>
    </row>
    <row r="67" spans="1:8">
      <c r="A67" s="11" t="s">
        <v>185</v>
      </c>
      <c r="B67" s="11" t="s">
        <v>244</v>
      </c>
      <c r="C67" s="11">
        <v>13</v>
      </c>
      <c r="D67" s="11">
        <v>13</v>
      </c>
      <c r="E67" s="11" t="s">
        <v>247</v>
      </c>
      <c r="F67" s="11" t="s">
        <v>247</v>
      </c>
      <c r="G67" s="12">
        <v>4</v>
      </c>
      <c r="H67" s="11" t="s">
        <v>1022</v>
      </c>
    </row>
    <row r="68" spans="1:8">
      <c r="A68" s="11" t="s">
        <v>185</v>
      </c>
      <c r="B68" s="11" t="s">
        <v>304</v>
      </c>
      <c r="C68" s="11">
        <v>2</v>
      </c>
      <c r="D68" s="11">
        <v>2</v>
      </c>
      <c r="E68" s="11"/>
      <c r="F68" s="11"/>
      <c r="G68" s="12"/>
      <c r="H68" s="11" t="s">
        <v>1020</v>
      </c>
    </row>
    <row r="69" spans="1:8">
      <c r="A69" s="11" t="s">
        <v>185</v>
      </c>
      <c r="B69" s="11" t="s">
        <v>493</v>
      </c>
      <c r="C69" s="11">
        <v>6</v>
      </c>
      <c r="D69" s="11">
        <v>6</v>
      </c>
      <c r="E69" s="11" t="s">
        <v>1028</v>
      </c>
      <c r="F69" s="11" t="s">
        <v>1028</v>
      </c>
      <c r="G69" s="12">
        <v>5</v>
      </c>
      <c r="H69" s="11" t="s">
        <v>1022</v>
      </c>
    </row>
    <row r="70" spans="1:8">
      <c r="A70" s="11" t="s">
        <v>185</v>
      </c>
      <c r="B70" s="11" t="s">
        <v>699</v>
      </c>
      <c r="C70" s="11">
        <v>2</v>
      </c>
      <c r="D70" s="11">
        <v>2</v>
      </c>
      <c r="E70" s="11" t="s">
        <v>1028</v>
      </c>
      <c r="F70" s="11" t="s">
        <v>1028</v>
      </c>
      <c r="G70" s="12">
        <v>5</v>
      </c>
      <c r="H70" s="11" t="s">
        <v>1022</v>
      </c>
    </row>
    <row r="71" spans="1:8">
      <c r="A71" s="11" t="s">
        <v>185</v>
      </c>
      <c r="B71" s="11" t="s">
        <v>576</v>
      </c>
      <c r="C71" s="11">
        <v>3</v>
      </c>
      <c r="D71" s="11">
        <v>3</v>
      </c>
      <c r="E71" s="11" t="s">
        <v>1031</v>
      </c>
      <c r="F71" s="11" t="s">
        <v>1031</v>
      </c>
      <c r="G71" s="12">
        <v>3</v>
      </c>
      <c r="H71" s="11" t="s">
        <v>1022</v>
      </c>
    </row>
    <row r="72" spans="1:8">
      <c r="A72" s="11" t="s">
        <v>185</v>
      </c>
      <c r="B72" s="11" t="s">
        <v>704</v>
      </c>
      <c r="C72" s="11">
        <v>2</v>
      </c>
      <c r="D72" s="11">
        <v>2</v>
      </c>
      <c r="E72" s="11" t="s">
        <v>1028</v>
      </c>
      <c r="F72" s="11" t="s">
        <v>1028</v>
      </c>
      <c r="G72" s="12">
        <v>5</v>
      </c>
      <c r="H72" s="11" t="s">
        <v>1022</v>
      </c>
    </row>
    <row r="73" spans="1:8">
      <c r="A73" s="11" t="s">
        <v>185</v>
      </c>
      <c r="B73" s="11" t="s">
        <v>679</v>
      </c>
      <c r="C73" s="11">
        <v>2</v>
      </c>
      <c r="D73" s="11">
        <v>2</v>
      </c>
      <c r="E73" s="11" t="s">
        <v>1028</v>
      </c>
      <c r="F73" s="11" t="s">
        <v>1028</v>
      </c>
      <c r="G73" s="12">
        <v>5</v>
      </c>
      <c r="H73" s="11" t="s">
        <v>1022</v>
      </c>
    </row>
    <row r="74" spans="1:8">
      <c r="A74" s="11" t="s">
        <v>185</v>
      </c>
      <c r="B74" s="11" t="s">
        <v>392</v>
      </c>
      <c r="C74" s="11">
        <v>2</v>
      </c>
      <c r="D74" s="11">
        <v>2</v>
      </c>
      <c r="E74" s="11" t="s">
        <v>1031</v>
      </c>
      <c r="F74" s="11" t="s">
        <v>1031</v>
      </c>
      <c r="G74" s="12">
        <v>3</v>
      </c>
      <c r="H74" s="11" t="s">
        <v>1022</v>
      </c>
    </row>
    <row r="75" spans="1:8">
      <c r="A75" s="11" t="s">
        <v>185</v>
      </c>
      <c r="B75" s="11" t="s">
        <v>834</v>
      </c>
      <c r="C75" s="11">
        <v>3</v>
      </c>
      <c r="D75" s="11">
        <v>3</v>
      </c>
      <c r="E75" s="11" t="s">
        <v>1028</v>
      </c>
      <c r="F75" s="11" t="s">
        <v>1028</v>
      </c>
      <c r="G75" s="12">
        <v>5</v>
      </c>
      <c r="H75" s="11" t="s">
        <v>1022</v>
      </c>
    </row>
    <row r="76" spans="1:8" ht="28.5">
      <c r="A76" s="11" t="s">
        <v>185</v>
      </c>
      <c r="B76" s="11" t="s">
        <v>79</v>
      </c>
      <c r="C76" s="11">
        <v>19</v>
      </c>
      <c r="D76" s="11">
        <v>4</v>
      </c>
      <c r="E76" s="11" t="s">
        <v>232</v>
      </c>
      <c r="F76" s="11" t="s">
        <v>232</v>
      </c>
      <c r="G76" s="12"/>
      <c r="H76" s="11" t="s">
        <v>1030</v>
      </c>
    </row>
    <row r="77" spans="1:8">
      <c r="A77" s="11" t="s">
        <v>185</v>
      </c>
      <c r="B77" s="11" t="s">
        <v>792</v>
      </c>
      <c r="C77" s="11">
        <v>1</v>
      </c>
      <c r="D77" s="11">
        <v>1</v>
      </c>
      <c r="E77" s="11" t="s">
        <v>1028</v>
      </c>
      <c r="F77" s="11" t="s">
        <v>1028</v>
      </c>
      <c r="G77" s="12">
        <v>5</v>
      </c>
      <c r="H77" s="11" t="s">
        <v>1022</v>
      </c>
    </row>
    <row r="78" spans="1:8">
      <c r="A78" s="11" t="s">
        <v>185</v>
      </c>
      <c r="B78" s="11" t="s">
        <v>296</v>
      </c>
      <c r="C78" s="11">
        <v>3</v>
      </c>
      <c r="D78" s="11">
        <v>3</v>
      </c>
      <c r="E78" s="11"/>
      <c r="F78" s="11"/>
      <c r="G78" s="12"/>
      <c r="H78" s="11" t="s">
        <v>1020</v>
      </c>
    </row>
    <row r="79" spans="1:8">
      <c r="A79" s="11" t="s">
        <v>205</v>
      </c>
      <c r="B79" s="11" t="s">
        <v>206</v>
      </c>
      <c r="C79" s="11">
        <v>46</v>
      </c>
      <c r="D79" s="11">
        <v>14</v>
      </c>
      <c r="E79" s="11"/>
      <c r="F79" s="11"/>
      <c r="G79" s="12"/>
      <c r="H79" s="11" t="s">
        <v>1020</v>
      </c>
    </row>
    <row r="80" spans="1:8">
      <c r="A80" s="11" t="s">
        <v>1010</v>
      </c>
      <c r="B80" s="11" t="s">
        <v>1012</v>
      </c>
      <c r="C80" s="11">
        <v>1</v>
      </c>
      <c r="D80" s="11">
        <v>1</v>
      </c>
      <c r="E80" s="11" t="s">
        <v>1031</v>
      </c>
      <c r="F80" s="11" t="s">
        <v>1031</v>
      </c>
      <c r="G80" s="12">
        <v>3</v>
      </c>
      <c r="H80" s="11" t="s">
        <v>1022</v>
      </c>
    </row>
  </sheetData>
  <phoneticPr fontId="7"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
  <sheetViews>
    <sheetView workbookViewId="0"/>
  </sheetViews>
  <sheetFormatPr defaultRowHeight="14.25"/>
  <cols>
    <col min="1" max="1" width="16" customWidth="1"/>
    <col min="2" max="3" width="40" customWidth="1"/>
    <col min="4" max="5" width="16" customWidth="1"/>
    <col min="6" max="6" width="44" customWidth="1"/>
  </cols>
  <sheetData>
    <row r="1" spans="1:6" ht="15">
      <c r="A1" s="15" t="s">
        <v>22</v>
      </c>
      <c r="B1" s="15" t="s">
        <v>1033</v>
      </c>
      <c r="C1" s="15" t="s">
        <v>24</v>
      </c>
      <c r="D1" s="15" t="s">
        <v>321</v>
      </c>
      <c r="E1" s="15" t="s">
        <v>322</v>
      </c>
      <c r="F1" s="15" t="s">
        <v>1034</v>
      </c>
    </row>
  </sheetData>
  <phoneticPr fontId="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8"/>
  <sheetViews>
    <sheetView workbookViewId="0"/>
  </sheetViews>
  <sheetFormatPr defaultRowHeight="14.25"/>
  <cols>
    <col min="1" max="1" width="16" customWidth="1"/>
    <col min="2" max="3" width="42" customWidth="1"/>
    <col min="4" max="5" width="16" customWidth="1"/>
    <col min="6" max="6" width="48" customWidth="1"/>
  </cols>
  <sheetData>
    <row r="1" spans="1:6" ht="15">
      <c r="A1" s="15" t="s">
        <v>22</v>
      </c>
      <c r="B1" s="15" t="s">
        <v>1033</v>
      </c>
      <c r="C1" s="15" t="s">
        <v>24</v>
      </c>
      <c r="D1" s="15" t="s">
        <v>321</v>
      </c>
      <c r="E1" s="15" t="s">
        <v>322</v>
      </c>
      <c r="F1" s="15" t="s">
        <v>1035</v>
      </c>
    </row>
    <row r="2" spans="1:6">
      <c r="A2" t="s">
        <v>1036</v>
      </c>
      <c r="B2" t="s">
        <v>1037</v>
      </c>
      <c r="C2" t="s">
        <v>1038</v>
      </c>
      <c r="D2" s="3">
        <v>0</v>
      </c>
      <c r="E2" s="3">
        <v>10</v>
      </c>
      <c r="F2" t="s">
        <v>1039</v>
      </c>
    </row>
    <row r="3" spans="1:6">
      <c r="A3" t="s">
        <v>1040</v>
      </c>
      <c r="B3" t="s">
        <v>1041</v>
      </c>
      <c r="C3" t="s">
        <v>1038</v>
      </c>
      <c r="D3" s="3">
        <v>0</v>
      </c>
      <c r="E3" s="3">
        <v>15</v>
      </c>
      <c r="F3" t="s">
        <v>1039</v>
      </c>
    </row>
    <row r="4" spans="1:6">
      <c r="A4" t="s">
        <v>1042</v>
      </c>
      <c r="B4" t="s">
        <v>1043</v>
      </c>
      <c r="C4" t="s">
        <v>1038</v>
      </c>
      <c r="D4" s="3">
        <v>0</v>
      </c>
      <c r="E4" s="3">
        <v>15</v>
      </c>
      <c r="F4" t="s">
        <v>1039</v>
      </c>
    </row>
    <row r="5" spans="1:6">
      <c r="A5" t="s">
        <v>1044</v>
      </c>
      <c r="B5" t="s">
        <v>1045</v>
      </c>
      <c r="C5" t="s">
        <v>1046</v>
      </c>
      <c r="D5" s="3">
        <v>25</v>
      </c>
      <c r="E5" s="3">
        <v>29</v>
      </c>
      <c r="F5" t="s">
        <v>1039</v>
      </c>
    </row>
    <row r="6" spans="1:6">
      <c r="A6" t="s">
        <v>1047</v>
      </c>
      <c r="B6" t="s">
        <v>1048</v>
      </c>
      <c r="C6" t="s">
        <v>1046</v>
      </c>
      <c r="D6" s="3">
        <v>15</v>
      </c>
      <c r="E6" s="3">
        <v>15</v>
      </c>
      <c r="F6" t="s">
        <v>1039</v>
      </c>
    </row>
    <row r="7" spans="1:6">
      <c r="A7" t="s">
        <v>1049</v>
      </c>
      <c r="B7" t="s">
        <v>1050</v>
      </c>
      <c r="C7" t="s">
        <v>1046</v>
      </c>
      <c r="D7" s="3">
        <v>20</v>
      </c>
      <c r="E7" s="3">
        <v>20</v>
      </c>
      <c r="F7" t="s">
        <v>1039</v>
      </c>
    </row>
    <row r="8" spans="1:6">
      <c r="A8" t="s">
        <v>1051</v>
      </c>
      <c r="B8" t="s">
        <v>1052</v>
      </c>
      <c r="C8" t="s">
        <v>1046</v>
      </c>
      <c r="D8" s="3">
        <v>0</v>
      </c>
      <c r="E8" s="3">
        <v>15</v>
      </c>
      <c r="F8" t="s">
        <v>1039</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Summary</vt:lpstr>
      <vt:lpstr>Needs Your Input</vt:lpstr>
      <vt:lpstr>Cost To Confirm</vt:lpstr>
      <vt:lpstr>Imported Products</vt:lpstr>
      <vt:lpstr>Cost Cross-check</vt:lpstr>
      <vt:lpstr>Duplicate Audit</vt:lpstr>
      <vt:lpstr>Not Phone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Bevan Miao</cp:lastModifiedBy>
  <dcterms:modified xsi:type="dcterms:W3CDTF">2026-08-18T14:36:17Z</dcterms:modified>
</cp:coreProperties>
</file>