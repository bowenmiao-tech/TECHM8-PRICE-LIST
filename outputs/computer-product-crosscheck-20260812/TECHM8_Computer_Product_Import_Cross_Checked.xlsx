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83bd96a0f48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3528c785f74c8b"/>
    <x:sheet xmlns:r="http://schemas.openxmlformats.org/officeDocument/2006/relationships" name="Cost Review" sheetId="2" r:id="R931937539f814b71"/>
    <x:sheet xmlns:r="http://schemas.openxmlformats.org/officeDocument/2006/relationships" name="Product Review" sheetId="3" r:id="Re16a6329082f440d"/>
    <x:sheet xmlns:r="http://schemas.openxmlformats.org/officeDocument/2006/relationships" name="Missing Images" sheetId="4" r:id="R46279de3ef82488c"/>
    <x:sheet xmlns:r="http://schemas.openxmlformats.org/officeDocument/2006/relationships" name="Classification Rules" sheetId="5" r:id="R4895e670e0524207"/>
    <x:sheet xmlns:r="http://schemas.openxmlformats.org/officeDocument/2006/relationships" name="System Cross Check" sheetId="6" r:id="R0280217ac83e4e2a"/>
    <x:sheet xmlns:r="http://schemas.openxmlformats.org/officeDocument/2006/relationships" name="Similar Name Review" sheetId="7" r:id="Ra9ae81d3b78442c1"/>
  </x:sheets>
</x:workbook>
</file>

<file path=xl/sharedStrings.xml><?xml version="1.0" encoding="utf-8"?>
<x:sst xmlns:x="http://schemas.openxmlformats.org/spreadsheetml/2006/main">
  <x:si>
    <x:t xml:space="preserve">TECHM8 Computer Product Import Review</x:t>
  </x:si>
  <x:si>
    <x:t xml:space="preserve">Overall review status</x:t>
  </x:si>
  <x:si>
    <x:t xml:space="preserve">PENDING</x:t>
  </x:si>
  <x:si>
    <x:t xml:space="preserve">Set the status to APPROVED only after every cost, retail warning and missing image has been corrected.</x:t>
  </x:si>
  <x:si>
    <x:t xml:space="preserve">Metric</x:t>
  </x:si>
  <x:si>
    <x:t xml:space="preserve">Value</x:t>
  </x:si>
  <x:si>
    <x:t xml:space="preserve">How to complete this review</x:t>
  </x:si>
  <x:si>
    <x:t xml:space="preserve">Source products</x:t>
  </x:si>
  <x:si>
    <x:t xml:space="preserve">1. In Cost Review, correct every yellow Final Cost and Final Retail value. A zero cost blocks import.</x:t>
  </x:si>
  <x:si>
    <x:t xml:space="preserve">2. In Product Review, check the yellow POS Product Name and Brand columns.</x:t>
  </x:si>
  <x:si>
    <x:t xml:space="preserve">Existing POS products retained</x:t>
  </x:si>
  <x:si>
    <x:t xml:space="preserve">3. For rows marked MISSING, paste the correct main image URL into the yellow Image URL column.</x:t>
  </x:si>
  <x:si>
    <x:t xml:space="preserve">4. Do not change Item ID, POS SKU or Barcode; these preserve matching and uniqueness.</x:t>
  </x:si>
  <x:si>
    <x:t xml:space="preserve">Final costs still missing</x:t>
  </x:si>
  <x:si>
    <x:t xml:space="preserve">5. All store and online inventory starts at zero; zero stock still allows checkout.</x:t>
  </x:si>
  <x:si>
    <x:t xml:space="preserve">Missing product images</x:t>
  </x:si>
  <x:si>
    <x:t xml:space="preserve">6. Set Overall review status to APPROVED only when the sheet is complete, then return this workbook.</x:t>
  </x:si>
  <x:si>
    <x:t xml:space="preserve">Generated or changed SKUs</x:t>
  </x:si>
  <x:si>
    <x:t xml:space="preserve">Retail price warnings</x:t>
  </x:si>
  <x:si>
    <x:t xml:space="preserve">Ready after approval</x:t>
  </x:si>
  <x:si>
    <x:t xml:space="preserve">No database records are changed by this workbook. Import begins only after the corrected workbook is returned and approved.</x:t>
  </x:si>
  <x:si>
    <x:t xml:space="preserve">Item ID</x:t>
  </x:si>
  <x:si>
    <x:t xml:space="preserve">POS SKU</x:t>
  </x:si>
  <x:si>
    <x:t xml:space="preserve">POS Product Name</x:t>
  </x:si>
  <x:si>
    <x:t xml:space="preserve">Brand</x:t>
  </x:si>
  <x:si>
    <x:t xml:space="preserve">POS Main Category</x:t>
  </x:si>
  <x:si>
    <x:t xml:space="preserve">POS Subcategory</x:t>
  </x:si>
  <x:si>
    <x:t xml:space="preserve">Source Cost</x:t>
  </x:si>
  <x:si>
    <x:t xml:space="preserve">Final Cost (EDIT)</x:t>
  </x:si>
  <x:si>
    <x:t xml:space="preserve">Source Retail</x:t>
  </x:si>
  <x:si>
    <x:t xml:space="preserve">Final Retail (EDIT)</x:t>
  </x:si>
  <x:si>
    <x:t xml:space="preserve">Cost Status</x:t>
  </x:si>
  <x:si>
    <x:t xml:space="preserve">Retail Status</x:t>
  </x:si>
  <x:si>
    <x:t xml:space="preserve">Image Status</x:t>
  </x:si>
  <x:si>
    <x:t xml:space="preserve">Review Notes</x:t>
  </x:si>
  <x:si>
    <x:t xml:space="preserve">11270</x:t>
  </x:si>
  <x:si>
    <x:t xml:space="preserve">DP to HDMI 2.1 8K 2 Meters</x:t>
  </x:si>
  <x:si>
    <x:t xml:space="preserve">OZTECHM8</x:t>
  </x:si>
  <x:si>
    <x:t xml:space="preserve">Cables &amp; Adapters</x:t>
  </x:si>
  <x:si>
    <x:t xml:space="preserve">Display &amp; Computer Cables</x:t>
  </x:si>
  <x:si>
    <x:t xml:space="preserve">Source stock 10 is reference only; POS starts at 0.</x:t>
  </x:si>
  <x:si>
    <x:t xml:space="preserve">11269</x:t>
  </x:si>
  <x:si>
    <x:t xml:space="preserve">DP to HDMI 4K 1.8 Meters</x:t>
  </x:si>
  <x:si>
    <x:t xml:space="preserve">Source stock 4 is reference only; POS starts at 0.</x:t>
  </x:si>
  <x:si>
    <x:t xml:space="preserve">11268</x:t>
  </x:si>
  <x:si>
    <x:t xml:space="preserve">Type C to DP 1.4 8k 2 Meters</x:t>
  </x:si>
  <x:si>
    <x:t xml:space="preserve">11267</x:t>
  </x:si>
  <x:si>
    <x:t xml:space="preserve">DP 1.4 8K 2Meters</x:t>
  </x:si>
  <x:si>
    <x:t xml:space="preserve">11266</x:t>
  </x:si>
  <x:si>
    <x:t xml:space="preserve">HDMI 2.1 8K 2Meters</x:t>
  </x:si>
  <x:si>
    <x:t xml:space="preserve">11073</x:t>
  </x:si>
  <x:si>
    <x:t xml:space="preserve">Integrated Fan Hub, 10-Port 4 Pin PC Fan Controller</x:t>
  </x:si>
  <x:si>
    <x:t xml:space="preserve">Computer &amp; Gaming</x:t>
  </x:si>
  <x:si>
    <x:t xml:space="preserve">PC Components</x:t>
  </x:si>
  <x:si>
    <x:t xml:space="preserve">Source stock 2 is reference only; POS starts at 0.</x:t>
  </x:si>
  <x:si>
    <x:t xml:space="preserve">11066</x:t>
  </x:si>
  <x:si>
    <x:t xml:space="preserve">T-WOLF TF330 Backlit Keyboard Mouse Combo</x:t>
  </x:si>
  <x:si>
    <x:t xml:space="preserve">T-WOLF</x:t>
  </x:si>
  <x:si>
    <x:t xml:space="preserve">Input &amp; Office Peripherals</x:t>
  </x:si>
  <x:si>
    <x:t xml:space="preserve">Source stock 16 is reference only; POS starts at 0.</x:t>
  </x:si>
  <x:si>
    <x:t xml:space="preserve">11065</x:t>
  </x:si>
  <x:si>
    <x:t xml:space="preserve">Dudao HUB 4in1 USB-A - 4x USB-A</x:t>
  </x:si>
  <x:si>
    <x:t xml:space="preserve">DUDAO</x:t>
  </x:si>
  <x:si>
    <x:t xml:space="preserve">Hubs &amp; Docks</x:t>
  </x:si>
  <x:si>
    <x:t xml:space="preserve">Source stock 5 is reference only; POS starts at 0.</x:t>
  </x:si>
  <x:si>
    <x:t xml:space="preserve">11064</x:t>
  </x:si>
  <x:si>
    <x:t xml:space="preserve">T-Wold S3 Speaker</x:t>
  </x:si>
  <x:si>
    <x:t xml:space="preserve">Audio</x:t>
  </x:si>
  <x:si>
    <x:t xml:space="preserve">Speakers</x:t>
  </x:si>
  <x:si>
    <x:t xml:space="preserve">Source stock 8 is reference only; POS starts at 0.</x:t>
  </x:si>
  <x:si>
    <x:t xml:space="preserve">10908</x:t>
  </x:si>
  <x:si>
    <x:t xml:space="preserve">DUDAO 128GB USB3.2 + TYPE C FLASH DRIVE</x:t>
  </x:si>
  <x:si>
    <x:t xml:space="preserve">Storage</x:t>
  </x:si>
  <x:si>
    <x:t xml:space="preserve">10907</x:t>
  </x:si>
  <x:si>
    <x:t xml:space="preserve">DUDAO 64GB USB3.2 + TYPE C FLASH DRIVE</x:t>
  </x:si>
  <x:si>
    <x:t xml:space="preserve">10905</x:t>
  </x:si>
  <x:si>
    <x:t xml:space="preserve">DUDAO 32GB USB3.2 + TYPE C FLASH DRIVE</x:t>
  </x:si>
  <x:si>
    <x:t xml:space="preserve">10775</x:t>
  </x:si>
  <x:si>
    <x:t xml:space="preserve">1-in-4 out HDMI Splitter Setup for 4-Mirror Display</x:t>
  </x:si>
  <x:si>
    <x:t xml:space="preserve">10751</x:t>
  </x:si>
  <x:si>
    <x:t xml:space="preserve">MSI MPG F120 ARGB-3B - Black 3* FANS</x:t>
  </x:si>
  <x:si>
    <x:t xml:space="preserve">MSI</x:t>
  </x:si>
  <x:si>
    <x:t xml:space="preserve">Source stock 3 is reference only; POS starts at 0.</x:t>
  </x:si>
  <x:si>
    <x:t xml:space="preserve">10750</x:t>
  </x:si>
  <x:si>
    <x:t xml:space="preserve">INFINITY WHITE Ergonomic and Style Heavy-Duty Gas Spring Single Monitor Arm support 24”-57”, up to 27kg - INF753-C012</x:t>
  </x:si>
  <x:si>
    <x:t xml:space="preserve">Infinity</x:t>
  </x:si>
  <x:si>
    <x:t xml:space="preserve">Mounts &amp; Holders</x:t>
  </x:si>
  <x:si>
    <x:t xml:space="preserve">Monitor Mounts</x:t>
  </x:si>
  <x:si>
    <x:t xml:space="preserve">Source stock 1 is reference only; POS starts at 0.</x:t>
  </x:si>
  <x:si>
    <x:t xml:space="preserve">10741</x:t>
  </x:si>
  <x:si>
    <x:t xml:space="preserve">T-WOLF H130 Gaming Headset with RGB Light</x:t>
  </x:si>
  <x:si>
    <x:t xml:space="preserve">Headsets</x:t>
  </x:si>
  <x:si>
    <x:t xml:space="preserve">10740</x:t>
  </x:si>
  <x:si>
    <x:t xml:space="preserve">T-WOLF H140 Headphone Wired Gaming 7.1 USB</x:t>
  </x:si>
  <x:si>
    <x:t xml:space="preserve">Headphones</x:t>
  </x:si>
  <x:si>
    <x:t xml:space="preserve">10739</x:t>
  </x:si>
  <x:si>
    <x:t xml:space="preserve">T-Wolf X3 Gaming Mouse Tri-Mode BT Wireless Hollow Design RGB</x:t>
  </x:si>
  <x:si>
    <x:t xml:space="preserve">Source stock 11 is reference only; POS starts at 0.</x:t>
  </x:si>
  <x:si>
    <x:t xml:space="preserve">10738</x:t>
  </x:si>
  <x:si>
    <x:t xml:space="preserve">T-Wolf X7 wireless mouse rechargeable</x:t>
  </x:si>
  <x:si>
    <x:t xml:space="preserve">Source stock 7 is reference only; POS starts at 0.</x:t>
  </x:si>
  <x:si>
    <x:t xml:space="preserve">10737</x:t>
  </x:si>
  <x:si>
    <x:t xml:space="preserve">T-Wolf G560 wired Gaming rgb 6d button mouse</x:t>
  </x:si>
  <x:si>
    <x:t xml:space="preserve">Source stock 12 is reference only; POS starts at 0.</x:t>
  </x:si>
  <x:si>
    <x:t xml:space="preserve">10736</x:t>
  </x:si>
  <x:si>
    <x:t xml:space="preserve">T-Wolf Q3 Wireless Rechargeable Mouse Dual-mode</x:t>
  </x:si>
  <x:si>
    <x:t xml:space="preserve">10735</x:t>
  </x:si>
  <x:si>
    <x:t xml:space="preserve">T-Wolf T16 METAL LUMINOUS WIRED KEYBOARD</x:t>
  </x:si>
  <x:si>
    <x:t xml:space="preserve">10734</x:t>
  </x:si>
  <x:si>
    <x:t xml:space="preserve">T-Wolf T17 true Mechanical Keyboard Blue switch</x:t>
  </x:si>
  <x:si>
    <x:t xml:space="preserve">10733</x:t>
  </x:si>
  <x:si>
    <x:t xml:space="preserve">T-Wolf T70 Wireless Gaming Mechanical Keyboard Three Mode Full Key Hot Plug</x:t>
  </x:si>
  <x:si>
    <x:t xml:space="preserve">10732</x:t>
  </x:si>
  <x:si>
    <x:t xml:space="preserve">T-Wolf T20 Gaming Keyboard Luminous Wired Keyboard</x:t>
  </x:si>
  <x:si>
    <x:t xml:space="preserve">10731</x:t>
  </x:si>
  <x:si>
    <x:t xml:space="preserve">T-Wolf TF100 Wireless Mouse and Keyboard</x:t>
  </x:si>
  <x:si>
    <x:t xml:space="preserve">10722</x:t>
  </x:si>
  <x:si>
    <x:t xml:space="preserve">MPG GUNGNIR m100R</x:t>
  </x:si>
  <x:si>
    <x:t xml:space="preserve">10721</x:t>
  </x:si>
  <x:si>
    <x:t xml:space="preserve">MPG GUNGNIR 120R</x:t>
  </x:si>
  <x:si>
    <x:t xml:space="preserve">10554</x:t>
  </x:si>
  <x:si>
    <x:t xml:space="preserve">Nintendo Switch 2 Joy Con 2 Pair (Light Blue/Light Red)</x:t>
  </x:si>
  <x:si>
    <x:t xml:space="preserve">Nintendo</x:t>
  </x:si>
  <x:si>
    <x:t xml:space="preserve">Consoles &amp; Controllers</x:t>
  </x:si>
  <x:si>
    <x:t xml:space="preserve">10553</x:t>
  </x:si>
  <x:si>
    <x:t xml:space="preserve">HORI HORIPAD Turbo Wired Controller for Nintendo Switch 2 (Black)</x:t>
  </x:si>
  <x:si>
    <x:t xml:space="preserve">10546</x:t>
  </x:si>
  <x:si>
    <x:t xml:space="preserve">850W ADATA XPG KYBER POWER SUPPLY</x:t>
  </x:si>
  <x:si>
    <x:t xml:space="preserve">ADATA XPG</x:t>
  </x:si>
  <x:si>
    <x:t xml:space="preserve">10545</x:t>
  </x:si>
  <x:si>
    <x:t xml:space="preserve">850W MSI PSU - MAG A850GN PCIE5 - ATX3.0 80 PLUS GOLD CERTIFIED.</x:t>
  </x:si>
  <x:si>
    <x:t xml:space="preserve">No RepairDesk image found; provide the correct main image URL. Source stock 1 is reference only; POS starts at 0.</x:t>
  </x:si>
  <x:si>
    <x:t xml:space="preserve">10512</x:t>
  </x:si>
  <x:si>
    <x:t xml:space="preserve">MSI FHD PROCAM USB WEBCAM</x:t>
  </x:si>
  <x:si>
    <x:t xml:space="preserve">10320</x:t>
  </x:si>
  <x:si>
    <x:t xml:space="preserve">Meetion Optical Mouse Black M100</x:t>
  </x:si>
  <x:si>
    <x:t xml:space="preserve">Meetion</x:t>
  </x:si>
  <x:si>
    <x:t xml:space="preserve">Source stock 35 is reference only; POS starts at 0.</x:t>
  </x:si>
  <x:si>
    <x:t xml:space="preserve">10319</x:t>
  </x:si>
  <x:si>
    <x:t xml:space="preserve">Version M6 ATX 360 Built in 6 Fans（B/W）</x:t>
  </x:si>
  <x:si>
    <x:t xml:space="preserve">10318</x:t>
  </x:si>
  <x:si>
    <x:t xml:space="preserve">Version A7 ATX 360 Built in 6 Fans（B/W）</x:t>
  </x:si>
  <x:si>
    <x:t xml:space="preserve">10317</x:t>
  </x:si>
  <x:si>
    <x:t xml:space="preserve">ATX BLT 360 Built in 7 Fans（B/W）</x:t>
  </x:si>
  <x:si>
    <x:t xml:space="preserve">10300</x:t>
  </x:si>
  <x:si>
    <x:t xml:space="preserve">Cooler Master CryoFuze 7</x:t>
  </x:si>
  <x:si>
    <x:t xml:space="preserve">Cooler Master</x:t>
  </x:si>
  <x:si>
    <x:t xml:space="preserve">10299</x:t>
  </x:si>
  <x:si>
    <x:t xml:space="preserve">Capybara Keycap Set (142-key)</x:t>
  </x:si>
  <x:si>
    <x:t xml:space="preserve">10298</x:t>
  </x:si>
  <x:si>
    <x:t xml:space="preserve">Cooler Master MasterLiquid 360L Core ARGB Liquid CPU Cooler White</x:t>
  </x:si>
  <x:si>
    <x:t xml:space="preserve">10297</x:t>
  </x:si>
  <x:si>
    <x:t xml:space="preserve">Cooler Master MasterLiquid 240L Core ARGB CPU Liquid Cooler Black</x:t>
  </x:si>
  <x:si>
    <x:t xml:space="preserve">10296</x:t>
  </x:si>
  <x:si>
    <x:t xml:space="preserve">Cooler Master MasterLiquid 360L Core ARGB Liquid CPU Cooler Black</x:t>
  </x:si>
  <x:si>
    <x:t xml:space="preserve">10295</x:t>
  </x:si>
  <x:si>
    <x:t xml:space="preserve">Thermalright TF7 Thermal Paste Compound for CPU,Thermal Conductivity is 12.8W/m.k-2 Grams</x:t>
  </x:si>
  <x:si>
    <x:t xml:space="preserve">Thermalright</x:t>
  </x:si>
  <x:si>
    <x:t xml:space="preserve">Source stock -3 is reference only; POS starts at 0.</x:t>
  </x:si>
  <x:si>
    <x:t xml:space="preserve">10294</x:t>
  </x:si>
  <x:si>
    <x:t xml:space="preserve">Moza R3 Racing Bundle for Xbox Series X/S and PC</x:t>
  </x:si>
  <x:si>
    <x:t xml:space="preserve">MOZA</x:t>
  </x:si>
  <x:si>
    <x:t xml:space="preserve">Gaming &amp; Simulation</x:t>
  </x:si>
  <x:si>
    <x:t xml:space="preserve">10293</x:t>
  </x:si>
  <x:si>
    <x:t xml:space="preserve">MOZA SR-P Throttle &amp; Brake Pedal Set</x:t>
  </x:si>
  <x:si>
    <x:t xml:space="preserve">10292</x:t>
  </x:si>
  <x:si>
    <x:t xml:space="preserve">R3 Racing Wheel and Pedals for PC</x:t>
  </x:si>
  <x:si>
    <x:t xml:space="preserve">10290</x:t>
  </x:si>
  <x:si>
    <x:t xml:space="preserve">R12 V2 Wheel Base</x:t>
  </x:si>
  <x:si>
    <x:t xml:space="preserve">10289</x:t>
  </x:si>
  <x:si>
    <x:t xml:space="preserve">R9 V3 Direct Drive Wheel Base</x:t>
  </x:si>
  <x:si>
    <x:t xml:space="preserve">10288</x:t>
  </x:si>
  <x:si>
    <x:t xml:space="preserve">MOZA RS V2 Steering Wheel</x:t>
  </x:si>
  <x:si>
    <x:t xml:space="preserve">10287</x:t>
  </x:si>
  <x:si>
    <x:t xml:space="preserve">MOZA GS V2P GT Wheel</x:t>
  </x:si>
  <x:si>
    <x:t xml:space="preserve">10268</x:t>
  </x:si>
  <x:si>
    <x:t xml:space="preserve">Micro ATX BLT 240 Built in 5 Fans（B/W）</x:t>
  </x:si>
  <x:si>
    <x:t xml:space="preserve">10203</x:t>
  </x:si>
  <x:si>
    <x:t xml:space="preserve">3.1 Type c to DP 8K60Hz 2M Cable</x:t>
  </x:si>
  <x:si>
    <x:t xml:space="preserve">10202</x:t>
  </x:si>
  <x:si>
    <x:t xml:space="preserve">Coolmoon GH-80 Graphics Card Holder Silver 50-80MM</x:t>
  </x:si>
  <x:si>
    <x:t xml:space="preserve">Coolmoon</x:t>
  </x:si>
  <x:si>
    <x:t xml:space="preserve">10201</x:t>
  </x:si>
  <x:si>
    <x:t xml:space="preserve">Coolmoon GH-80 Graphics Card Holder Black 50-80MM</x:t>
  </x:si>
  <x:si>
    <x:t xml:space="preserve">10200</x:t>
  </x:si>
  <x:si>
    <x:t xml:space="preserve">Coolmoon GH6 ARGB Graphics Card Holder Black</x:t>
  </x:si>
  <x:si>
    <x:t xml:space="preserve">10199</x:t>
  </x:si>
  <x:si>
    <x:t xml:space="preserve">Coolmoon GH6 ARGB Graphics Card Holder White</x:t>
  </x:si>
  <x:si>
    <x:t xml:space="preserve">10196</x:t>
  </x:si>
  <x:si>
    <x:t xml:space="preserve">Moza HGP Shifter</x:t>
  </x:si>
  <x:si>
    <x:t xml:space="preserve">10194</x:t>
  </x:si>
  <x:si>
    <x:t xml:space="preserve">MOZA SRP Clutch Pedal</x:t>
  </x:si>
  <x:si>
    <x:t xml:space="preserve">10193</x:t>
  </x:si>
  <x:si>
    <x:t xml:space="preserve">MOZA CM2 Racing Dash</x:t>
  </x:si>
  <x:si>
    <x:t xml:space="preserve">10192</x:t>
  </x:si>
  <x:si>
    <x:t xml:space="preserve">Moza HBP Sim Racing Handbrake</x:t>
  </x:si>
  <x:si>
    <x:t xml:space="preserve">10191</x:t>
  </x:si>
  <x:si>
    <x:t xml:space="preserve">MOZA Performance Kit for SR-P Lite</x:t>
  </x:si>
  <x:si>
    <x:t xml:space="preserve">10190</x:t>
  </x:si>
  <x:si>
    <x:t xml:space="preserve">MOZA SGP Sequential Shifter</x:t>
  </x:si>
  <x:si>
    <x:t xml:space="preserve">10189</x:t>
  </x:si>
  <x:si>
    <x:t xml:space="preserve">MOZA Racing R5 Direct Drive Base &amp; Pedal Bundle</x:t>
  </x:si>
  <x:si>
    <x:t xml:space="preserve">10160</x:t>
  </x:si>
  <x:si>
    <x:t xml:space="preserve">InWin B65E 650W ATX Power Supply 80+ BRONZE</x:t>
  </x:si>
  <x:si>
    <x:t xml:space="preserve">InWin</x:t>
  </x:si>
  <x:si>
    <x:t xml:space="preserve">10156</x:t>
  </x:si>
  <x:si>
    <x:t xml:space="preserve">MSI MAG CoreLiquid A13 360mm AIO Liquid CPU Cooler - Black</x:t>
  </x:si>
  <x:si>
    <x:t xml:space="preserve">10155</x:t>
  </x:si>
  <x:si>
    <x:t xml:space="preserve">MSI MAG CoreLiquid A13 240 CPU Cooler - Black</x:t>
  </x:si>
  <x:si>
    <x:t xml:space="preserve">10154</x:t>
  </x:si>
  <x:si>
    <x:t xml:space="preserve">AX1800 WiFi USB Adapter</x:t>
  </x:si>
  <x:si>
    <x:t xml:space="preserve">Networking</x:t>
  </x:si>
  <x:si>
    <x:t xml:space="preserve">10153</x:t>
  </x:si>
  <x:si>
    <x:t xml:space="preserve">AX1800 Nano WiFi USB Adapter</x:t>
  </x:si>
  <x:si>
    <x:t xml:space="preserve">10122</x:t>
  </x:si>
  <x:si>
    <x:t xml:space="preserve">MSI HERALD BE NCM865 Wireless PCIe Adapter, Wi-Fi 7</x:t>
  </x:si>
  <x:si>
    <x:t xml:space="preserve">10109</x:t>
  </x:si>
  <x:si>
    <x:t xml:space="preserve">DVD-RW DRIVE USB 3.0</x:t>
  </x:si>
  <x:si>
    <x:t xml:space="preserve">Cost must be entered before import.</x:t>
  </x:si>
  <x:si>
    <x:t xml:space="preserve">10041</x:t>
  </x:si>
  <x:si>
    <x:t xml:space="preserve">DeepCool LS520 240mm Premium Liquid CPU Cooler - White</x:t>
  </x:si>
  <x:si>
    <x:t xml:space="preserve">DeepCool</x:t>
  </x:si>
  <x:si>
    <x:t xml:space="preserve">9984</x:t>
  </x:si>
  <x:si>
    <x:t xml:space="preserve">MSI HERALD-AX INTEL AX210NGW WI-FI 6E Wireless PCIe Adapter</x:t>
  </x:si>
  <x:si>
    <x:t xml:space="preserve">9983</x:t>
  </x:si>
  <x:si>
    <x:t xml:space="preserve">Deepcool AG620 120mm ARGB CPU Cooler - White</x:t>
  </x:si>
  <x:si>
    <x:t xml:space="preserve">Cost must be entered before import. No RepairDesk image found; provide the correct main image URL.</x:t>
  </x:si>
  <x:si>
    <x:t xml:space="preserve">9978</x:t>
  </x:si>
  <x:si>
    <x:t xml:space="preserve">Deepcool AG400 Plus Single Tower Air Cooler</x:t>
  </x:si>
  <x:si>
    <x:t xml:space="preserve">9672</x:t>
  </x:si>
  <x:si>
    <x:t xml:space="preserve">Maxtor MT-X1 Thermal Compound, 2gm</x:t>
  </x:si>
  <x:si>
    <x:t xml:space="preserve">Maxtor</x:t>
  </x:si>
  <x:si>
    <x:t xml:space="preserve">9671</x:t>
  </x:si>
  <x:si>
    <x:t xml:space="preserve">Noctua NT-H1 AMD5 Edition High-Grade Thermal Compound, 3.5gm</x:t>
  </x:si>
  <x:si>
    <x:t xml:space="preserve">Noctua</x:t>
  </x:si>
  <x:si>
    <x:t xml:space="preserve">9660</x:t>
  </x:si>
  <x:si>
    <x:t xml:space="preserve">Infinity Single Monitor Economical Spring-Assisted Monitor Arm</x:t>
  </x:si>
  <x:si>
    <x:t xml:space="preserve">9659</x:t>
  </x:si>
  <x:si>
    <x:t xml:space="preserve">Infinity Dual Monitor Pole-Mounted Heavy-Duty</x:t>
  </x:si>
  <x:si>
    <x:t xml:space="preserve">9658</x:t>
  </x:si>
  <x:si>
    <x:t xml:space="preserve">Meetion MT-M915 Backlight Black Wired Gaming Mouse</x:t>
  </x:si>
  <x:si>
    <x:t xml:space="preserve">Source stock 37 is reference only; POS starts at 0.</x:t>
  </x:si>
  <x:si>
    <x:t xml:space="preserve">9657</x:t>
  </x:si>
  <x:si>
    <x:t xml:space="preserve">Meetion MT-M915 Backlight White Wired Gaming Mouse</x:t>
  </x:si>
  <x:si>
    <x:t xml:space="preserve">9656</x:t>
  </x:si>
  <x:si>
    <x:t xml:space="preserve">Tri-Mode Wireless Gaming Mouse - Air GW33</x:t>
  </x:si>
  <x:si>
    <x:t xml:space="preserve">Source stock 31 is reference only; POS starts at 0.</x:t>
  </x:si>
  <x:si>
    <x:t xml:space="preserve">9655</x:t>
  </x:si>
  <x:si>
    <x:t xml:space="preserve">MEETION G3325 Professional Mouse</x:t>
  </x:si>
  <x:si>
    <x:t xml:space="preserve">9654</x:t>
  </x:si>
  <x:si>
    <x:t xml:space="preserve">Meetion MK009 Pro Gaming Keyboard</x:t>
  </x:si>
  <x:si>
    <x:t xml:space="preserve">Source stock 17 is reference only; POS starts at 0.</x:t>
  </x:si>
  <x:si>
    <x:t xml:space="preserve">9653</x:t>
  </x:si>
  <x:si>
    <x:t xml:space="preserve">Logitech G502 HERO High Performance Wired Gaming Mouse</x:t>
  </x:si>
  <x:si>
    <x:t xml:space="preserve">Logitech</x:t>
  </x:si>
  <x:si>
    <x:t xml:space="preserve">9649</x:t>
  </x:si>
  <x:si>
    <x:t xml:space="preserve">DeepCool LE720 360mm ARGB AIO Liquid CPU Cooler - Black (R-LE720-BKAMMN-G-1)</x:t>
  </x:si>
  <x:si>
    <x:t xml:space="preserve">9647</x:t>
  </x:si>
  <x:si>
    <x:t xml:space="preserve">MeeTion HP003 Office Headset PC / PS4</x:t>
  </x:si>
  <x:si>
    <x:t xml:space="preserve">Source stock 19 is reference only; POS starts at 0.</x:t>
  </x:si>
  <x:si>
    <x:t xml:space="preserve">9646</x:t>
  </x:si>
  <x:si>
    <x:t xml:space="preserve">HyperX Cloud Alpha Gaming Headset</x:t>
  </x:si>
  <x:si>
    <x:t xml:space="preserve">HyperX</x:t>
  </x:si>
  <x:si>
    <x:t xml:space="preserve">Source stock -1 is reference only; POS starts at 0.</x:t>
  </x:si>
  <x:si>
    <x:t xml:space="preserve">9645</x:t>
  </x:si>
  <x:si>
    <x:t xml:space="preserve">HyperX Cloud III Wireless Gaming Headset</x:t>
  </x:si>
  <x:si>
    <x:t xml:space="preserve">9644</x:t>
  </x:si>
  <x:si>
    <x:t xml:space="preserve">HyperX Cloud III Gaming Headset</x:t>
  </x:si>
  <x:si>
    <x:t xml:space="preserve">9639</x:t>
  </x:si>
  <x:si>
    <x:t xml:space="preserve">HyperX Cloud Alpha Wireless Gaming Headset</x:t>
  </x:si>
  <x:si>
    <x:t xml:space="preserve">9366</x:t>
  </x:si>
  <x:si>
    <x:t xml:space="preserve">Logitech G502 X LIGHTSPEED Wireless Gaming Mouse (Black)</x:t>
  </x:si>
  <x:si>
    <x:t xml:space="preserve">9365</x:t>
  </x:si>
  <x:si>
    <x:t xml:space="preserve">Logitech G502 X LIGHTSPEED Wireless Gaming Mouse (White)</x:t>
  </x:si>
  <x:si>
    <x:t xml:space="preserve">9364</x:t>
  </x:si>
  <x:si>
    <x:t xml:space="preserve">Logitech G502 X Wired Gaming Mouse (White)</x:t>
  </x:si>
  <x:si>
    <x:t xml:space="preserve">9363</x:t>
  </x:si>
  <x:si>
    <x:t xml:space="preserve">Logitech G502 X Wired Gaming Mouse (Black)</x:t>
  </x:si>
  <x:si>
    <x:t xml:space="preserve">9362</x:t>
  </x:si>
  <x:si>
    <x:t xml:space="preserve">Logitech MK220 Wireless Combo</x:t>
  </x:si>
  <x:si>
    <x:t xml:space="preserve">9361</x:t>
  </x:si>
  <x:si>
    <x:t xml:space="preserve">Logitech Desktop MK120 Wired Keyboard and Mouse Combo</x:t>
  </x:si>
  <x:si>
    <x:t xml:space="preserve">9360</x:t>
  </x:si>
  <x:si>
    <x:t xml:space="preserve">87 HyperX Alloy Origins PBT Mechanical Gaming Keyboard Red Switches</x:t>
  </x:si>
  <x:si>
    <x:t xml:space="preserve">9359</x:t>
  </x:si>
  <x:si>
    <x:t xml:space="preserve">65 HyperX Alloy Origins PBT Mechanical Gaming Keyboard Red Switches</x:t>
  </x:si>
  <x:si>
    <x:t xml:space="preserve">9358</x:t>
  </x:si>
  <x:si>
    <x:t xml:space="preserve">60 HyperX Alloy Origins PBT Mechanical Gaming Keyboard Red Switches</x:t>
  </x:si>
  <x:si>
    <x:t xml:space="preserve">9357</x:t>
  </x:si>
  <x:si>
    <x:t xml:space="preserve">104 HyperX Alloy Origins PBT Mechanical Gaming Keyboard Red Switches</x:t>
  </x:si>
  <x:si>
    <x:t xml:space="preserve">9234</x:t>
  </x:si>
  <x:si>
    <x:t xml:space="preserve"> Keycaps Set</x:t>
  </x:si>
  <x:si>
    <x:t xml:space="preserve">9233</x:t>
  </x:si>
  <x:si>
    <x:t xml:space="preserve">Cat world Keycaps Set</x:t>
  </x:si>
  <x:si>
    <x:t xml:space="preserve">9232</x:t>
  </x:si>
  <x:si>
    <x:t xml:space="preserve">Warrior Keycaps Set</x:t>
  </x:si>
  <x:si>
    <x:t xml:space="preserve">9198</x:t>
  </x:si>
  <x:si>
    <x:t xml:space="preserve">Black Wireless Mouse-WM126</x:t>
  </x:si>
  <x:si>
    <x:t xml:space="preserve">9181</x:t>
  </x:si>
  <x:si>
    <x:t xml:space="preserve">Switch Racing Wheel</x:t>
  </x:si>
  <x:si>
    <x:t xml:space="preserve">9168</x:t>
  </x:si>
  <x:si>
    <x:t xml:space="preserve">Dual controller charging dock</x:t>
  </x:si>
  <x:si>
    <x:t xml:space="preserve">9167</x:t>
  </x:si>
  <x:si>
    <x:t xml:space="preserve">PS5 Stand Cooling Fan EXT Controller Charging Station Playstation 5</x:t>
  </x:si>
  <x:si>
    <x:t xml:space="preserve">9166</x:t>
  </x:si>
  <x:si>
    <x:t xml:space="preserve">Quad Charger for Nintendo Switch</x:t>
  </x:si>
  <x:si>
    <x:t xml:space="preserve">9009</x:t>
  </x:si>
  <x:si>
    <x:t xml:space="preserve">TP-Link Archer TX3000E AX3000 Wi-Fi 6 Bluetooth 5.0 PCI-E Adapter</x:t>
  </x:si>
  <x:si>
    <x:t xml:space="preserve">TP-Link</x:t>
  </x:si>
  <x:si>
    <x:t xml:space="preserve">9008</x:t>
  </x:si>
  <x:si>
    <x:t xml:space="preserve">TP-Link TL-WN821N 300 Mbps Wireless N USB Adapter</x:t>
  </x:si>
  <x:si>
    <x:t xml:space="preserve">8840</x:t>
  </x:si>
  <x:si>
    <x:t xml:space="preserve">Type c to Surface Charger</x:t>
  </x:si>
  <x:si>
    <x:t xml:space="preserve">Cost must be entered before import. Source stock -1 is reference only; POS starts at 0.</x:t>
  </x:si>
  <x:si>
    <x:t xml:space="preserve">8792</x:t>
  </x:si>
  <x:si>
    <x:t xml:space="preserve">8K DP 1.4 2m Cable</x:t>
  </x:si>
  <x:si>
    <x:t xml:space="preserve">8790</x:t>
  </x:si>
  <x:si>
    <x:t xml:space="preserve">8K HDMI 2m cable</x:t>
  </x:si>
  <x:si>
    <x:t xml:space="preserve">8510</x:t>
  </x:si>
  <x:si>
    <x:t xml:space="preserve">DP to HDMI 4K Cable 1.8m</x:t>
  </x:si>
  <x:si>
    <x:t xml:space="preserve">8502</x:t>
  </x:si>
  <x:si>
    <x:t xml:space="preserve">Hard Drive Cable 1m</x:t>
  </x:si>
  <x:si>
    <x:t xml:space="preserve">Cost must be entered before import. Source stock 5 is reference only; POS starts at 0.</x:t>
  </x:si>
  <x:si>
    <x:t xml:space="preserve">8480</x:t>
  </x:si>
  <x:si>
    <x:t xml:space="preserve">Meetion Game Microphone MC13</x:t>
  </x:si>
  <x:si>
    <x:t xml:space="preserve">Microphones</x:t>
  </x:si>
  <x:si>
    <x:t xml:space="preserve">Cost must be entered before import. Source stock 2 is reference only; POS starts at 0.</x:t>
  </x:si>
  <x:si>
    <x:t xml:space="preserve">8410</x:t>
  </x:si>
  <x:si>
    <x:t xml:space="preserve">Mouse Pad</x:t>
  </x:si>
  <x:si>
    <x:t xml:space="preserve">Cost must be entered before import. Source stock 36 is reference only; POS starts at 0.</x:t>
  </x:si>
  <x:si>
    <x:t xml:space="preserve">8356</x:t>
  </x:si>
  <x:si>
    <x:t xml:space="preserve">Meetion Corded Keyboard with hub K815</x:t>
  </x:si>
  <x:si>
    <x:t xml:space="preserve">Cost must be entered before import. Source stock 12 is reference only; POS starts at 0.</x:t>
  </x:si>
  <x:si>
    <x:t xml:space="preserve">7815</x:t>
  </x:si>
  <x:si>
    <x:t xml:space="preserve">C10 SD Card 256GB</x:t>
  </x:si>
  <x:si>
    <x:t xml:space="preserve">7814</x:t>
  </x:si>
  <x:si>
    <x:t xml:space="preserve">C10 SD Card 128GB</x:t>
  </x:si>
  <x:si>
    <x:t xml:space="preserve">7813</x:t>
  </x:si>
  <x:si>
    <x:t xml:space="preserve">C10 SD Card 64GB</x:t>
  </x:si>
  <x:si>
    <x:t xml:space="preserve">7812</x:t>
  </x:si>
  <x:si>
    <x:t xml:space="preserve">C10 SD Card 32GB</x:t>
  </x:si>
  <x:si>
    <x:t xml:space="preserve">7688</x:t>
  </x:si>
  <x:si>
    <x:t xml:space="preserve">Wireless Chocolate Keyboard WK841 Black</x:t>
  </x:si>
  <x:si>
    <x:t xml:space="preserve">Cost must be entered before import. Source stock 13 is reference only; POS starts at 0.</x:t>
  </x:si>
  <x:si>
    <x:t xml:space="preserve">7585</x:t>
  </x:si>
  <x:si>
    <x:t xml:space="preserve">RB-680HB Wireless Headphones White</x:t>
  </x:si>
  <x:si>
    <x:t xml:space="preserve">7584</x:t>
  </x:si>
  <x:si>
    <x:t xml:space="preserve">RB-680HB Wireless Headphones Black</x:t>
  </x:si>
  <x:si>
    <x:t xml:space="preserve">Cost must be entered before import. Source stock -3 is reference only; POS starts at 0.</x:t>
  </x:si>
  <x:si>
    <x:t xml:space="preserve">6846</x:t>
  </x:si>
  <x:si>
    <x:t xml:space="preserve">TP-Link TL-WN881ND 300 Mbps Wireless N PCI Express Adapter</x:t>
  </x:si>
  <x:si>
    <x:t xml:space="preserve">6845</x:t>
  </x:si>
  <x:si>
    <x:t xml:space="preserve">TP-Link TL-WN722N 150 Mbps Wireless USB Adapter</x:t>
  </x:si>
  <x:si>
    <x:t xml:space="preserve">6844</x:t>
  </x:si>
  <x:si>
    <x:t xml:space="preserve">USB 3.0 Hub</x:t>
  </x:si>
  <x:si>
    <x:t xml:space="preserve">6843</x:t>
  </x:si>
  <x:si>
    <x:t xml:space="preserve">4 in 1 USB-C HUB</x:t>
  </x:si>
  <x:si>
    <x:t xml:space="preserve">Cost must be entered before import. Source stock 1 is reference only; POS starts at 0.</x:t>
  </x:si>
  <x:si>
    <x:t xml:space="preserve">6809</x:t>
  </x:si>
  <x:si>
    <x:t xml:space="preserve">SD Card Adapter</x:t>
  </x:si>
  <x:si>
    <x:t xml:space="preserve">OTG &amp; Card Readers</x:t>
  </x:si>
  <x:si>
    <x:t xml:space="preserve">6799</x:t>
  </x:si>
  <x:si>
    <x:t xml:space="preserve">Meetion Wireless Mouse White R560</x:t>
  </x:si>
  <x:si>
    <x:t xml:space="preserve">6698</x:t>
  </x:si>
  <x:si>
    <x:t xml:space="preserve">USB 3.0 AM-BM Cable</x:t>
  </x:si>
  <x:si>
    <x:t xml:space="preserve">6684</x:t>
  </x:si>
  <x:si>
    <x:t xml:space="preserve">AUX Cable 3M</x:t>
  </x:si>
  <x:si>
    <x:t xml:space="preserve">Audio Cables &amp; Adapters</x:t>
  </x:si>
  <x:si>
    <x:t xml:space="preserve">6683</x:t>
  </x:si>
  <x:si>
    <x:t xml:space="preserve">USB 3.0 AM-AM 2M</x:t>
  </x:si>
  <x:si>
    <x:t xml:space="preserve">6682</x:t>
  </x:si>
  <x:si>
    <x:t xml:space="preserve">HDMI CABLE 5M</x:t>
  </x:si>
  <x:si>
    <x:t xml:space="preserve">6681</x:t>
  </x:si>
  <x:si>
    <x:t xml:space="preserve">DVI-DVI Cable 3M</x:t>
  </x:si>
  <x:si>
    <x:t xml:space="preserve">6680</x:t>
  </x:si>
  <x:si>
    <x:t xml:space="preserve">VGA CABLE 3M</x:t>
  </x:si>
  <x:si>
    <x:t xml:space="preserve">6679</x:t>
  </x:si>
  <x:si>
    <x:t xml:space="preserve">DP 4K Cable 3M</x:t>
  </x:si>
  <x:si>
    <x:t xml:space="preserve">6678</x:t>
  </x:si>
  <x:si>
    <x:t xml:space="preserve">SSTP FLAT PATCH CORD 15M</x:t>
  </x:si>
  <x:si>
    <x:t xml:space="preserve">Network Cables</x:t>
  </x:si>
  <x:si>
    <x:t xml:space="preserve">6677</x:t>
  </x:si>
  <x:si>
    <x:t xml:space="preserve">SSTP FLAT PATCH CORD 10M</x:t>
  </x:si>
  <x:si>
    <x:t xml:space="preserve">6676</x:t>
  </x:si>
  <x:si>
    <x:t xml:space="preserve">SSTP FLAT PATCH CORD 5M</x:t>
  </x:si>
  <x:si>
    <x:t xml:space="preserve">6603</x:t>
  </x:si>
  <x:si>
    <x:t xml:space="preserve">SSTP FLAT PATCH CORD 2M</x:t>
  </x:si>
  <x:si>
    <x:t xml:space="preserve">6602</x:t>
  </x:si>
  <x:si>
    <x:t xml:space="preserve">C13 IEC Power Cable</x:t>
  </x:si>
  <x:si>
    <x:t xml:space="preserve">Cost must be entered before import. Source stock 8 is reference only; POS starts at 0.</x:t>
  </x:si>
  <x:si>
    <x:t xml:space="preserve">6601</x:t>
  </x:si>
  <x:si>
    <x:t xml:space="preserve">IEC-C5 POWER CABLE</x:t>
  </x:si>
  <x:si>
    <x:t xml:space="preserve">Cost must be entered before import. Source stock 14 is reference only; POS starts at 0.</x:t>
  </x:si>
  <x:si>
    <x:t xml:space="preserve">6600</x:t>
  </x:si>
  <x:si>
    <x:t xml:space="preserve">2 PIN POWER CABLE</x:t>
  </x:si>
  <x:si>
    <x:t xml:space="preserve">6599</x:t>
  </x:si>
  <x:si>
    <x:t xml:space="preserve">VGA CABLE 1.5M</x:t>
  </x:si>
  <x:si>
    <x:t xml:space="preserve">6598</x:t>
  </x:si>
  <x:si>
    <x:t xml:space="preserve">HDMI CABLE 2M</x:t>
  </x:si>
  <x:si>
    <x:t xml:space="preserve">6597</x:t>
  </x:si>
  <x:si>
    <x:t xml:space="preserve">MINI DISPLAY TO HDMI</x:t>
  </x:si>
  <x:si>
    <x:t xml:space="preserve">6596</x:t>
  </x:si>
  <x:si>
    <x:t xml:space="preserve">USB A-USB B PRINTER CABLE 1.5M</x:t>
  </x:si>
  <x:si>
    <x:t xml:space="preserve">Cost must be entered before import. Source stock 7 is reference only; POS starts at 0.</x:t>
  </x:si>
  <x:si>
    <x:t xml:space="preserve">6595</x:t>
  </x:si>
  <x:si>
    <x:t xml:space="preserve">DVI-DVI Cable 1.5M</x:t>
  </x:si>
  <x:si>
    <x:t xml:space="preserve">6594</x:t>
  </x:si>
  <x:si>
    <x:t xml:space="preserve">USB 3.0 USB to USB (AM-AF) 3M</x:t>
  </x:si>
  <x:si>
    <x:t xml:space="preserve">6593</x:t>
  </x:si>
  <x:si>
    <x:t xml:space="preserve">AUX Cable 1.5M</x:t>
  </x:si>
  <x:si>
    <x:t xml:space="preserve">Cost must be entered before import. Source stock 4 is reference only; POS starts at 0.</x:t>
  </x:si>
  <x:si>
    <x:t xml:space="preserve">6592</x:t>
  </x:si>
  <x:si>
    <x:t xml:space="preserve">DP 4K Cable 1.5M</x:t>
  </x:si>
  <x:si>
    <x:t xml:space="preserve">6591</x:t>
  </x:si>
  <x:si>
    <x:t xml:space="preserve">USB 128GB</x:t>
  </x:si>
  <x:si>
    <x:t xml:space="preserve">6590</x:t>
  </x:si>
  <x:si>
    <x:t xml:space="preserve">USB 64GB</x:t>
  </x:si>
  <x:si>
    <x:t xml:space="preserve">6589</x:t>
  </x:si>
  <x:si>
    <x:t xml:space="preserve">USB 32GB</x:t>
  </x:si>
  <x:si>
    <x:t xml:space="preserve">6588</x:t>
  </x:si>
  <x:si>
    <x:t xml:space="preserve">USB 16GB</x:t>
  </x:si>
  <x:si>
    <x:t xml:space="preserve">6587</x:t>
  </x:si>
  <x:si>
    <x:t xml:space="preserve">SD Card 128GB</x:t>
  </x:si>
  <x:si>
    <x:t xml:space="preserve">6586</x:t>
  </x:si>
  <x:si>
    <x:t xml:space="preserve">SD Card 64GB</x:t>
  </x:si>
  <x:si>
    <x:t xml:space="preserve">6585</x:t>
  </x:si>
  <x:si>
    <x:t xml:space="preserve">SD Card 32GB</x:t>
  </x:si>
  <x:si>
    <x:t xml:space="preserve">6584</x:t>
  </x:si>
  <x:si>
    <x:t xml:space="preserve">SD Card 16GB</x:t>
  </x:si>
  <x:si>
    <x:t xml:space="preserve">6497</x:t>
  </x:si>
  <x:si>
    <x:t xml:space="preserve">Meetion Wireless Mouse Black R560</x:t>
  </x:si>
  <x:si>
    <x:t xml:space="preserve">Source stock 9 is reference only; POS starts at 0.</x:t>
  </x:si>
  <x:si>
    <x:t xml:space="preserve">6494</x:t>
  </x:si>
  <x:si>
    <x:t xml:space="preserve">Meetion Corded Keyboard AK100</x:t>
  </x:si>
  <x:si>
    <x:t xml:space="preserve">Source stock 13 is reference only; POS starts at 0.</x:t>
  </x:si>
  <x:si>
    <x:t xml:space="preserve">6493</x:t>
  </x:si>
  <x:si>
    <x:t xml:space="preserve">Wireless Chocolate Keyboard WK841 White</x:t>
  </x:si>
  <x:si>
    <x:t xml:space="preserve">6491</x:t>
  </x:si>
  <x:si>
    <x:t xml:space="preserve">Meetion Optical Mouse Black M362</x:t>
  </x:si>
  <x:si>
    <x:t xml:space="preserve">6490</x:t>
  </x:si>
  <x:si>
    <x:t xml:space="preserve">Meetion RGB Light Gaming Mouse GM015</x:t>
  </x:si>
  <x:si>
    <x:t xml:space="preserve">Source stock 6 is reference only; POS starts at 0.</x:t>
  </x:si>
  <x:si>
    <x:t xml:space="preserve">6489</x:t>
  </x:si>
  <x:si>
    <x:t xml:space="preserve">Meetion Gaming Backlit Keyboard K9320</x:t>
  </x:si>
  <x:si>
    <x:t xml:space="preserve">Source stock -2 is reference only; POS starts at 0.</x:t>
  </x:si>
  <x:si>
    <x:t xml:space="preserve">6488</x:t>
  </x:si>
  <x:si>
    <x:t xml:space="preserve">Meetion Mechanical Keyboard-Red MK20</x:t>
  </x:si>
  <x:si>
    <x:t xml:space="preserve">6487</x:t>
  </x:si>
  <x:si>
    <x:t xml:space="preserve">Meetion HIFI Gaming Headset HP030</x:t>
  </x:si>
  <x:si>
    <x:t xml:space="preserve">6210</x:t>
  </x:si>
  <x:si>
    <x:t xml:space="preserve">Meetion Gaming Stereo Headset HP010</x:t>
  </x:si>
  <x:si>
    <x:t xml:space="preserve">6171</x:t>
  </x:si>
  <x:si>
    <x:t xml:space="preserve">13 INCH Laptop Case Blue</x:t>
  </x:si>
  <x:si>
    <x:t xml:space="preserve">Laptop Bags &amp; Sleeves</x:t>
  </x:si>
  <x:si>
    <x:t xml:space="preserve">New POS subcategory to be added when approved.</x:t>
  </x:si>
  <x:si>
    <x:t xml:space="preserve">6170</x:t>
  </x:si>
  <x:si>
    <x:t xml:space="preserve">13 INCH Laptop Case Black</x:t>
  </x:si>
  <x:si>
    <x:t xml:space="preserve">6169</x:t>
  </x:si>
  <x:si>
    <x:t xml:space="preserve">13 INCH Laptop Case Pink</x:t>
  </x:si>
  <x:si>
    <x:t xml:space="preserve">6168</x:t>
  </x:si>
  <x:si>
    <x:t xml:space="preserve">13 INCH Laptop Case Gray</x:t>
  </x:si>
  <x:si>
    <x:t xml:space="preserve">6167</x:t>
  </x:si>
  <x:si>
    <x:t xml:space="preserve">15 INCH Laptop Case Blue</x:t>
  </x:si>
  <x:si>
    <x:t xml:space="preserve">New POS subcategory to be added when approved. Source stock 2 is reference only; POS starts at 0.</x:t>
  </x:si>
  <x:si>
    <x:t xml:space="preserve">6166</x:t>
  </x:si>
  <x:si>
    <x:t xml:space="preserve">15 INCH Laptop Case Black</x:t>
  </x:si>
  <x:si>
    <x:t xml:space="preserve">New POS subcategory to be added when approved. Source stock 1 is reference only; POS starts at 0.</x:t>
  </x:si>
  <x:si>
    <x:t xml:space="preserve">6162</x:t>
  </x:si>
  <x:si>
    <x:t xml:space="preserve">15 INCH Laptop Case Pink</x:t>
  </x:si>
  <x:si>
    <x:t xml:space="preserve">Cost must be entered before import. New POS subcategory to be added when approved. Source stock 1 is reference only; POS starts at 0.</x:t>
  </x:si>
  <x:si>
    <x:t xml:space="preserve">6161</x:t>
  </x:si>
  <x:si>
    <x:t xml:space="preserve">15 INCH Laptop Case Gray</x:t>
  </x:si>
  <x:si>
    <x:t xml:space="preserve">New POS subcategory to be added when approved. Source stock 3 is reference only; POS starts at 0.</x:t>
  </x:si>
  <x:si>
    <x:t xml:space="preserve">Import Action</x:t>
  </x:si>
  <x:si>
    <x:t xml:space="preserve">Existing POS Match</x:t>
  </x:si>
  <x:si>
    <x:t xml:space="preserve">Existing POS SKU</x:t>
  </x:si>
  <x:si>
    <x:t xml:space="preserve">Source Category</x:t>
  </x:si>
  <x:si>
    <x:t xml:space="preserve">Source Product Name</x:t>
  </x:si>
  <x:si>
    <x:t xml:space="preserve">Source SKU</x:t>
  </x:si>
  <x:si>
    <x:t xml:space="preserve">SKU Status</x:t>
  </x:si>
  <x:si>
    <x:t xml:space="preserve">Final Cost (FROM COST REVIEW)</x:t>
  </x:si>
  <x:si>
    <x:t xml:space="preserve">Final Retail (FROM COST REVIEW)</x:t>
  </x:si>
  <x:si>
    <x:t xml:space="preserve">Barcode</x:t>
  </x:si>
  <x:si>
    <x:t xml:space="preserve">Image URL (EDIT IF MISSING)</x:t>
  </x:si>
  <x:si>
    <x:t xml:space="preserve">Source Stock</x:t>
  </x:si>
  <x:si>
    <x:t xml:space="preserve">POS Starting Stock</x:t>
  </x:si>
  <x:si>
    <x:t xml:space="preserve">Ready Status</x:t>
  </x:si>
  <x:si>
    <x:t xml:space="preserve">Notes</x:t>
  </x:si>
  <x:si>
    <x:t xml:space="preserve">9.3 Computer &amp; Console Products &gt; Computer Cables</x:t>
  </x:si>
  <x:si>
    <x:t xml:space="preserve">Source SKU retained</x:t>
  </x:si>
  <x:si>
    <x:t xml:space="preserve">https://dghyt15qon7us.cloudfront.net/images/productTheme/Inventory/small/0.05094600%201785483619.jpg</x:t>
  </x:si>
  <x:si>
    <x:t xml:space="preserve">https://dghyt15qon7us.cloudfront.net/images/productTheme/Inventory/small/0.24683300%201785483496.jpg</x:t>
  </x:si>
  <x:si>
    <x:t xml:space="preserve">https://dghyt15qon7us.cloudfront.net/images/productTheme/Inventory/small/0.34317600%201785483333.jpg</x:t>
  </x:si>
  <x:si>
    <x:t xml:space="preserve">https://dghyt15qon7us.cloudfront.net/images/productTheme/Inventory/small/0.66873200%201785483223.jpg</x:t>
  </x:si>
  <x:si>
    <x:t xml:space="preserve">https://dghyt15qon7us.cloudfront.net/images/productTheme/Inventory/small/0.93990500%201785483040.jpg</x:t>
  </x:si>
  <x:si>
    <x:t xml:space="preserve">9.3 Computer &amp; Console Products &gt; PC Parts</x:t>
  </x:si>
  <x:si>
    <x:t xml:space="preserve">https://dghyt15qon7us.cloudfront.net/images/productTheme/Inventory/small/0.14717300%201773360672.jpg</x:t>
  </x:si>
  <x:si>
    <x:t xml:space="preserve">9.3 Computer &amp; Console Products &gt; Keyboard</x:t>
  </x:si>
  <x:si>
    <x:t xml:space="preserve">https://dghyt15qon7us.cloudfront.net/images/productTheme/Inventory/small/0.64146100%201773300869.jpg</x:t>
  </x:si>
  <x:si>
    <x:t xml:space="preserve">9.3 Computer &amp; Console Products &gt; Computer Hub</x:t>
  </x:si>
  <x:si>
    <x:t xml:space="preserve">https://dghyt15qon7us.cloudfront.net/images/productTheme/Inventory/small/0.69872200%201773300016.jpg</x:t>
  </x:si>
  <x:si>
    <x:t xml:space="preserve">9.3 Computer &amp; Console Products &gt; Wire Speaker</x:t>
  </x:si>
  <x:si>
    <x:t xml:space="preserve">https://dghyt15qon7us.cloudfront.net/images/productTheme/Inventory/small/0.99831400%201773298640.jpg</x:t>
  </x:si>
  <x:si>
    <x:t xml:space="preserve">9.3 Computer &amp; Console Products &gt; USB</x:t>
  </x:si>
  <x:si>
    <x:t xml:space="preserve">https://dghyt15qon7us.cloudfront.net/images/productTheme/Inventory/small/0.12562300%201765082161.jpg</x:t>
  </x:si>
  <x:si>
    <x:t xml:space="preserve">https://dghyt15qon7us.cloudfront.net/images/productTheme/Inventory/small/0.03032500%201765081548.jpg</x:t>
  </x:si>
  <x:si>
    <x:t xml:space="preserve">https://dghyt15qon7us.cloudfront.net/images/productTheme/Inventory/small/0.73051800%20176508208542461984.jpg</x:t>
  </x:si>
  <x:si>
    <x:t xml:space="preserve">https://dghyt15qon7us.cloudfront.net/images/productTheme/Inventory/small/0.91176200%201760919383.jpg</x:t>
  </x:si>
  <x:si>
    <x:t xml:space="preserve">9.3 Computer &amp; Console Products &gt; CPU Cooling &amp; Fans</x:t>
  </x:si>
  <x:si>
    <x:t xml:space="preserve">https://dghyt15qon7us.cloudfront.net/images/productTheme/Inventory/small/0.70360500%201759476036.jpg</x:t>
  </x:si>
  <x:si>
    <x:t xml:space="preserve">9.3 Computer &amp; Console Products &gt; Monitor mounts, arms &amp; stands</x:t>
  </x:si>
  <x:si>
    <x:t xml:space="preserve">https://dghyt15qon7us.cloudfront.net/images/productTheme/Inventory/small/0.52112800%201759474740.jpg</x:t>
  </x:si>
  <x:si>
    <x:t xml:space="preserve">9.3 Computer &amp; Console Products &gt; Headset</x:t>
  </x:si>
  <x:si>
    <x:t xml:space="preserve">https://dghyt15qon7us.cloudfront.net/images/productTheme/Inventory/small/0.34263400%201759037664.jpg</x:t>
  </x:si>
  <x:si>
    <x:t xml:space="preserve">https://dghyt15qon7us.cloudfront.net/images/productTheme/Inventory/small/0.97641600%201759037103.jpg</x:t>
  </x:si>
  <x:si>
    <x:t xml:space="preserve">9.3 Computer &amp; Console Products &gt; Mouse</x:t>
  </x:si>
  <x:si>
    <x:t xml:space="preserve">https://dghyt15qon7us.cloudfront.net/images/productTheme/Inventory/small/0.00543400%201759036781.jpg</x:t>
  </x:si>
  <x:si>
    <x:t xml:space="preserve">https://dghyt15qon7us.cloudfront.net/images/productTheme/Inventory/small/0.08777700%201759035577.jpg</x:t>
  </x:si>
  <x:si>
    <x:t xml:space="preserve">https://dghyt15qon7us.cloudfront.net/images/productTheme/Inventory/small/0.23294600%201759034927.jpg</x:t>
  </x:si>
  <x:si>
    <x:t xml:space="preserve">https://dghyt15qon7us.cloudfront.net/images/productTheme/Inventory/small/0.21763400%201759034733.jpg</x:t>
  </x:si>
  <x:si>
    <x:t xml:space="preserve">https://dghyt15qon7us.cloudfront.net/images/productTheme/Inventory/small/0.55992100%201759033874.jpg</x:t>
  </x:si>
  <x:si>
    <x:t xml:space="preserve">https://dghyt15qon7us.cloudfront.net/images/productTheme/Inventory/small/0.63483000%201759033390.jpg</x:t>
  </x:si>
  <x:si>
    <x:t xml:space="preserve">https://dghyt15qon7us.cloudfront.net/images/productTheme/Inventory/small/0.74820100%201759032834.jpg</x:t>
  </x:si>
  <x:si>
    <x:t xml:space="preserve">https://dghyt15qon7us.cloudfront.net/images/productTheme/Inventory/small/0.09633800%201759032225.jpg</x:t>
  </x:si>
  <x:si>
    <x:t xml:space="preserve">https://dghyt15qon7us.cloudfront.net/images/productTheme/Inventory/small/0.57203400%201759031297.jpg</x:t>
  </x:si>
  <x:si>
    <x:t xml:space="preserve">9.3 Computer &amp; Console Products &gt; Cases (Atx,M-atx,micro-atx)</x:t>
  </x:si>
  <x:si>
    <x:t xml:space="preserve">https://dghyt15qon7us.cloudfront.net/images/productTheme/Inventory/small/0.58427000%201758674735.jpg</x:t>
  </x:si>
  <x:si>
    <x:t xml:space="preserve">https://dghyt15qon7us.cloudfront.net/images/productTheme/Inventory/small/0.85267300%201758674573.jpg</x:t>
  </x:si>
  <x:si>
    <x:t xml:space="preserve">9.3 Computer &amp; Console Products &gt; Consoles &amp; Accessories</x:t>
  </x:si>
  <x:si>
    <x:t xml:space="preserve">https://dghyt15qon7us.cloudfront.net/images/productTheme/Inventory/small/17541024902025080212.41.24.jpg</x:t>
  </x:si>
  <x:si>
    <x:t xml:space="preserve">https://dghyt15qon7us.cloudfront.net/images/productTheme/Inventory/small/17541016122025080212.26.47.jpg</x:t>
  </x:si>
  <x:si>
    <x:t xml:space="preserve">9.3 Computer &amp; Console Products &gt; Power Supplies</x:t>
  </x:si>
  <x:si>
    <x:t xml:space="preserve">https://dghyt15qon7us.cloudfront.net/images/productTheme/Inventory/small/1753424519pkyber850w2000x2000wh.jpg</x:t>
  </x:si>
  <x:si>
    <x:t xml:space="preserve">9.3 Computer &amp; Console Products &gt; Webcams</x:t>
  </x:si>
  <x:si>
    <x:t xml:space="preserve">https://dghyt15qon7us.cloudfront.net/images/productTheme/Inventory/small/0.67945000%201752131204.jpg</x:t>
  </x:si>
  <x:si>
    <x:t xml:space="preserve">https://dghyt15qon7us.cloudfront.net/images/productTheme/Inventory/small/0.37649900%201748054120.jpg</x:t>
  </x:si>
  <x:si>
    <x:t xml:space="preserve">Generated: duplicate source SKU</x:t>
  </x:si>
  <x:si>
    <x:t xml:space="preserve">https://dghyt15qon7us.cloudfront.net/images/productTheme/Inventory/small/0.66585400%201748053791.jpg</x:t>
  </x:si>
  <x:si>
    <x:t xml:space="preserve">https://dghyt15qon7us.cloudfront.net/images/productTheme/Inventory/small/0.70327700%201748053669.jpg</x:t>
  </x:si>
  <x:si>
    <x:t xml:space="preserve">https://dghyt15qon7us.cloudfront.net/images/productTheme/Inventory/small/0.72856600%201748052040.jpg</x:t>
  </x:si>
  <x:si>
    <x:t xml:space="preserve">https://dghyt15qon7us.cloudfront.net/images/productTheme/Inventory/small/0.98140200%201746325210.jpg</x:t>
  </x:si>
  <x:si>
    <x:t xml:space="preserve">9.3 Computer &amp; Console Products &gt; Keyboard Accessories</x:t>
  </x:si>
  <x:si>
    <x:t xml:space="preserve">Generated: source SKU missing/invalid</x:t>
  </x:si>
  <x:si>
    <x:t xml:space="preserve">https://dghyt15qon7us.cloudfront.net/images/productTheme/Inventory/small/0.68000200%201746324266.jpg</x:t>
  </x:si>
  <x:si>
    <x:t xml:space="preserve">https://dghyt15qon7us.cloudfront.net/images/productTheme/Inventory/small/0.43776600%201746323570.jpg</x:t>
  </x:si>
  <x:si>
    <x:t xml:space="preserve">https://dghyt15qon7us.cloudfront.net/images/productTheme/Inventory/small/0.70227900%201746323356.jpg</x:t>
  </x:si>
  <x:si>
    <x:t xml:space="preserve">https://dghyt15qon7us.cloudfront.net/images/productTheme/Inventory/small/0.34323500%201746323062.jpg</x:t>
  </x:si>
  <x:si>
    <x:t xml:space="preserve">https://dghyt15qon7us.cloudfront.net/images/productTheme/Inventory/small/0.08964000%201746321145.jpg</x:t>
  </x:si>
  <x:si>
    <x:t xml:space="preserve">9.3 Computer &amp; Console Products &gt; Racing Simulator</x:t>
  </x:si>
  <x:si>
    <x:t xml:space="preserve">https://dghyt15qon7us.cloudfront.net/images/productTheme/Inventory/small/0.56386300%201746320398.jpg</x:t>
  </x:si>
  <x:si>
    <x:t xml:space="preserve">https://dghyt15qon7us.cloudfront.net/images/productTheme/Inventory/small/0.43951400%201746319951.jpg</x:t>
  </x:si>
  <x:si>
    <x:t xml:space="preserve">https://dghyt15qon7us.cloudfront.net/images/productTheme/Inventory/small/0.22433500%201746319368.jpg</x:t>
  </x:si>
  <x:si>
    <x:t xml:space="preserve">https://dghyt15qon7us.cloudfront.net/images/productTheme/Inventory/small/0.45497100%201746245055.jpg</x:t>
  </x:si>
  <x:si>
    <x:t xml:space="preserve">https://dghyt15qon7us.cloudfront.net/images/productTheme/Inventory/small/0.27328400%201746233389.jpg</x:t>
  </x:si>
  <x:si>
    <x:t xml:space="preserve">https://dghyt15qon7us.cloudfront.net/images/productTheme/Inventory/small/0.31117500%201746233178.jpg</x:t>
  </x:si>
  <x:si>
    <x:t xml:space="preserve">https://dghyt15qon7us.cloudfront.net/images/productTheme/Inventory/small/0.58198900%201746232883.jpg</x:t>
  </x:si>
  <x:si>
    <x:t xml:space="preserve">https://dghyt15qon7us.cloudfront.net/images/productTheme/Inventory/small/0.11721400%201745646848.jpg</x:t>
  </x:si>
  <x:si>
    <x:t xml:space="preserve">https://dghyt15qon7us.cloudfront.net/images/productTheme/Inventory/small/0.86286500%201742696393.jpg</x:t>
  </x:si>
  <x:si>
    <x:t xml:space="preserve">9.3 Computer &amp; Console Products &gt; GPU Holder</x:t>
  </x:si>
  <x:si>
    <x:t xml:space="preserve">https://dghyt15qon7us.cloudfront.net/images/productTheme/Inventory/small/0.93273400%201742696176.jpg</x:t>
  </x:si>
  <x:si>
    <x:t xml:space="preserve">https://dghyt15qon7us.cloudfront.net/images/productTheme/Inventory/small/0.36837500%201742696122.jpg</x:t>
  </x:si>
  <x:si>
    <x:t xml:space="preserve">https://dghyt15qon7us.cloudfront.net/images/productTheme/Inventory/small/0.70784800%20174269607742461277.jpg</x:t>
  </x:si>
  <x:si>
    <x:t xml:space="preserve">https://dghyt15qon7us.cloudfront.net/images/productTheme/Inventory/small/0.95426900%201742695547.jpg</x:t>
  </x:si>
  <x:si>
    <x:t xml:space="preserve">https://dghyt15qon7us.cloudfront.net/images/productTheme/Inventory/small/0.23384000%201742532327.jpg</x:t>
  </x:si>
  <x:si>
    <x:t xml:space="preserve">https://dghyt15qon7us.cloudfront.net/images/productTheme/Inventory/small/0.77696000%201742532032.jpg</x:t>
  </x:si>
  <x:si>
    <x:t xml:space="preserve">https://dghyt15qon7us.cloudfront.net/images/productTheme/Inventory/small/0.32266100%201742531719.jpg</x:t>
  </x:si>
  <x:si>
    <x:t xml:space="preserve">https://dghyt15qon7us.cloudfront.net/images/productTheme/Inventory/small/0.48589100%201742531548.jpg</x:t>
  </x:si>
  <x:si>
    <x:t xml:space="preserve">https://dghyt15qon7us.cloudfront.net/images/productTheme/Inventory/small/0.39140400%201742531322.jpg</x:t>
  </x:si>
  <x:si>
    <x:t xml:space="preserve">https://dghyt15qon7us.cloudfront.net/images/productTheme/Inventory/small/0.42156100%201742531116.jpg</x:t>
  </x:si>
  <x:si>
    <x:t xml:space="preserve">https://dghyt15qon7us.cloudfront.net/images/productTheme/Inventory/small/0.89896500%201742530923.jpg</x:t>
  </x:si>
  <x:si>
    <x:t xml:space="preserve">https://dghyt15qon7us.cloudfront.net/images/productTheme/Inventory/small/1753419367sl400.jpg</x:t>
  </x:si>
  <x:si>
    <x:t xml:space="preserve">https://dghyt15qon7us.cloudfront.net/images/productTheme/Inventory/small/0.65324700%201740371970.jpg</x:t>
  </x:si>
  <x:si>
    <x:t xml:space="preserve">https://dghyt15qon7us.cloudfront.net/images/productTheme/Inventory/small/0.95332200%201740369664.jpg</x:t>
  </x:si>
  <x:si>
    <x:t xml:space="preserve">9.3 Computer &amp; Console Products &gt; Wireless Adapter</x:t>
  </x:si>
  <x:si>
    <x:t xml:space="preserve">https://dghyt15qon7us.cloudfront.net/images/productTheme/Inventory/small/0.04175500%201740368317.jpg</x:t>
  </x:si>
  <x:si>
    <x:t xml:space="preserve">https://dghyt15qon7us.cloudfront.net/images/productTheme/Inventory/small/0.97447500%201740368176.jpg</x:t>
  </x:si>
  <x:si>
    <x:t xml:space="preserve">https://dghyt15qon7us.cloudfront.net/images/productTheme/Inventory/small/0.03977900%20173948911642461199.jpg</x:t>
  </x:si>
  <x:si>
    <x:t xml:space="preserve">https://dghyt15qon7us.cloudfront.net/images/productTheme/Inventory/small/0.74466700%20173872187542461186.jpg</x:t>
  </x:si>
  <x:si>
    <x:t xml:space="preserve">10069</x:t>
  </x:si>
  <x:si>
    <x:t xml:space="preserve">DualSense Wireless Controller - Sterling Silver - PlayStation 5</x:t>
  </x:si>
  <x:si>
    <x:t xml:space="preserve">TM8-PS5-DS-STERLING-SILVER</x:t>
  </x:si>
  <x:si>
    <x:t xml:space="preserve">DualSense Wireless Controller – Sterling Silver - PlayStation 5</x:t>
  </x:si>
  <x:si>
    <x:t xml:space="preserve">Existing POS SKU retained</x:t>
  </x:si>
  <x:si>
    <x:t xml:space="preserve">https://dghyt15qon7us.cloudfront.net/images/productTheme/Inventory/small/0.22737400%201737699975.jpg</x:t>
  </x:si>
  <x:si>
    <x:t xml:space="preserve">10068</x:t>
  </x:si>
  <x:si>
    <x:t xml:space="preserve">DualSense Wireless Controller - Cosmic Red - PlayStation 5</x:t>
  </x:si>
  <x:si>
    <x:t xml:space="preserve">TM8-PS5-DS-COSMIC-RED</x:t>
  </x:si>
  <x:si>
    <x:t xml:space="preserve">https://dghyt15qon7us.cloudfront.net/images/productTheme/Inventory/small/0.52029000%201737699948.jpg</x:t>
  </x:si>
  <x:si>
    <x:t xml:space="preserve">10067</x:t>
  </x:si>
  <x:si>
    <x:t xml:space="preserve">DualSense Wireless Controller - Gray Camouflage</x:t>
  </x:si>
  <x:si>
    <x:t xml:space="preserve">TM8-PS5-DS-GRAY-CAMO</x:t>
  </x:si>
  <x:si>
    <x:t xml:space="preserve">DualSense Wireless Controller – Gray Camouflage</x:t>
  </x:si>
  <x:si>
    <x:t xml:space="preserve">https://dghyt15qon7us.cloudfront.net/images/productTheme/Inventory/small/0.40714800%201737699921.jpg</x:t>
  </x:si>
  <x:si>
    <x:t xml:space="preserve">10066</x:t>
  </x:si>
  <x:si>
    <x:t xml:space="preserve">DualSense Wireless Controller - PlayStation 5 - Black</x:t>
  </x:si>
  <x:si>
    <x:t xml:space="preserve">TM8-PS5-DS-BLACK</x:t>
  </x:si>
  <x:si>
    <x:t xml:space="preserve">https://dghyt15qon7us.cloudfront.net/images/productTheme/Inventory/small/0.14807600%201737699886.jpg</x:t>
  </x:si>
  <x:si>
    <x:t xml:space="preserve">10065</x:t>
  </x:si>
  <x:si>
    <x:t xml:space="preserve">DualSense Wireless Controller - PlayStation 5 - White</x:t>
  </x:si>
  <x:si>
    <x:t xml:space="preserve">TM8-PS5-DS-WHITE</x:t>
  </x:si>
  <x:si>
    <x:t xml:space="preserve">https://dghyt15qon7us.cloudfront.net/images/productTheme/Inventory/small/0.58488600%20173770003542461141.jpg</x:t>
  </x:si>
  <x:si>
    <x:t xml:space="preserve">https://dghyt15qon7us.cloudfront.net/images/productTheme/Inventory/small/0.88112900%201734063901.jpg</x:t>
  </x:si>
  <x:si>
    <x:t xml:space="preserve">https://dghyt15qon7us.cloudfront.net/images/productTheme/Inventory/small/0.11315300%201734063772.jpg</x:t>
  </x:si>
  <x:si>
    <x:t xml:space="preserve">https://dghyt15qon7us.cloudfront.net/images/productTheme/Inventory/small/0.32930800%20173362269542460045.jpg</x:t>
  </x:si>
  <x:si>
    <x:t xml:space="preserve">https://dghyt15qon7us.cloudfront.net/images/productTheme/Inventory/small/0.17532200%20173362257942460042.jpg</x:t>
  </x:si>
  <x:si>
    <x:t xml:space="preserve">https://dghyt15qon7us.cloudfront.net/images/productTheme/Inventory/small/0.50636500%201733622237.jpg</x:t>
  </x:si>
  <x:si>
    <x:t xml:space="preserve">https://dghyt15qon7us.cloudfront.net/images/productTheme/Inventory/small/0.47513000%20173362220642460036.jpg</x:t>
  </x:si>
  <x:si>
    <x:t xml:space="preserve">https://dghyt15qon7us.cloudfront.net/images/productTheme/Inventory/small/0.27053200%20173362215842460033.jpg</x:t>
  </x:si>
  <x:si>
    <x:t xml:space="preserve">https://dghyt15qon7us.cloudfront.net/images/productTheme/Inventory/small/0.30213000%20173362201342460030.jpg</x:t>
  </x:si>
  <x:si>
    <x:t xml:space="preserve">https://dghyt15qon7us.cloudfront.net/images/productTheme/Inventory/small/0.16253800%20173362197042460027.jpg</x:t>
  </x:si>
  <x:si>
    <x:t xml:space="preserve">https://dghyt15qon7us.cloudfront.net/images/productTheme/Inventory/small/0.56990000%20173362192642460024.jpg</x:t>
  </x:si>
  <x:si>
    <x:t xml:space="preserve">https://dghyt15qon7us.cloudfront.net/images/productTheme/Inventory/small/0.84192900%20173406365842460012.jpg</x:t>
  </x:si>
  <x:si>
    <x:t xml:space="preserve">https://dghyt15qon7us.cloudfront.net/images/productTheme/Inventory/small/0.28127600%20173362056842460006.jpg</x:t>
  </x:si>
  <x:si>
    <x:t xml:space="preserve">https://dghyt15qon7us.cloudfront.net/images/productTheme/Inventory/small/0.35266600%20173362049042460003.jpg</x:t>
  </x:si>
  <x:si>
    <x:t xml:space="preserve">https://dghyt15qon7us.cloudfront.net/images/productTheme/Inventory/small/0.48311700%20173362047342460000.jpg</x:t>
  </x:si>
  <x:si>
    <x:t xml:space="preserve">https://dghyt15qon7us.cloudfront.net/images/productTheme/Inventory/small/0.40096900%20173362045642459997.jpg</x:t>
  </x:si>
  <x:si>
    <x:t xml:space="preserve">https://dghyt15qon7us.cloudfront.net/images/productTheme/Inventory/small/0.43376900%20173362013642459982.jpg</x:t>
  </x:si>
  <x:si>
    <x:t xml:space="preserve">https://dghyt15qon7us.cloudfront.net/images/productTheme/Inventory/small/0.10504800%201727412231.jpg</x:t>
  </x:si>
  <x:si>
    <x:t xml:space="preserve">https://dghyt15qon7us.cloudfront.net/images/productTheme/Inventory/small/0.48604000%201727412160.jpg</x:t>
  </x:si>
  <x:si>
    <x:t xml:space="preserve">https://dghyt15qon7us.cloudfront.net/images/productTheme/Inventory/small/0.34508600%201727412071.jpg</x:t>
  </x:si>
  <x:si>
    <x:t xml:space="preserve">https://dghyt15qon7us.cloudfront.net/images/productTheme/Inventory/small/0.05148700%201727411992.jpg</x:t>
  </x:si>
  <x:si>
    <x:t xml:space="preserve">9.3 Computer &amp; Console Products &gt; Office combo</x:t>
  </x:si>
  <x:si>
    <x:t xml:space="preserve">https://dghyt15qon7us.cloudfront.net/images/productTheme/Inventory/small/0.74837200%201727411801.jpg</x:t>
  </x:si>
  <x:si>
    <x:t xml:space="preserve">https://dghyt15qon7us.cloudfront.net/images/productTheme/Inventory/small/0.85124500%201727411627.jpg</x:t>
  </x:si>
  <x:si>
    <x:t xml:space="preserve">https://dghyt15qon7us.cloudfront.net/images/productTheme/Inventory/small/0.68200900%20172741144442459145.jpg</x:t>
  </x:si>
  <x:si>
    <x:t xml:space="preserve">https://dghyt15qon7us.cloudfront.net/images/productTheme/Inventory/small/0.00750000%20172741142342459142.jpg</x:t>
  </x:si>
  <x:si>
    <x:t xml:space="preserve">https://dghyt15qon7us.cloudfront.net/images/productTheme/Inventory/small/0.52518600%20172741145742459139.jpg</x:t>
  </x:si>
  <x:si>
    <x:t xml:space="preserve">https://dghyt15qon7us.cloudfront.net/images/productTheme/Inventory/small/0.77282500%20172741146542459136.jpg</x:t>
  </x:si>
  <x:si>
    <x:t xml:space="preserve">CSGO Keycaps Set</x:t>
  </x:si>
  <x:si>
    <x:t xml:space="preserve">https://dghyt15qon7us.cloudfront.net/images/productTheme/Inventory/small/0.22143400%201721954752.jpg</x:t>
  </x:si>
  <x:si>
    <x:t xml:space="preserve">https://dghyt15qon7us.cloudfront.net/images/productTheme/Inventory/small/0.11447100%201721954685.jpg</x:t>
  </x:si>
  <x:si>
    <x:t xml:space="preserve">https://dghyt15qon7us.cloudfront.net/images/productTheme/Inventory/small/0.44267800%201721954494.jpg</x:t>
  </x:si>
  <x:si>
    <x:t xml:space="preserve">https://dghyt15qon7us.cloudfront.net/images/productTheme/Inventory/small/0.90283800%201720145186.jpg</x:t>
  </x:si>
  <x:si>
    <x:t xml:space="preserve">https://dghyt15qon7us.cloudfront.net/images/productTheme/Inventory/small/0.43833900%20172946837042458900.jpg</x:t>
  </x:si>
  <x:si>
    <x:t xml:space="preserve">https://dghyt15qon7us.cloudfront.net/images/productTheme/Inventory/small/0.14034700%201718852925.jpg</x:t>
  </x:si>
  <x:si>
    <x:t xml:space="preserve">https://dghyt15qon7us.cloudfront.net/images/productTheme/Inventory/small/0.77391600%20171885300142458886.jpg</x:t>
  </x:si>
  <x:si>
    <x:t xml:space="preserve">https://dghyt15qon7us.cloudfront.net/images/productTheme/Inventory/small/0.87942300%201718852322.jpg</x:t>
  </x:si>
  <x:si>
    <x:t xml:space="preserve">https://dghyt15qon7us.cloudfront.net/images/productTheme/Inventory/small/0.68186800%201707008148.jpg</x:t>
  </x:si>
  <x:si>
    <x:t xml:space="preserve">https://dghyt15qon7us.cloudfront.net/images/productTheme/Inventory/small/0.88971700%201707007731.jpg</x:t>
  </x:si>
  <x:si>
    <x:t xml:space="preserve">https://dghyt15qon7us.cloudfront.net/images/productTheme/Inventory/small/1700792409.jpg</x:t>
  </x:si>
  <x:si>
    <x:t xml:space="preserve">https://dghyt15qon7us.cloudfront.net/images/productTheme/Inventory/small/1697440384.jpg</x:t>
  </x:si>
  <x:si>
    <x:t xml:space="preserve">https://dghyt15qon7us.cloudfront.net/images/productTheme/Inventory/small/1697428076.jpg</x:t>
  </x:si>
  <x:si>
    <x:t xml:space="preserve">https://dghyt15qon7us.cloudfront.net/images/productTheme/Inventory/small/1692493032.jpg</x:t>
  </x:si>
  <x:si>
    <x:t xml:space="preserve">https://dghyt15qon7us.cloudfront.net/images/productTheme/Inventory/small/1692176112.jpg</x:t>
  </x:si>
  <x:si>
    <x:t xml:space="preserve">9.3 Computer &amp; Console Products &gt; Microphones</x:t>
  </x:si>
  <x:si>
    <x:t xml:space="preserve">https://dghyt15qon7us.cloudfront.net/images/productTheme/Inventory/small/1691121181.jpg</x:t>
  </x:si>
  <x:si>
    <x:t xml:space="preserve">https://dghyt15qon7us.cloudfront.net/images/productTheme/Inventory/small/1688703238.jpg</x:t>
  </x:si>
  <x:si>
    <x:t xml:space="preserve">https://dghyt15qon7us.cloudfront.net/images/productTheme/Inventory/small/1686629441.jpg</x:t>
  </x:si>
  <x:si>
    <x:t xml:space="preserve">9.3 Computer &amp; Console Products &gt; SD Card</x:t>
  </x:si>
  <x:si>
    <x:t xml:space="preserve">https://dghyt15qon7us.cloudfront.net/images/productTheme/Inventory/small/167546697242457532.jpg</x:t>
  </x:si>
  <x:si>
    <x:t xml:space="preserve">https://dghyt15qon7us.cloudfront.net/images/productTheme/Inventory/small/167546700342457531.jpg</x:t>
  </x:si>
  <x:si>
    <x:t xml:space="preserve">https://dghyt15qon7us.cloudfront.net/images/productTheme/Inventory/small/167546706342457530.jpg</x:t>
  </x:si>
  <x:si>
    <x:t xml:space="preserve">https://dghyt15qon7us.cloudfront.net/images/productTheme/Inventory/small/167546709442457529.jpg</x:t>
  </x:si>
  <x:si>
    <x:t xml:space="preserve">https://dghyt15qon7us.cloudfront.net/images/productTheme/Inventory/small/1673417554.jpg</x:t>
  </x:si>
  <x:si>
    <x:t xml:space="preserve">https://dghyt15qon7us.cloudfront.net/images/productTheme/Inventory/small/1669875852.jpg</x:t>
  </x:si>
  <x:si>
    <x:t xml:space="preserve">https://dghyt15qon7us.cloudfront.net/images/productTheme/Inventory/small/1669875589.jpg</x:t>
  </x:si>
  <x:si>
    <x:t xml:space="preserve">https://dghyt15qon7us.cloudfront.net/images/productTheme/Inventory/small/1659163269.jpg</x:t>
  </x:si>
  <x:si>
    <x:t xml:space="preserve">https://dghyt15qon7us.cloudfront.net/images/productTheme/Inventory/small/165922417142456559.jpg</x:t>
  </x:si>
  <x:si>
    <x:t xml:space="preserve">https://dghyt15qon7us.cloudfront.net/images/productTheme/Inventory/small/167581228142456558.jpg</x:t>
  </x:si>
  <x:si>
    <x:t xml:space="preserve">https://dghyt15qon7us.cloudfront.net/images/productTheme/Inventory/small/1659162799.jpg</x:t>
  </x:si>
  <x:si>
    <x:t xml:space="preserve">https://dghyt15qon7us.cloudfront.net/images/productTheme/Inventory/small/165916219342456523.jpg</x:t>
  </x:si>
  <x:si>
    <x:t xml:space="preserve">https://dghyt15qon7us.cloudfront.net/images/productTheme/Inventory/small/1658393796.jpg</x:t>
  </x:si>
  <x:si>
    <x:t xml:space="preserve">https://dghyt15qon7us.cloudfront.net/images/productTheme/Inventory/small/1651974596.jpg</x:t>
  </x:si>
  <x:si>
    <x:t xml:space="preserve">https://dghyt15qon7us.cloudfront.net/images/productTheme/Inventory/small/1651798797.jpg</x:t>
  </x:si>
  <x:si>
    <x:t xml:space="preserve">https://dghyt15qon7us.cloudfront.net/images/productTheme/Inventory/small/1651798740.jpg</x:t>
  </x:si>
  <x:si>
    <x:t xml:space="preserve">https://dghyt15qon7us.cloudfront.net/images/productTheme/Inventory/small/1651798417.jpg</x:t>
  </x:si>
  <x:si>
    <x:t xml:space="preserve">https://dghyt15qon7us.cloudfront.net/images/productTheme/Inventory/small/1651798294.jpg</x:t>
  </x:si>
  <x:si>
    <x:t xml:space="preserve">https://dghyt15qon7us.cloudfront.net/images/productTheme/Inventory/small/1651798192.jpg</x:t>
  </x:si>
  <x:si>
    <x:t xml:space="preserve">https://dghyt15qon7us.cloudfront.net/images/productTheme/Inventory/small/1651798057.jpg</x:t>
  </x:si>
  <x:si>
    <x:t xml:space="preserve">https://dghyt15qon7us.cloudfront.net/images/productTheme/Inventory/small/1651797869.jpg</x:t>
  </x:si>
  <x:si>
    <x:t xml:space="preserve">https://dghyt15qon7us.cloudfront.net/images/productTheme/Inventory/small/1651797845.jpg</x:t>
  </x:si>
  <x:si>
    <x:t xml:space="preserve">https://dghyt15qon7us.cloudfront.net/images/productTheme/Inventory/small/1651797778.jpg</x:t>
  </x:si>
  <x:si>
    <x:t xml:space="preserve">https://dghyt15qon7us.cloudfront.net/images/productTheme/Inventory/small/165179793442456314.jpg</x:t>
  </x:si>
  <x:si>
    <x:t xml:space="preserve">https://dghyt15qon7us.cloudfront.net/images/productTheme/Inventory/small/168816823242456313.jpg</x:t>
  </x:si>
  <x:si>
    <x:t xml:space="preserve">https://dghyt15qon7us.cloudfront.net/images/productTheme/Inventory/small/168816832542456312.jpg</x:t>
  </x:si>
  <x:si>
    <x:t xml:space="preserve">https://dghyt15qon7us.cloudfront.net/images/productTheme/Inventory/small/168816840742456311.jpg</x:t>
  </x:si>
  <x:si>
    <x:t xml:space="preserve">https://dghyt15qon7us.cloudfront.net/images/productTheme/Inventory/small/165069185342456310.jpg</x:t>
  </x:si>
  <x:si>
    <x:t xml:space="preserve">https://dghyt15qon7us.cloudfront.net/images/productTheme/Inventory/small/165069187842456309.jpg</x:t>
  </x:si>
  <x:si>
    <x:t xml:space="preserve">https://dghyt15qon7us.cloudfront.net/images/productTheme/Inventory/small/165069191242456308.jpg</x:t>
  </x:si>
  <x:si>
    <x:t xml:space="preserve">https://dghyt15qon7us.cloudfront.net/images/productTheme/Inventory/small/165069193742456307.jpg</x:t>
  </x:si>
  <x:si>
    <x:t xml:space="preserve">https://dghyt15qon7us.cloudfront.net/images/productTheme/Inventory/small/165069196242456306.jpg</x:t>
  </x:si>
  <x:si>
    <x:t xml:space="preserve">https://dghyt15qon7us.cloudfront.net/images/productTheme/Inventory/small/165069197942456305.jpg</x:t>
  </x:si>
  <x:si>
    <x:t xml:space="preserve">https://dghyt15qon7us.cloudfront.net/images/productTheme/Inventory/small/165069199642456304.jpg</x:t>
  </x:si>
  <x:si>
    <x:t xml:space="preserve">https://dghyt15qon7us.cloudfront.net/images/productTheme/Inventory/small/165069202242456303.jpg</x:t>
  </x:si>
  <x:si>
    <x:t xml:space="preserve">https://dghyt15qon7us.cloudfront.net/images/productTheme/Inventory/small/165076112842456302.jpg</x:t>
  </x:si>
  <x:si>
    <x:t xml:space="preserve">https://dghyt15qon7us.cloudfront.net/images/productTheme/Inventory/small/165076120442456301.jpg</x:t>
  </x:si>
  <x:si>
    <x:t xml:space="preserve">https://dghyt15qon7us.cloudfront.net/images/productTheme/Inventory/small/165076122042456300.jpg</x:t>
  </x:si>
  <x:si>
    <x:t xml:space="preserve">https://dghyt15qon7us.cloudfront.net/images/productTheme/Inventory/small/165076123742456299.jpg</x:t>
  </x:si>
  <x:si>
    <x:t xml:space="preserve">https://dghyt15qon7us.cloudfront.net/images/productTheme/Inventory/small/165076104242456298.jpg</x:t>
  </x:si>
  <x:si>
    <x:t xml:space="preserve">https://dghyt15qon7us.cloudfront.net/images/productTheme/Inventory/small/165069158542456297.jpg</x:t>
  </x:si>
  <x:si>
    <x:t xml:space="preserve">https://dghyt15qon7us.cloudfront.net/images/productTheme/Inventory/small/165069153142456296.jpg</x:t>
  </x:si>
  <x:si>
    <x:t xml:space="preserve">https://dghyt15qon7us.cloudfront.net/images/productTheme/Inventory/small/165069156042456295.jpg</x:t>
  </x:si>
  <x:si>
    <x:t xml:space="preserve">https://dghyt15qon7us.cloudfront.net/images/productTheme/Inventory/small/0.60714400%20174053265042456207.jpg</x:t>
  </x:si>
  <x:si>
    <x:t xml:space="preserve">https://dghyt15qon7us.cloudfront.net/images/productTheme/Inventory/small/1645157472.jpg</x:t>
  </x:si>
  <x:si>
    <x:t xml:space="preserve">https://dghyt15qon7us.cloudfront.net/images/productTheme/Inventory/small/1645156844.jpg</x:t>
  </x:si>
  <x:si>
    <x:t xml:space="preserve">https://dghyt15qon7us.cloudfront.net/images/productTheme/Inventory/small/1645156615.jpg</x:t>
  </x:si>
  <x:si>
    <x:t xml:space="preserve">https://dghyt15qon7us.cloudfront.net/images/productTheme/Inventory/small/1645156217.jpg</x:t>
  </x:si>
  <x:si>
    <x:t xml:space="preserve">https://dghyt15qon7us.cloudfront.net/images/productTheme/Inventory/small/1645156065.jpg</x:t>
  </x:si>
  <x:si>
    <x:t xml:space="preserve">https://dghyt15qon7us.cloudfront.net/images/productTheme/Inventory/small/1645155879.jpg</x:t>
  </x:si>
  <x:si>
    <x:t xml:space="preserve">https://dghyt15qon7us.cloudfront.net/images/productTheme/Inventory/small/1645155670.jpg</x:t>
  </x:si>
  <x:si>
    <x:t xml:space="preserve">https://dghyt15qon7us.cloudfront.net/images/productTheme/Inventory/small/164515546542455920.jpg</x:t>
  </x:si>
  <x:si>
    <x:t xml:space="preserve">9.3 Computer &amp; Console Products &gt; Laptop Bag</x:t>
  </x:si>
  <x:si>
    <x:t xml:space="preserve">https://dghyt15qon7us.cloudfront.net/images/productTheme/Inventory/small/1642227797.jpg</x:t>
  </x:si>
  <x:si>
    <x:t xml:space="preserve">https://dghyt15qon7us.cloudfront.net/images/productTheme/Inventory/small/1642227768.jpg</x:t>
  </x:si>
  <x:si>
    <x:t xml:space="preserve">https://dghyt15qon7us.cloudfront.net/images/productTheme/Inventory/small/1642227735.jpg</x:t>
  </x:si>
  <x:si>
    <x:t xml:space="preserve">https://dghyt15qon7us.cloudfront.net/images/productTheme/Inventory/small/1642227703.jpg</x:t>
  </x:si>
  <x:si>
    <x:t xml:space="preserve">https://dghyt15qon7us.cloudfront.net/images/productTheme/Inventory/small/1642227659.jpg</x:t>
  </x:si>
  <x:si>
    <x:t xml:space="preserve">https://dghyt15qon7us.cloudfront.net/images/productTheme/Inventory/small/1642227609.jpg</x:t>
  </x:si>
  <x:si>
    <x:t xml:space="preserve">https://dghyt15qon7us.cloudfront.net/images/productTheme/Inventory/small/1642140297.jpg</x:t>
  </x:si>
  <x:si>
    <x:t xml:space="preserve">https://dghyt15qon7us.cloudfront.net/images/productTheme/Inventory/small/1642140090.jpg</x:t>
  </x:si>
  <x:si>
    <x:t xml:space="preserve">Product Review Row</x:t>
  </x:si>
  <x:si>
    <x:t xml:space="preserve">Missing Image Status</x:t>
  </x:si>
  <x:si>
    <x:t xml:space="preserve">Where To Enter</x:t>
  </x:si>
  <x:si>
    <x:t xml:space="preserve">MISSING</x:t>
  </x:si>
  <x:si>
    <x:t xml:space="preserve">Paste the image URL into Product Review!U33</x:t>
  </x:si>
  <x:si>
    <x:t xml:space="preserve">Paste the image URL into Product Review!U79</x:t>
  </x:si>
  <x:si>
    <x:t xml:space="preserve">Paste the image URL into Product Review!U80</x:t>
  </x:si>
  <x:si>
    <x:t xml:space="preserve">Source Category / Rule</x:t>
  </x:si>
  <x:si>
    <x:t xml:space="preserve">Reason</x:t>
  </x:si>
  <x:si>
    <x:t xml:space="preserve">Source Count</x:t>
  </x:si>
  <x:si>
    <x:t xml:space="preserve">Computer Cables: AUX/audio</x:t>
  </x:si>
  <x:si>
    <x:t xml:space="preserve">Classify by cable function, not computer ownership.</x:t>
  </x:si>
  <x:si>
    <x:t xml:space="preserve">Rule-based</x:t>
  </x:si>
  <x:si>
    <x:t xml:space="preserve">Computer Cables: network/patch</x:t>
  </x:si>
  <x:si>
    <x:t xml:space="preserve">Keeps Ethernet and patch cables together.</x:t>
  </x:si>
  <x:si>
    <x:t xml:space="preserve">Computer Cables: remaining</x:t>
  </x:si>
  <x:si>
    <x:t xml:space="preserve">HDMI, DP, DVI, VGA, printer and computer power cables.</x:t>
  </x:si>
  <x:si>
    <x:t xml:space="preserve">PC Parts / CPU Cooling &amp; Fans / Cases (Atx,M-atx,micro-atx) / Power Supplies / GPU Holder</x:t>
  </x:si>
  <x:si>
    <x:t xml:space="preserve">Internal PC components and supporting hardware.</x:t>
  </x:si>
  <x:si>
    <x:t xml:space="preserve">Keyboard / Mouse / Keyboard Accessories / Office combo / Webcams</x:t>
  </x:si>
  <x:si>
    <x:t xml:space="preserve">Fast POS browsing for desk peripherals.</x:t>
  </x:si>
  <x:si>
    <x:t xml:space="preserve">Computer Hub</x:t>
  </x:si>
  <x:si>
    <x:t xml:space="preserve">USB and display expansion products.</x:t>
  </x:si>
  <x:si>
    <x:t xml:space="preserve">Wireless Adapter</x:t>
  </x:si>
  <x:si>
    <x:t xml:space="preserve">Wi-Fi and Bluetooth network adapters.</x:t>
  </x:si>
  <x:si>
    <x:t xml:space="preserve">USB / SD Card</x:t>
  </x:si>
  <x:si>
    <x:t xml:space="preserve">Portable flash and memory storage.</x:t>
  </x:si>
  <x:si>
    <x:t xml:space="preserve">Adapter/reader function takes priority over storage media.</x:t>
  </x:si>
  <x:si>
    <x:t xml:space="preserve">Consoles &amp; Accessories</x:t>
  </x:si>
  <x:si>
    <x:t xml:space="preserve">Console controllers, docks and console accessories.</x:t>
  </x:si>
  <x:si>
    <x:t xml:space="preserve">Racing Simulator</x:t>
  </x:si>
  <x:si>
    <x:t xml:space="preserve">Racing wheels, pedals, shifters and simulator accessories.</x:t>
  </x:si>
  <x:si>
    <x:t xml:space="preserve">Laptop Bag</x:t>
  </x:si>
  <x:si>
    <x:t xml:space="preserve">New second-level POS category for laptop carry products.</x:t>
  </x:si>
  <x:si>
    <x:t xml:space="preserve">Headset</x:t>
  </x:si>
  <x:si>
    <x:t xml:space="preserve">Headsets / Headphones</x:t>
  </x:si>
  <x:si>
    <x:t xml:space="preserve">Gaming headsets stay under Audio; headphone-only items remain Headphones.</x:t>
  </x:si>
  <x:si>
    <x:t xml:space="preserve">Wire Speaker / Microphones</x:t>
  </x:si>
  <x:si>
    <x:t xml:space="preserve">Speakers / Microphones</x:t>
  </x:si>
  <x:si>
    <x:t xml:space="preserve">Classify by audio product function.</x:t>
  </x:si>
  <x:si>
    <x:t xml:space="preserve">Monitor mounts, arms &amp; stands</x:t>
  </x:si>
  <x:si>
    <x:t xml:space="preserve">Display support hardware belongs with mounting products.</x:t>
  </x:si>
</x:sst>
</file>

<file path=xl/styles.xml><?xml version="1.0" encoding="utf-8"?>
<x:styleSheet xmlns:x="http://schemas.openxmlformats.org/spreadsheetml/2006/main">
  <x:numFmts count="3">
    <x:numFmt numFmtId="176" formatCode="\$#,##0.00"/>
    <x:numFmt numFmtId="200" formatCode="$#,##0.00"/>
    <x:numFmt numFmtId="201" formatCode="0.0%"/>
  </x:numFmts>
  <x:fonts count="1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5C4700"/>
      <x:name val="Carlito"/>
    </x:font>
    <x:font>
      <x:b/>
      <x:sz val="11"/>
      <x:color rgb="FF204B7A"/>
      <x:name val="Carlito"/>
    </x:font>
    <x:font>
      <x:b/>
      <x:sz val="11"/>
      <x:color rgb="FF075E54"/>
      <x:name val="Carlito"/>
    </x:font>
    <x:font>
      <x:sz val="11"/>
      <x:color rgb="FF31434A"/>
      <x:name val="Carlito"/>
    </x:font>
    <x:font>
      <x:b/>
      <x:sz val="11"/>
      <x:color rgb="FF9C2F22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  <x:font>
      <x:sz val="11"/>
      <x:color rgb="FF9C2F22"/>
      <x:name val="Carlito"/>
    </x:font>
    <x:font>
      <x:b/>
      <x:sz val="11"/>
      <x:color rgb="FF9A4D00"/>
      <x:name val="Carlito"/>
    </x:font>
    <x:font>
      <x:sz val="11"/>
      <x:color rgb="FF9A4D00"/>
      <x:name val="Carlito"/>
    </x:font>
    <x:font>
      <x:sz val="11"/>
      <x:color rgb="FF59636B"/>
      <x:name val="Carlito"/>
    </x:font>
    <x:font>
      <x:b/>
      <x:sz val="11"/>
      <x:color rgb="FF59636B"/>
      <x:name val="Carlito"/>
    </x:font>
    <x:font>
      <x:sz val="11"/>
      <x:color rgb="FF204B7A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087F6B"/>
      </x:patternFill>
    </x:fill>
    <x:fill>
      <x:patternFill patternType="solid">
        <x:fgColor rgb="FFFFF1B8"/>
      </x:patternFill>
    </x:fill>
    <x:fill>
      <x:patternFill patternType="solid">
        <x:fgColor rgb="FFEAF2FF"/>
      </x:patternFill>
    </x:fill>
    <x:fill>
      <x:patternFill patternType="solid">
        <x:fgColor rgb="FFDFF4EF"/>
      </x:patternFill>
    </x:fill>
    <x:fill>
      <x:patternFill patternType="solid">
        <x:fgColor rgb="FFF7FAFA"/>
      </x:patternFill>
    </x:fill>
    <x:fill>
      <x:patternFill patternType="solid">
        <x:fgColor rgb="FFFDE7E3"/>
      </x:patternFill>
    </x:fill>
    <x:fill>
      <x:patternFill patternType="solid">
        <x:fgColor rgb="FFFFF8D8"/>
      </x:patternFill>
    </x:fill>
    <x:fill>
      <x:patternFill patternType="solid">
        <x:fgColor rgb="FF9C2F22"/>
      </x:patternFill>
    </x:fill>
    <x:fill>
      <x:patternFill patternType="solid">
        <x:fgColor rgb="FFFF0000"/>
      </x:patternFill>
    </x:fill>
    <x:fill>
      <x:patternFill patternType="solid">
        <x:fgColor rgb="FFFDE7E3"/>
      </x:patternFill>
    </x:fill>
    <x:fill>
      <x:patternFill patternType="solid">
        <x:fgColor rgb="FFFCE8D5"/>
      </x:patternFill>
    </x:fill>
    <x:fill>
      <x:patternFill patternType="solid">
        <x:fgColor rgb="FFEAF2FF"/>
      </x:patternFill>
    </x:fill>
    <x:fill>
      <x:patternFill patternType="solid">
        <x:fgColor rgb="FFEEF1F3"/>
      </x:patternFill>
    </x:fill>
    <x:fill>
      <x:patternFill patternType="solid">
        <x:fgColor rgb="FF087F6B"/>
      </x:patternFill>
    </x:fill>
  </x:fills>
  <x:borders count="1">
    <x:border/>
  </x:borders>
  <x:cellStyleXfs count="2">
    <x:xf numFmtId="0" fontId="0" fillId="0" borderId="0"/>
    <x:xf numFmtId="0" fontId="8" fillId="0" borderId="0"/>
  </x:cellStyleXfs>
  <x:cellXfs count="49">
    <x:xf numFmtId="0" fontId="0" fillId="0" borderId="0" xfId="0"/>
    <x:xf numFmtId="0" fontId="2" fillId="3" borderId="0" xfId="1" applyFont="1" applyFill="1"/>
    <x:xf numFmtId="0" fontId="4" fillId="5" borderId="0" xfId="1" applyFont="1" applyFill="1"/>
    <x:xf numFmtId="1" fontId="0" fillId="0" borderId="0" xfId="1" applyNumberFormat="1" applyFont="1"/>
    <x:xf numFmtId="0" fontId="6" fillId="7" borderId="0" xfId="1" applyFont="1" applyFill="1" applyAlignment="1">
      <x:alignment wrapText="1"/>
    </x:xf>
    <x:xf numFmtId="0" fontId="7" fillId="2" borderId="0" xfId="1" applyFont="1" applyFill="1" applyAlignment="1">
      <x:alignment wrapText="1"/>
    </x:xf>
    <x:xf numFmtId="0" fontId="0" fillId="0" borderId="0" xfId="1" applyFont="1" applyAlignment="1">
      <x:alignment wrapText="1"/>
    </x:xf>
    <x:xf numFmtId="176" fontId="2" fillId="3" borderId="0" xfId="1" applyNumberFormat="1" applyFont="1" applyFill="1" applyAlignment="1">
      <x:alignment wrapText="1"/>
    </x:xf>
    <x:xf numFmtId="176" fontId="0" fillId="0" borderId="0" xfId="1" applyNumberFormat="1" applyFont="1" applyAlignment="1">
      <x:alignment wrapText="1"/>
    </x:xf>
    <x:xf numFmtId="1" fontId="0" fillId="0" borderId="0" xfId="1" applyNumberFormat="1" applyFont="1" applyAlignment="1">
      <x:alignment wrapText="1"/>
    </x:xf>
    <x:xf numFmtId="0" fontId="0" fillId="8" borderId="0" xfId="1" applyFont="1" applyFill="1" applyAlignment="1">
      <x:alignment wrapText="1"/>
    </x:xf>
    <x:xf numFmtId="176" fontId="3" fillId="4" borderId="0" xfId="1" applyNumberFormat="1" applyFont="1" applyFill="1" applyAlignment="1">
      <x:alignment wrapText="1"/>
    </x:xf>
    <x:xf numFmtId="49" fontId="0" fillId="0" borderId="0" xfId="1" applyNumberFormat="1" applyFont="1" applyAlignment="1">
      <x:alignment wrapText="1"/>
    </x:xf>
    <x:xf numFmtId="0" fontId="7" fillId="9" borderId="0" xfId="1" applyFont="1" applyFill="1" applyAlignment="1">
      <x:alignment wrapText="1"/>
    </x:xf>
    <x:xf numFmtId="0" fontId="1" fillId="2" borderId="0" xfId="1" applyFont="1" applyFill="1" applyAlignment="1">
      <x:alignment vertical="center"/>
    </x:xf>
    <x:xf numFmtId="0" fontId="3" fillId="4" borderId="0" xfId="1" applyFont="1" applyFill="1" applyAlignment="1">
      <x:alignment wrapText="1"/>
    </x:xf>
    <x:xf numFmtId="0" fontId="4" fillId="5" borderId="0" xfId="1" applyFont="1" applyFill="1"/>
    <x:xf numFmtId="0" fontId="5" fillId="6" borderId="0" xfId="1" applyFont="1" applyFill="1" applyAlignment="1">
      <x:alignment wrapText="1"/>
    </x:xf>
    <x:xf numFmtId="0" fontId="6" fillId="7" borderId="0" xfId="1" applyFont="1" applyFill="1" applyAlignment="1">
      <x:alignment wrapText="1"/>
    </x:xf>
    <x:xf numFmtId="0" fontId="0" fillId="10" borderId="0" xfId="1" applyFont="1" applyFill="1" applyAlignment="1">
      <x:alignment wrapText="1"/>
    </x:xf>
    <x:xf numFmtId="1" fontId="0" fillId="10" borderId="0" xfId="1" applyNumberFormat="1" applyFont="1" applyFill="1" applyAlignment="1">
      <x:alignment wrapText="1"/>
    </x:xf>
    <x:xf numFmtId="176" fontId="0" fillId="10" borderId="0" xfId="1" applyNumberFormat="1" applyFont="1" applyFill="1" applyAlignment="1">
      <x:alignment wrapText="1"/>
    </x:xf>
    <x:xf numFmtId="176" fontId="2" fillId="10" borderId="0" xfId="1" applyNumberFormat="1" applyFont="1" applyFill="1" applyAlignment="1">
      <x:alignment wrapText="1"/>
    </x:xf>
    <x:xf numFmtId="0" fontId="0" fillId="10" borderId="0" xfId="0" applyFill="1"/>
    <x:xf numFmtId="0" fontId="0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11" fillId="12" borderId="0" xfId="0" applyNumberFormat="1" applyFont="1" applyFill="1" applyBorder="1" applyAlignment="1">
      <x:alignment wrapText="1"/>
    </x:xf>
    <x:xf numFmtId="0" fontId="12" fillId="12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6" fillId="14" borderId="0" xfId="0" applyNumberFormat="1" applyFont="1" applyFill="1" applyBorder="1" applyAlignment="1">
      <x:alignment wrapText="1"/>
    </x:xf>
    <x:xf numFmtId="0" fontId="13" fillId="14" borderId="0" xfId="0" applyNumberFormat="1" applyFont="1" applyFill="1" applyBorder="1" applyAlignment="1">
      <x:alignment wrapText="1"/>
    </x:xf>
    <x:xf numFmtId="0" fontId="14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vertical="center"/>
    </x:xf>
    <x:xf numFmtId="0" fontId="15" fillId="13" borderId="0" xfId="0" applyNumberFormat="1" applyFont="1" applyFill="1" applyBorder="1"/>
    <x:xf numFmtId="0" fontId="15" fillId="13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2">
    <x:cellStyle name="Normal" xfId="1"/>
    <x:cellStyle name="常规" xfId="0"/>
  </x:cellStyles>
  <x:dxfs count="12">
    <x:dxf>
      <x:font>
        <x:b/>
        <x:color rgb="FF075E54"/>
      </x:font>
      <x:fill>
        <x:patternFill>
          <x:bgColor rgb="FFDFF4EF"/>
        </x:patternFill>
      </x:fill>
    </x:dxf>
    <x:dxf>
      <x:font>
        <x:b/>
        <x:color rgb="FF9C2F22"/>
      </x:font>
      <x:fill>
        <x:patternFill>
          <x:bgColor rgb="FFFDE7E3"/>
        </x:patternFill>
      </x:fill>
    </x:dxf>
    <x:dxf>
      <x:font>
        <x:b/>
        <x:color rgb="FF9C2F22"/>
      </x:font>
      <x:fill>
        <x:patternFill>
          <x:bgColor rgb="FFFDE7E3"/>
        </x:patternFill>
      </x:fill>
    </x:dxf>
    <x:dxf>
      <x:font>
        <x:b/>
        <x:color rgb="FF9A4D00"/>
      </x:font>
      <x:fill>
        <x:patternFill>
          <x:bgColor rgb="FFFCE8D5"/>
        </x:patternFill>
      </x:fill>
    </x:dxf>
    <x:dxf>
      <x:font>
        <x:b/>
        <x:color rgb="FF9C2F22"/>
      </x:font>
      <x:fill>
        <x:patternFill>
          <x:bgColor rgb="FFFDE7E3"/>
        </x:patternFill>
      </x:fill>
    </x:dxf>
    <x:dxf>
      <x:font>
        <x:b/>
        <x:color rgb="FF59636B"/>
      </x:font>
      <x:fill>
        <x:patternFill>
          <x:bgColor rgb="FFEEF1F3"/>
        </x:patternFill>
      </x:fill>
    </x:dxf>
    <x:dxf>
      <x:font>
        <x:b/>
        <x:color rgb="FF9C2F22"/>
      </x:font>
      <x:fill>
        <x:patternFill>
          <x:bgColor rgb="FFFDE7E3"/>
        </x:patternFill>
      </x:fill>
    </x:dxf>
    <x:dxf>
      <x:font>
        <x:b/>
        <x:color rgb="FF9A4D00"/>
      </x:font>
      <x:fill>
        <x:patternFill>
          <x:bgColor rgb="FFFCE8D5"/>
        </x:patternFill>
      </x:fill>
    </x:dxf>
    <x:dxf>
      <x:font>
        <x:b/>
        <x:color rgb="FF9C2F22"/>
      </x:font>
      <x:fill>
        <x:patternFill>
          <x:bgColor rgb="FFFDE7E3"/>
        </x:patternFill>
      </x:fill>
    </x:dxf>
    <x:dxf>
      <x:font>
        <x:b/>
        <x:color rgb="FF075E54"/>
      </x:font>
      <x:fill>
        <x:patternFill patternType="solid">
          <x:bgColor rgb="FFDFF4EF"/>
        </x:patternFill>
      </x:fill>
    </x:dxf>
    <x:dxf>
      <x:font>
        <x:b/>
        <x:color rgb="FF9A4D00"/>
      </x:font>
      <x:fill>
        <x:patternFill patternType="solid">
          <x:bgColor rgb="FFFCE8D5"/>
        </x:patternFill>
      </x:fill>
    </x:dxf>
    <x:dxf>
      <x:font>
        <x:b/>
        <x:color rgb="FF9A4D00"/>
      </x:font>
      <x:fill>
        <x:patternFill patternType="solid">
          <x:bgColor rgb="FFFCE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15fd00dd8b496a" /><Relationship Type="http://schemas.openxmlformats.org/officeDocument/2006/relationships/theme" Target="/xl/theme/theme1.xml" Id="R0bb7ee1bdc7c4421" /><Relationship Type="http://schemas.openxmlformats.org/officeDocument/2006/relationships/sharedStrings" Target="/xl/sharedStrings.xml" Id="R13c3998756b4469e" /><Relationship Type="http://schemas.openxmlformats.org/officeDocument/2006/relationships/worksheet" Target="/xl/worksheets/sheet1.xml" Id="Rd13528c785f74c8b" /><Relationship Type="http://schemas.openxmlformats.org/officeDocument/2006/relationships/worksheet" Target="/xl/worksheets/sheet2.xml" Id="R931937539f814b71" /><Relationship Type="http://schemas.openxmlformats.org/officeDocument/2006/relationships/worksheet" Target="/xl/worksheets/sheet3.xml" Id="Re16a6329082f440d" /><Relationship Type="http://schemas.openxmlformats.org/officeDocument/2006/relationships/worksheet" Target="/xl/worksheets/sheet4.xml" Id="R46279de3ef82488c" /><Relationship Type="http://schemas.openxmlformats.org/officeDocument/2006/relationships/worksheet" Target="/xl/worksheets/sheet5.xml" Id="R4895e670e0524207" /><Relationship Type="http://schemas.openxmlformats.org/officeDocument/2006/relationships/worksheet" Target="/xl/worksheets/sheet6.xml" Id="R0280217ac83e4e2a" /><Relationship Type="http://schemas.openxmlformats.org/officeDocument/2006/relationships/worksheet" Target="/xl/worksheets/sheet7.xml" Id="Ra9ae81d3b78442c1" /></Relationships>
</file>

<file path=xl/tables/table1.xml><?xml version="1.0" encoding="utf-8"?>
<x:table xmlns:x="http://schemas.openxmlformats.org/spreadsheetml/2006/main" id="1" name="ComputerCostReview" displayName="ComputerCostReview" ref="A1:N179" totalsRowShown="0">
  <x:tableColumns count="14">
    <x:tableColumn id="1" name="Item ID"/>
    <x:tableColumn id="2" name="POS SKU"/>
    <x:tableColumn id="3" name="POS Product Name"/>
    <x:tableColumn id="4" name="Brand"/>
    <x:tableColumn id="5" name="POS Main Category"/>
    <x:tableColumn id="6" name="POS Subcategory"/>
    <x:tableColumn id="7" name="Source Cost"/>
    <x:tableColumn id="8" name="Final Cost (EDIT)"/>
    <x:tableColumn id="9" name="Source Retail"/>
    <x:tableColumn id="10" name="Final Retail (EDIT)"/>
    <x:tableColumn id="11" name="Cost Status"/>
    <x:tableColumn id="12" name="Retail Status"/>
    <x:tableColumn id="13" name="Image Status"/>
    <x:tableColumn id="14" name="Review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uterProductReview" displayName="ComputerProductReview" ref="A1:Z184" totalsRowShown="0">
  <x:tableColumns count="26">
    <x:tableColumn id="1" name="Item ID"/>
    <x:tableColumn id="2" name="Import Action"/>
    <x:tableColumn id="3" name="Existing POS Match"/>
    <x:tableColumn id="4" name="Existing POS SKU"/>
    <x:tableColumn id="5" name="Source Category"/>
    <x:tableColumn id="6" name="POS Main Category"/>
    <x:tableColumn id="7" name="POS Subcategory"/>
    <x:tableColumn id="8" name="Source Product Name"/>
    <x:tableColumn id="9" name="POS Product Name"/>
    <x:tableColumn id="10" name="Brand"/>
    <x:tableColumn id="11" name="Source SKU"/>
    <x:tableColumn id="12" name="POS SKU"/>
    <x:tableColumn id="13" name="SKU Status"/>
    <x:tableColumn id="14" name="Source Cost"/>
    <x:tableColumn id="15" name="Final Cost (FROM COST REVIEW)"/>
    <x:tableColumn id="16" name="Cost Status"/>
    <x:tableColumn id="17" name="Source Retail"/>
    <x:tableColumn id="18" name="Final Retail (FROM COST REVIEW)"/>
    <x:tableColumn id="19" name="Retail Status"/>
    <x:tableColumn id="20" name="Barcode"/>
    <x:tableColumn id="21" name="Image URL (EDIT IF MISSING)"/>
    <x:tableColumn id="22" name="Image Status"/>
    <x:tableColumn id="23" name="Source Stock"/>
    <x:tableColumn id="24" name="POS Starting Stock"/>
    <x:tableColumn id="25" name="Ready Status"/>
    <x:tableColumn id="2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ssingComputerImages" displayName="MissingComputerImages" ref="A1:H6" totalsRowShown="0">
  <x:tableColumns count="8">
    <x:tableColumn id="1" name="Product Review Row"/>
    <x:tableColumn id="2" name="Item ID"/>
    <x:tableColumn id="3" name="POS Product Name"/>
    <x:tableColumn id="4" name="POS Main Category"/>
    <x:tableColumn id="5" name="POS Subcategory"/>
    <x:tableColumn id="6" name="Brand"/>
    <x:tableColumn id="7" name="Missing Image Status"/>
    <x:tableColumn id="8" name="Where To Ent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puterClassificationRules" displayName="ComputerClassificationRules" ref="A1:E16" totalsRowShown="0">
  <x:tableColumns count="5">
    <x:tableColumn id="1" name="Source Category / Rule"/>
    <x:tableColumn id="2" name="POS Main Category"/>
    <x:tableColumn id="3" name="POS Subcategory"/>
    <x:tableColumn id="4" name="Reason"/>
    <x:tableColumn id="5" name="Source C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mputerSystemCrossCheck" displayName="ComputerSystemCrossCheck" ref="A4:S11" headerRowCount="1" totalsRowCount="0" totalsRowShown="0">
  <x:tableColumns count="19">
    <x:tableColumn id="1" name="Candidate Decision"/>
    <x:tableColumn id="2" name="Item ID"/>
    <x:tableColumn id="3" name="Candidate Product Name"/>
    <x:tableColumn id="4" name="Candidate SKU"/>
    <x:tableColumn id="5" name="Candidate Category"/>
    <x:tableColumn id="6" name="Candidate Cost"/>
    <x:tableColumn id="7" name="Candidate Retail"/>
    <x:tableColumn id="8" name="Match Level"/>
    <x:tableColumn id="9" name="Similarity"/>
    <x:tableColumn id="10" name="Current POS Product Name"/>
    <x:tableColumn id="11" name="Current POS SKU"/>
    <x:tableColumn id="12" name="Current Category"/>
    <x:tableColumn id="13" name="Current Cost"/>
    <x:tableColumn id="14" name="Current Retail"/>
    <x:tableColumn id="15" name="Cost Difference"/>
    <x:tableColumn id="16" name="Retail Difference"/>
    <x:tableColumn id="17" name="Price Check"/>
    <x:tableColumn id="18" name="Match Reason"/>
    <x:tableColumn id="19" name="Recommend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mputerSimilarNameReview" displayName="ComputerSimilarNameReview" ref="A4:P11" headerRowCount="1" totalsRowCount="0" totalsRowShown="0">
  <x:tableColumns count="16">
    <x:tableColumn id="1" name="Pair Type"/>
    <x:tableColumn id="2" name="Left Decision"/>
    <x:tableColumn id="3" name="Left Item ID"/>
    <x:tableColumn id="4" name="Left Product Name"/>
    <x:tableColumn id="5" name="Left Cost"/>
    <x:tableColumn id="6" name="Left Retail"/>
    <x:tableColumn id="7" name="Right Decision"/>
    <x:tableColumn id="8" name="Right Item ID"/>
    <x:tableColumn id="9" name="Right Product Name"/>
    <x:tableColumn id="10" name="Right Cost"/>
    <x:tableColumn id="11" name="Right Retail"/>
    <x:tableColumn id="12" name="Similarity"/>
    <x:tableColumn id="13" name="Cost Difference"/>
    <x:tableColumn id="14" name="Retail Difference"/>
    <x:tableColumn id="15" name="Similarity Reason"/>
    <x:tableColumn id="16" name="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de0fa2b40448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a9ad6deabf4c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a989619d3a4e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944c6f0cd348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c1d43005fa4f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5bc104169f47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6" customWidth="1"/>
    <x:col min="2" max="3" width="17" customWidth="1"/>
    <x:col min="4" max="8" width="18" customWidth="1"/>
  </x:cols>
  <x:sheetData>
    <x:row r="1" ht="36" customHeight="1">
      <x:c r="A1" s="14" t="s">
        <x:v>0</x:v>
      </x:c>
      <x:c r="B1" s="14"/>
      <x:c r="C1" s="14"/>
      <x:c r="D1" s="14"/>
      <x:c r="E1" s="14"/>
      <x:c r="F1" s="14"/>
      <x:c r="G1" s="14"/>
      <x:c r="H1" s="14"/>
    </x:row>
    <x:row r="3" ht="15">
      <x:c r="A3" s="1" t="s">
        <x:v>1</x:v>
      </x:c>
      <x:c r="B3" s="1" t="s">
        <x:v>2</x:v>
      </x:c>
      <x:c r="D3" s="15" t="s">
        <x:v>3</x:v>
      </x:c>
      <x:c r="E3" s="15"/>
      <x:c r="F3" s="15"/>
      <x:c r="G3" s="15"/>
      <x:c r="H3" s="15"/>
    </x:row>
    <x:row r="5" ht="15">
      <x:c r="A5" s="2" t="s">
        <x:v>4</x:v>
      </x:c>
      <x:c r="B5" s="2" t="s">
        <x:v>5</x:v>
      </x:c>
      <x:c r="D5" s="16" t="s">
        <x:v>6</x:v>
      </x:c>
      <x:c r="E5" s="16"/>
      <x:c r="F5" s="16"/>
      <x:c r="G5" s="16"/>
      <x:c r="H5" s="16"/>
    </x:row>
    <x:row r="6">
      <x:c r="A6" t="s">
        <x:v>7</x:v>
      </x:c>
      <x:c r="B6" s="3" t="n">
        <x:f>COUNTA('Product Review'!A2:A184)</x:f>
        <x:v>183</x:v>
      </x:c>
      <x:c r="D6" s="17" t="s">
        <x:v>8</x:v>
      </x:c>
      <x:c r="E6" s="17"/>
      <x:c r="F6" s="17"/>
      <x:c r="G6" s="17"/>
      <x:c r="H6" s="17"/>
    </x:row>
    <x:row r="7">
      <x:c r="A7" t="str">
        <x:v>New products ready after exclusions</x:v>
      </x:c>
      <x:c r="B7" s="3" t="n">
        <x:f>COUNTIF('Product Review'!B2:B184,"IMPORT")</x:f>
        <x:v>135</x:v>
      </x:c>
      <x:c r="D7" s="17" t="s">
        <x:v>9</x:v>
      </x:c>
      <x:c r="E7" s="17"/>
      <x:c r="F7" s="17"/>
      <x:c r="G7" s="17"/>
      <x:c r="H7" s="17"/>
    </x:row>
    <x:row r="8">
      <x:c r="A8" t="s">
        <x:v>10</x:v>
      </x:c>
      <x:c r="B8" s="3" t="n">
        <x:f>COUNTIF('Product Review'!B2:B184,"KEEP EXISTING")</x:f>
        <x:v>5</x:v>
      </x:c>
      <x:c r="D8" s="17" t="s">
        <x:v>11</x:v>
      </x:c>
      <x:c r="E8" s="17"/>
      <x:c r="F8" s="17"/>
      <x:c r="G8" s="17"/>
      <x:c r="H8" s="17"/>
    </x:row>
    <x:row r="9">
      <x:c r="A9" t="str">
        <x:v>Original missing costs (reference)</x:v>
      </x:c>
      <x:c r="B9" s="3" t="n">
        <x:f>COUNTIF('Product Review'!N2:N184,0)</x:f>
        <x:v>52</x:v>
      </x:c>
      <x:c r="D9" s="17" t="s">
        <x:v>12</x:v>
      </x:c>
      <x:c r="E9" s="17"/>
      <x:c r="F9" s="17"/>
      <x:c r="G9" s="17"/>
      <x:c r="H9" s="17"/>
    </x:row>
    <x:row r="10">
      <x:c r="A10" t="s">
        <x:v>13</x:v>
      </x:c>
      <x:c r="B10" s="3" t="n">
        <x:f>COUNTIF('Product Review'!P2:P184,"MISSING")</x:f>
        <x:v>0</x:v>
      </x:c>
      <x:c r="D10" s="17" t="s">
        <x:v>14</x:v>
      </x:c>
      <x:c r="E10" s="17"/>
      <x:c r="F10" s="17"/>
      <x:c r="G10" s="17"/>
      <x:c r="H10" s="17"/>
    </x:row>
    <x:row r="11">
      <x:c r="A11" t="s">
        <x:v>15</x:v>
      </x:c>
      <x:c r="B11" s="3" t="n">
        <x:f>COUNTIF('Product Review'!V2:V184,"MISSING")</x:f>
        <x:v>3</x:v>
      </x:c>
      <x:c r="D11" s="17" t="s">
        <x:v>16</x:v>
      </x:c>
      <x:c r="E11" s="17"/>
      <x:c r="F11" s="17"/>
      <x:c r="G11" s="17"/>
      <x:c r="H11" s="17"/>
    </x:row>
    <x:row r="12">
      <x:c r="A12" t="s">
        <x:v>17</x:v>
      </x:c>
      <x:c r="B12" s="3" t="n">
        <x:f>COUNTIF('Product Review'!M2:M184,"Generated: source SKU missing/invalid")+COUNTIF('Product Review'!M2:M184,"Generated: duplicate source SKU")+COUNTIF('Product Review'!M2:M184,"Generated: SKU conflict")</x:f>
        <x:v>43</x:v>
      </x:c>
    </x:row>
    <x:row r="13">
      <x:c r="A13" t="s">
        <x:v>18</x:v>
      </x:c>
      <x:c r="B13" s="3" t="n">
        <x:f>COUNTIF('Product Review'!S2:S184,"CHECK")</x:f>
        <x:v>0</x:v>
      </x:c>
      <x:c r="D13" s="34" t="str">
        <x:v>System cross-check: 436 current POS products compared; 5 exact matches and 2 likely duplicates found.</x:v>
      </x:c>
      <x:c r="E13" s="34"/>
      <x:c r="F13" s="34"/>
      <x:c r="G13" s="34"/>
      <x:c r="H13" s="34"/>
    </x:row>
    <x:row r="14">
      <x:c r="A14" t="s">
        <x:v>19</x:v>
      </x:c>
      <x:c r="B14" s="3" t="n">
        <x:f>COUNTIF('Product Review'!Y2:Y184,"READY")</x:f>
        <x:v>0</x:v>
      </x:c>
      <x:c r="D14" s="34" t="str">
        <x:v>The two MSI A13 liquid coolers are marked REVIEW MATCH and blocked from import until confirmed.</x:v>
      </x:c>
      <x:c r="E14" s="34"/>
      <x:c r="F14" s="34"/>
      <x:c r="G14" s="34"/>
      <x:c r="H14" s="34"/>
    </x:row>
    <x:row r="15">
      <x:c r="A15" s="31" t="str">
        <x:v>Excluded by user</x:v>
      </x:c>
      <x:c r="B15" s="31" t="n">
        <x:f>COUNTIF('Product Review'!B2:B184,"EXCLUDE")</x:f>
        <x:v>41</x:v>
      </x:c>
      <x:c r="D15" s="34" t="str">
        <x:v>After the red exclusions, all remaining IMPORT rows have valid cost and retail values; three still need images.</x:v>
      </x:c>
      <x:c r="E15" s="34"/>
      <x:c r="F15" s="34"/>
      <x:c r="G15" s="34"/>
      <x:c r="H15" s="34"/>
    </x:row>
    <x:row r="16" ht="15">
      <x:c r="A16" s="18" t="s">
        <x:v>20</x:v>
      </x:c>
      <x:c r="B16" s="18"/>
      <x:c r="C16" s="18"/>
      <x:c r="D16" s="18"/>
      <x:c r="E16" s="18"/>
      <x:c r="F16" s="18"/>
      <x:c r="G16" s="18"/>
      <x:c r="H16" s="18"/>
    </x:row>
  </x:sheetData>
  <x:mergeCells>
    <x:mergeCell ref="D8:H8"/>
    <x:mergeCell ref="D9:H9"/>
    <x:mergeCell ref="D10:H10"/>
    <x:mergeCell ref="D11:H11"/>
    <x:mergeCell ref="A16:H16"/>
    <x:mergeCell ref="A1:H1"/>
    <x:mergeCell ref="D3:H3"/>
    <x:mergeCell ref="D5:H5"/>
    <x:mergeCell ref="D6:H6"/>
    <x:mergeCell ref="D7:H7"/>
    <x:mergeCell ref="D13:H13"/>
    <x:mergeCell ref="D14:H14"/>
    <x:mergeCell ref="D15:H15"/>
  </x:mergeCells>
  <x:dataValidations count="1">
    <x:dataValidation type="list" sqref="B3">
      <x:formula1>"PENDING,APPROVED"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" width="20" customWidth="1"/>
    <x:col min="3" max="3" width="50.75" customWidth="1"/>
    <x:col min="4" max="6" width="24" customWidth="1"/>
    <x:col min="7" max="13" width="17" customWidth="1"/>
    <x:col min="14" max="14" width="54" customWidth="1"/>
  </x:cols>
  <x:sheetData>
    <x:row r="1" ht="15">
      <x:c r="A1" s="5" t="s">
        <x:v>21</x:v>
      </x:c>
      <x:c r="B1" s="5" t="s">
        <x:v>22</x:v>
      </x:c>
      <x:c r="C1" s="5" t="s">
        <x:v>23</x:v>
      </x:c>
      <x:c r="D1" s="5" t="s">
        <x:v>24</x:v>
      </x:c>
      <x:c r="E1" s="5" t="s">
        <x:v>25</x:v>
      </x:c>
      <x:c r="F1" s="5" t="s">
        <x:v>26</x:v>
      </x:c>
      <x:c r="G1" s="5" t="s">
        <x:v>27</x:v>
      </x:c>
      <x:c r="H1" s="5" t="s">
        <x:v>28</x:v>
      </x:c>
      <x:c r="I1" s="5" t="s">
        <x:v>29</x:v>
      </x:c>
      <x:c r="J1" s="5" t="s">
        <x:v>30</x:v>
      </x:c>
      <x:c r="K1" s="5" t="s">
        <x:v>31</x:v>
      </x:c>
      <x:c r="L1" s="5" t="s">
        <x:v>32</x:v>
      </x:c>
      <x:c r="M1" s="5" t="s">
        <x:v>33</x:v>
      </x:c>
      <x:c r="N1" s="5" t="s">
        <x:v>34</x:v>
      </x:c>
    </x:row>
    <x:row r="2" ht="15">
      <x:c r="A2" s="6" t="s">
        <x:v>35</x:v>
      </x:c>
      <x:c r="B2" s="9" t="str">
        <x:f>"112700031780"</x:f>
        <x:v>112700031780</x:v>
      </x:c>
      <x:c r="C2" s="6" t="s">
        <x:v>36</x:v>
      </x:c>
      <x:c r="D2" s="6" t="s">
        <x:v>37</x:v>
      </x:c>
      <x:c r="E2" s="6" t="s">
        <x:v>38</x:v>
      </x:c>
      <x:c r="F2" s="6" t="s">
        <x:v>39</x:v>
      </x:c>
      <x:c r="G2" s="8">
        <x:v>9</x:v>
      </x:c>
      <x:c r="H2" s="7">
        <x:v>9</x:v>
      </x:c>
      <x:c r="I2" s="8">
        <x:v>49.95</x:v>
      </x:c>
      <x:c r="J2" s="7">
        <x:v>49.95</x:v>
      </x:c>
      <x:c r="K2" s="6" t="str">
        <x:f t="shared" ref="K2:K33" si="0">IF(H2&lt;=0,"MISSING","REVIEW")</x:f>
        <x:v>REVIEW</x:v>
      </x:c>
      <x:c r="L2" s="6" t="str">
        <x:f t="shared" ref="L2:L33" si="1">IF(OR(J2&lt;=0,J2&gt;100000),"CHECK","OK")</x:f>
        <x:v>OK</x:v>
      </x:c>
      <x:c r="M2" s="6" t="str">
        <x:f>IF('Product Review'!U2="","MISSING","FOUND")</x:f>
        <x:v>FOUND</x:v>
      </x:c>
      <x:c r="N2" s="6" t="s">
        <x:v>40</x:v>
      </x:c>
    </x:row>
    <x:row r="3" ht="15">
      <x:c r="A3" s="6" t="s">
        <x:v>41</x:v>
      </x:c>
      <x:c r="B3" s="9" t="str">
        <x:f>"112690031778"</x:f>
        <x:v>112690031778</x:v>
      </x:c>
      <x:c r="C3" s="6" t="s">
        <x:v>42</x:v>
      </x:c>
      <x:c r="D3" s="6" t="s">
        <x:v>37</x:v>
      </x:c>
      <x:c r="E3" s="6" t="s">
        <x:v>38</x:v>
      </x:c>
      <x:c r="F3" s="6" t="s">
        <x:v>39</x:v>
      </x:c>
      <x:c r="G3" s="8">
        <x:v>4.5</x:v>
      </x:c>
      <x:c r="H3" s="7">
        <x:v>4.5</x:v>
      </x:c>
      <x:c r="I3" s="8">
        <x:v>29.95</x:v>
      </x:c>
      <x:c r="J3" s="7">
        <x:v>29.95</x:v>
      </x:c>
      <x:c r="K3" s="6" t="str">
        <x:f t="shared" si="0"/>
        <x:v>REVIEW</x:v>
      </x:c>
      <x:c r="L3" s="6" t="str">
        <x:f t="shared" si="1"/>
        <x:v>OK</x:v>
      </x:c>
      <x:c r="M3" s="6" t="str">
        <x:f>IF('Product Review'!U3="","MISSING","FOUND")</x:f>
        <x:v>FOUND</x:v>
      </x:c>
      <x:c r="N3" s="6" t="s">
        <x:v>43</x:v>
      </x:c>
    </x:row>
    <x:row r="4" ht="15">
      <x:c r="A4" s="6" t="s">
        <x:v>44</x:v>
      </x:c>
      <x:c r="B4" s="9" t="str">
        <x:f>"112680031777"</x:f>
        <x:v>112680031777</x:v>
      </x:c>
      <x:c r="C4" s="6" t="s">
        <x:v>45</x:v>
      </x:c>
      <x:c r="D4" s="6" t="s">
        <x:v>37</x:v>
      </x:c>
      <x:c r="E4" s="6" t="s">
        <x:v>38</x:v>
      </x:c>
      <x:c r="F4" s="6" t="s">
        <x:v>39</x:v>
      </x:c>
      <x:c r="G4" s="8">
        <x:v>5.5</x:v>
      </x:c>
      <x:c r="H4" s="7">
        <x:v>5.5</x:v>
      </x:c>
      <x:c r="I4" s="8">
        <x:v>39.99</x:v>
      </x:c>
      <x:c r="J4" s="7">
        <x:v>39.99</x:v>
      </x:c>
      <x:c r="K4" s="6" t="str">
        <x:f t="shared" si="0"/>
        <x:v>REVIEW</x:v>
      </x:c>
      <x:c r="L4" s="6" t="str">
        <x:f t="shared" si="1"/>
        <x:v>OK</x:v>
      </x:c>
      <x:c r="M4" s="6" t="str">
        <x:f>IF('Product Review'!U4="","MISSING","FOUND")</x:f>
        <x:v>FOUND</x:v>
      </x:c>
      <x:c r="N4" s="6" t="s">
        <x:v>40</x:v>
      </x:c>
    </x:row>
    <x:row r="5" ht="15">
      <x:c r="A5" s="6" t="s">
        <x:v>46</x:v>
      </x:c>
      <x:c r="B5" s="9" t="str">
        <x:f>"112670031775"</x:f>
        <x:v>112670031775</x:v>
      </x:c>
      <x:c r="C5" s="6" t="s">
        <x:v>47</x:v>
      </x:c>
      <x:c r="D5" s="6" t="s">
        <x:v>37</x:v>
      </x:c>
      <x:c r="E5" s="6" t="s">
        <x:v>38</x:v>
      </x:c>
      <x:c r="F5" s="6" t="s">
        <x:v>39</x:v>
      </x:c>
      <x:c r="G5" s="8">
        <x:v>4</x:v>
      </x:c>
      <x:c r="H5" s="7">
        <x:v>4</x:v>
      </x:c>
      <x:c r="I5" s="8">
        <x:v>32.99</x:v>
      </x:c>
      <x:c r="J5" s="7">
        <x:v>32.99</x:v>
      </x:c>
      <x:c r="K5" s="6" t="str">
        <x:f t="shared" si="0"/>
        <x:v>REVIEW</x:v>
      </x:c>
      <x:c r="L5" s="6" t="str">
        <x:f t="shared" si="1"/>
        <x:v>OK</x:v>
      </x:c>
      <x:c r="M5" s="6" t="str">
        <x:f>IF('Product Review'!U5="","MISSING","FOUND")</x:f>
        <x:v>FOUND</x:v>
      </x:c>
      <x:c r="N5" s="6" t="s">
        <x:v>40</x:v>
      </x:c>
    </x:row>
    <x:row r="6" ht="15">
      <x:c r="A6" s="6" t="s">
        <x:v>48</x:v>
      </x:c>
      <x:c r="B6" s="9" t="str">
        <x:f>"112660031773"</x:f>
        <x:v>112660031773</x:v>
      </x:c>
      <x:c r="C6" s="6" t="s">
        <x:v>49</x:v>
      </x:c>
      <x:c r="D6" s="6" t="s">
        <x:v>37</x:v>
      </x:c>
      <x:c r="E6" s="6" t="s">
        <x:v>38</x:v>
      </x:c>
      <x:c r="F6" s="6" t="s">
        <x:v>39</x:v>
      </x:c>
      <x:c r="G6" s="8">
        <x:v>2.2000000000000002</x:v>
      </x:c>
      <x:c r="H6" s="7">
        <x:v>2.2000000000000002</x:v>
      </x:c>
      <x:c r="I6" s="8">
        <x:v>29.99</x:v>
      </x:c>
      <x:c r="J6" s="7">
        <x:v>29.99</x:v>
      </x:c>
      <x:c r="K6" s="6" t="str">
        <x:f t="shared" si="0"/>
        <x:v>REVIEW</x:v>
      </x:c>
      <x:c r="L6" s="6" t="str">
        <x:f t="shared" si="1"/>
        <x:v>OK</x:v>
      </x:c>
      <x:c r="M6" s="6" t="str">
        <x:f>IF('Product Review'!U6="","MISSING","FOUND")</x:f>
        <x:v>FOUND</x:v>
      </x:c>
      <x:c r="N6" s="6" t="s">
        <x:v>40</x:v>
      </x:c>
    </x:row>
    <x:row r="7" ht="15">
      <x:c r="A7" s="6" t="s">
        <x:v>50</x:v>
      </x:c>
      <x:c r="B7" s="9" t="str">
        <x:f>"110731644"</x:f>
        <x:v>110731644</x:v>
      </x:c>
      <x:c r="C7" s="6" t="s">
        <x:v>51</x:v>
      </x:c>
      <x:c r="D7" s="6" t="s">
        <x:v>37</x:v>
      </x:c>
      <x:c r="E7" s="6" t="s">
        <x:v>52</x:v>
      </x:c>
      <x:c r="F7" s="6" t="s">
        <x:v>53</x:v>
      </x:c>
      <x:c r="G7" s="8">
        <x:v>8</x:v>
      </x:c>
      <x:c r="H7" s="7">
        <x:v>8</x:v>
      </x:c>
      <x:c r="I7" s="8">
        <x:v>45</x:v>
      </x:c>
      <x:c r="J7" s="7">
        <x:v>45</x:v>
      </x:c>
      <x:c r="K7" s="6" t="str">
        <x:f t="shared" si="0"/>
        <x:v>REVIEW</x:v>
      </x:c>
      <x:c r="L7" s="6" t="str">
        <x:f t="shared" si="1"/>
        <x:v>OK</x:v>
      </x:c>
      <x:c r="M7" s="6" t="str">
        <x:f>IF('Product Review'!U7="","MISSING","FOUND")</x:f>
        <x:v>FOUND</x:v>
      </x:c>
      <x:c r="N7" s="6" t="s">
        <x:v>54</x:v>
      </x:c>
    </x:row>
    <x:row r="8" ht="15">
      <x:c r="A8" s="6" t="s">
        <x:v>55</x:v>
      </x:c>
      <x:c r="B8" s="9" t="str">
        <x:f>"110661636"</x:f>
        <x:v>110661636</x:v>
      </x:c>
      <x:c r="C8" s="6" t="s">
        <x:v>56</x:v>
      </x:c>
      <x:c r="D8" s="6" t="s">
        <x:v>57</x:v>
      </x:c>
      <x:c r="E8" s="6" t="s">
        <x:v>52</x:v>
      </x:c>
      <x:c r="F8" s="6" t="s">
        <x:v>58</x:v>
      </x:c>
      <x:c r="G8" s="8">
        <x:v>13</x:v>
      </x:c>
      <x:c r="H8" s="7">
        <x:v>13</x:v>
      </x:c>
      <x:c r="I8" s="8">
        <x:v>99</x:v>
      </x:c>
      <x:c r="J8" s="7">
        <x:v>99</x:v>
      </x:c>
      <x:c r="K8" s="6" t="str">
        <x:f t="shared" si="0"/>
        <x:v>REVIEW</x:v>
      </x:c>
      <x:c r="L8" s="6" t="str">
        <x:f t="shared" si="1"/>
        <x:v>OK</x:v>
      </x:c>
      <x:c r="M8" s="6" t="str">
        <x:f>IF('Product Review'!U8="","MISSING","FOUND")</x:f>
        <x:v>FOUND</x:v>
      </x:c>
      <x:c r="N8" s="6" t="s">
        <x:v>59</x:v>
      </x:c>
    </x:row>
    <x:row r="9" ht="15">
      <x:c r="A9" s="6" t="s">
        <x:v>60</x:v>
      </x:c>
      <x:c r="B9" s="9" t="str">
        <x:f>"110651635"</x:f>
        <x:v>110651635</x:v>
      </x:c>
      <x:c r="C9" s="6" t="s">
        <x:v>61</x:v>
      </x:c>
      <x:c r="D9" s="6" t="s">
        <x:v>62</x:v>
      </x:c>
      <x:c r="E9" s="6" t="s">
        <x:v>52</x:v>
      </x:c>
      <x:c r="F9" s="6" t="s">
        <x:v>63</x:v>
      </x:c>
      <x:c r="G9" s="8">
        <x:v>3</x:v>
      </x:c>
      <x:c r="H9" s="7">
        <x:v>3</x:v>
      </x:c>
      <x:c r="I9" s="8">
        <x:v>29.95</x:v>
      </x:c>
      <x:c r="J9" s="7">
        <x:v>29.95</x:v>
      </x:c>
      <x:c r="K9" s="6" t="str">
        <x:f t="shared" si="0"/>
        <x:v>REVIEW</x:v>
      </x:c>
      <x:c r="L9" s="6" t="str">
        <x:f t="shared" si="1"/>
        <x:v>OK</x:v>
      </x:c>
      <x:c r="M9" s="6" t="str">
        <x:f>IF('Product Review'!U9="","MISSING","FOUND")</x:f>
        <x:v>FOUND</x:v>
      </x:c>
      <x:c r="N9" s="6" t="s">
        <x:v>64</x:v>
      </x:c>
    </x:row>
    <x:row r="10" ht="15">
      <x:c r="A10" s="6" t="s">
        <x:v>65</x:v>
      </x:c>
      <x:c r="B10" s="9" t="str">
        <x:f>"110641634"</x:f>
        <x:v>110641634</x:v>
      </x:c>
      <x:c r="C10" s="6" t="s">
        <x:v>66</x:v>
      </x:c>
      <x:c r="D10" s="6" t="s">
        <x:v>57</x:v>
      </x:c>
      <x:c r="E10" s="6" t="s">
        <x:v>67</x:v>
      </x:c>
      <x:c r="F10" s="6" t="s">
        <x:v>68</x:v>
      </x:c>
      <x:c r="G10" s="8">
        <x:v>5.0999999999999996</x:v>
      </x:c>
      <x:c r="H10" s="7">
        <x:v>5.0999999999999996</x:v>
      </x:c>
      <x:c r="I10" s="8">
        <x:v>39</x:v>
      </x:c>
      <x:c r="J10" s="7">
        <x:v>39</x:v>
      </x:c>
      <x:c r="K10" s="6" t="str">
        <x:f t="shared" si="0"/>
        <x:v>REVIEW</x:v>
      </x:c>
      <x:c r="L10" s="6" t="str">
        <x:f t="shared" si="1"/>
        <x:v>OK</x:v>
      </x:c>
      <x:c r="M10" s="6" t="str">
        <x:f>IF('Product Review'!U10="","MISSING","FOUND")</x:f>
        <x:v>FOUND</x:v>
      </x:c>
      <x:c r="N10" s="6" t="s">
        <x:v>69</x:v>
      </x:c>
    </x:row>
    <x:row r="11" s="23" customFormat="1" ht="15">
      <x:c r="A11" s="19" t="s">
        <x:v>70</x:v>
      </x:c>
      <x:c r="B11" s="20" t="str">
        <x:f>"109081522"</x:f>
        <x:v>109081522</x:v>
      </x:c>
      <x:c r="C11" s="19" t="s">
        <x:v>71</x:v>
      </x:c>
      <x:c r="D11" s="19" t="s">
        <x:v>62</x:v>
      </x:c>
      <x:c r="E11" s="19" t="s">
        <x:v>52</x:v>
      </x:c>
      <x:c r="F11" s="19" t="s">
        <x:v>72</x:v>
      </x:c>
      <x:c r="G11" s="21">
        <x:v>13</x:v>
      </x:c>
      <x:c r="H11" s="22">
        <x:v>13</x:v>
      </x:c>
      <x:c r="I11" s="21">
        <x:v>42</x:v>
      </x:c>
      <x:c r="J11" s="22">
        <x:v>42</x:v>
      </x:c>
      <x:c r="K11" s="19" t="str">
        <x:f t="shared" si="0">"EXCLUDED"</x:f>
        <x:v>EXCLUDED</x:v>
      </x:c>
      <x:c r="L11" s="19" t="str">
        <x:f t="shared" si="1">"EXCLUDED"</x:f>
        <x:v>EXCLUDED</x:v>
      </x:c>
      <x:c r="M11" s="19" t="str">
        <x:f>IF('Product Review'!U11="","MISSING","FOUND")</x:f>
        <x:v>FOUND</x:v>
      </x:c>
      <x:c r="N11" s="19" t="str">
        <x:v>Source stock 1 is reference only; POS starts at 0. USER EXCLUSION: red-marked item; do not import.</x:v>
      </x:c>
    </x:row>
    <x:row r="12" s="23" customFormat="1" ht="15">
      <x:c r="A12" s="19" t="s">
        <x:v>73</x:v>
      </x:c>
      <x:c r="B12" s="20" t="str">
        <x:f>"109071521"</x:f>
        <x:v>109071521</x:v>
      </x:c>
      <x:c r="C12" s="19" t="s">
        <x:v>74</x:v>
      </x:c>
      <x:c r="D12" s="19" t="s">
        <x:v>62</x:v>
      </x:c>
      <x:c r="E12" s="19" t="s">
        <x:v>52</x:v>
      </x:c>
      <x:c r="F12" s="19" t="s">
        <x:v>72</x:v>
      </x:c>
      <x:c r="G12" s="21">
        <x:v>8.1300000000000008</x:v>
      </x:c>
      <x:c r="H12" s="22">
        <x:v>8.1300000000000008</x:v>
      </x:c>
      <x:c r="I12" s="21">
        <x:v>33</x:v>
      </x:c>
      <x:c r="J12" s="22">
        <x:v>33</x:v>
      </x:c>
      <x:c r="K12" s="19" t="str">
        <x:f t="shared" si="0">"EXCLUDED"</x:f>
        <x:v>EXCLUDED</x:v>
      </x:c>
      <x:c r="L12" s="19" t="str">
        <x:f t="shared" si="1">"EXCLUDED"</x:f>
        <x:v>EXCLUDED</x:v>
      </x:c>
      <x:c r="M12" s="19" t="str">
        <x:f>IF('Product Review'!U12="","MISSING","FOUND")</x:f>
        <x:v>FOUND</x:v>
      </x:c>
      <x:c r="N12" s="19" t="str">
        <x:v>USER EXCLUSION: red-marked item; do not import.</x:v>
      </x:c>
    </x:row>
    <x:row r="13" s="23" customFormat="1" ht="15">
      <x:c r="A13" s="19" t="s">
        <x:v>75</x:v>
      </x:c>
      <x:c r="B13" s="20" t="str">
        <x:f>"109051520"</x:f>
        <x:v>109051520</x:v>
      </x:c>
      <x:c r="C13" s="19" t="s">
        <x:v>76</x:v>
      </x:c>
      <x:c r="D13" s="19" t="s">
        <x:v>62</x:v>
      </x:c>
      <x:c r="E13" s="19" t="s">
        <x:v>52</x:v>
      </x:c>
      <x:c r="F13" s="19" t="s">
        <x:v>72</x:v>
      </x:c>
      <x:c r="G13" s="21">
        <x:v>7.13</x:v>
      </x:c>
      <x:c r="H13" s="22">
        <x:v>7.13</x:v>
      </x:c>
      <x:c r="I13" s="21">
        <x:v>25</x:v>
      </x:c>
      <x:c r="J13" s="22">
        <x:v>25</x:v>
      </x:c>
      <x:c r="K13" s="19" t="str">
        <x:f t="shared" si="0">"EXCLUDED"</x:f>
        <x:v>EXCLUDED</x:v>
      </x:c>
      <x:c r="L13" s="19" t="str">
        <x:f t="shared" si="1">"EXCLUDED"</x:f>
        <x:v>EXCLUDED</x:v>
      </x:c>
      <x:c r="M13" s="19" t="str">
        <x:f>IF('Product Review'!U13="","MISSING","FOUND")</x:f>
        <x:v>FOUND</x:v>
      </x:c>
      <x:c r="N13" s="19" t="str">
        <x:v>USER EXCLUSION: red-marked item; do not import.</x:v>
      </x:c>
    </x:row>
    <x:row r="14" ht="15">
      <x:c r="A14" s="6" t="s">
        <x:v>77</x:v>
      </x:c>
      <x:c r="B14" s="9" t="str">
        <x:f>"107751365"</x:f>
        <x:v>107751365</x:v>
      </x:c>
      <x:c r="C14" s="6" t="s">
        <x:v>78</x:v>
      </x:c>
      <x:c r="D14" s="6" t="s">
        <x:v>37</x:v>
      </x:c>
      <x:c r="E14" s="6" t="s">
        <x:v>52</x:v>
      </x:c>
      <x:c r="F14" s="6" t="s">
        <x:v>63</x:v>
      </x:c>
      <x:c r="G14" s="8">
        <x:v>9.5</x:v>
      </x:c>
      <x:c r="H14" s="7">
        <x:v>9.5</x:v>
      </x:c>
      <x:c r="I14" s="8">
        <x:v>49.95</x:v>
      </x:c>
      <x:c r="J14" s="7">
        <x:v>49.95</x:v>
      </x:c>
      <x:c r="K14" s="6" t="str">
        <x:f t="shared" si="0"/>
        <x:v>REVIEW</x:v>
      </x:c>
      <x:c r="L14" s="6" t="str">
        <x:f t="shared" si="1"/>
        <x:v>OK</x:v>
      </x:c>
      <x:c r="M14" s="6" t="str">
        <x:f>IF('Product Review'!U14="","MISSING","FOUND")</x:f>
        <x:v>FOUND</x:v>
      </x:c>
      <x:c r="N14" s="6"/>
    </x:row>
    <x:row r="15" ht="15">
      <x:c r="A15" s="6" t="s">
        <x:v>79</x:v>
      </x:c>
      <x:c r="B15" s="9" t="str">
        <x:f>"107511327"</x:f>
        <x:v>107511327</x:v>
      </x:c>
      <x:c r="C15" s="6" t="s">
        <x:v>80</x:v>
      </x:c>
      <x:c r="D15" s="6" t="s">
        <x:v>81</x:v>
      </x:c>
      <x:c r="E15" s="6" t="s">
        <x:v>52</x:v>
      </x:c>
      <x:c r="F15" s="6" t="s">
        <x:v>53</x:v>
      </x:c>
      <x:c r="G15" s="8">
        <x:v>26</x:v>
      </x:c>
      <x:c r="H15" s="7">
        <x:v>26</x:v>
      </x:c>
      <x:c r="I15" s="8">
        <x:v>59</x:v>
      </x:c>
      <x:c r="J15" s="7">
        <x:v>59</x:v>
      </x:c>
      <x:c r="K15" s="6" t="str">
        <x:f t="shared" si="0"/>
        <x:v>REVIEW</x:v>
      </x:c>
      <x:c r="L15" s="6" t="str">
        <x:f t="shared" si="1"/>
        <x:v>OK</x:v>
      </x:c>
      <x:c r="M15" s="6" t="str">
        <x:f>IF('Product Review'!U15="","MISSING","FOUND")</x:f>
        <x:v>FOUND</x:v>
      </x:c>
      <x:c r="N15" s="6" t="s">
        <x:v>82</x:v>
      </x:c>
    </x:row>
    <x:row r="16" ht="43.5">
      <x:c r="A16" s="6" t="s">
        <x:v>83</x:v>
      </x:c>
      <x:c r="B16" s="9" t="str">
        <x:f>"107501326"</x:f>
        <x:v>107501326</x:v>
      </x:c>
      <x:c r="C16" s="6" t="s">
        <x:v>84</x:v>
      </x:c>
      <x:c r="D16" s="6" t="s">
        <x:v>85</x:v>
      </x:c>
      <x:c r="E16" s="6" t="s">
        <x:v>86</x:v>
      </x:c>
      <x:c r="F16" s="6" t="s">
        <x:v>87</x:v>
      </x:c>
      <x:c r="G16" s="8">
        <x:v>69</x:v>
      </x:c>
      <x:c r="H16" s="7">
        <x:v>69</x:v>
      </x:c>
      <x:c r="I16" s="8">
        <x:v>129</x:v>
      </x:c>
      <x:c r="J16" s="7">
        <x:v>129</x:v>
      </x:c>
      <x:c r="K16" s="6" t="str">
        <x:f t="shared" si="0"/>
        <x:v>REVIEW</x:v>
      </x:c>
      <x:c r="L16" s="6" t="str">
        <x:f t="shared" si="1"/>
        <x:v>OK</x:v>
      </x:c>
      <x:c r="M16" s="6" t="str">
        <x:f>IF('Product Review'!U16="","MISSING","FOUND")</x:f>
        <x:v>FOUND</x:v>
      </x:c>
      <x:c r="N16" s="6" t="s">
        <x:v>88</x:v>
      </x:c>
    </x:row>
    <x:row r="17" ht="15">
      <x:c r="A17" s="6" t="s">
        <x:v>89</x:v>
      </x:c>
      <x:c r="B17" s="9" t="str">
        <x:f>"107411319"</x:f>
        <x:v>107411319</x:v>
      </x:c>
      <x:c r="C17" s="6" t="s">
        <x:v>90</x:v>
      </x:c>
      <x:c r="D17" s="6" t="s">
        <x:v>57</x:v>
      </x:c>
      <x:c r="E17" s="6" t="s">
        <x:v>67</x:v>
      </x:c>
      <x:c r="F17" s="6" t="s">
        <x:v>91</x:v>
      </x:c>
      <x:c r="G17" s="8">
        <x:v>8</x:v>
      </x:c>
      <x:c r="H17" s="7">
        <x:v>8</x:v>
      </x:c>
      <x:c r="I17" s="8">
        <x:v>49.95</x:v>
      </x:c>
      <x:c r="J17" s="7">
        <x:v>49.95</x:v>
      </x:c>
      <x:c r="K17" s="6" t="str">
        <x:f t="shared" si="0"/>
        <x:v>REVIEW</x:v>
      </x:c>
      <x:c r="L17" s="6" t="str">
        <x:f t="shared" si="1"/>
        <x:v>OK</x:v>
      </x:c>
      <x:c r="M17" s="6" t="str">
        <x:f>IF('Product Review'!U17="","MISSING","FOUND")</x:f>
        <x:v>FOUND</x:v>
      </x:c>
      <x:c r="N17" s="6" t="s">
        <x:v>54</x:v>
      </x:c>
    </x:row>
    <x:row r="18" ht="15">
      <x:c r="A18" s="6" t="s">
        <x:v>92</x:v>
      </x:c>
      <x:c r="B18" s="9" t="str">
        <x:f>"107401318"</x:f>
        <x:v>107401318</x:v>
      </x:c>
      <x:c r="C18" s="6" t="s">
        <x:v>93</x:v>
      </x:c>
      <x:c r="D18" s="6" t="s">
        <x:v>57</x:v>
      </x:c>
      <x:c r="E18" s="6" t="s">
        <x:v>67</x:v>
      </x:c>
      <x:c r="F18" s="6" t="s">
        <x:v>94</x:v>
      </x:c>
      <x:c r="G18" s="8">
        <x:v>10</x:v>
      </x:c>
      <x:c r="H18" s="7">
        <x:v>10</x:v>
      </x:c>
      <x:c r="I18" s="8">
        <x:v>69.95</x:v>
      </x:c>
      <x:c r="J18" s="7">
        <x:v>69.95</x:v>
      </x:c>
      <x:c r="K18" s="6" t="str">
        <x:f t="shared" si="0"/>
        <x:v>REVIEW</x:v>
      </x:c>
      <x:c r="L18" s="6" t="str">
        <x:f t="shared" si="1"/>
        <x:v>OK</x:v>
      </x:c>
      <x:c r="M18" s="6" t="str">
        <x:f>IF('Product Review'!U18="","MISSING","FOUND")</x:f>
        <x:v>FOUND</x:v>
      </x:c>
      <x:c r="N18" s="6" t="s">
        <x:v>88</x:v>
      </x:c>
    </x:row>
    <x:row r="19" ht="29.25">
      <x:c r="A19" s="6" t="s">
        <x:v>95</x:v>
      </x:c>
      <x:c r="B19" s="9" t="str">
        <x:f>"107391317"</x:f>
        <x:v>107391317</x:v>
      </x:c>
      <x:c r="C19" s="6" t="s">
        <x:v>96</x:v>
      </x:c>
      <x:c r="D19" s="6" t="s">
        <x:v>57</x:v>
      </x:c>
      <x:c r="E19" s="6" t="s">
        <x:v>52</x:v>
      </x:c>
      <x:c r="F19" s="6" t="s">
        <x:v>58</x:v>
      </x:c>
      <x:c r="G19" s="8">
        <x:v>13</x:v>
      </x:c>
      <x:c r="H19" s="7">
        <x:v>13</x:v>
      </x:c>
      <x:c r="I19" s="8">
        <x:v>99</x:v>
      </x:c>
      <x:c r="J19" s="7">
        <x:v>99</x:v>
      </x:c>
      <x:c r="K19" s="6" t="str">
        <x:f t="shared" si="0"/>
        <x:v>REVIEW</x:v>
      </x:c>
      <x:c r="L19" s="6" t="str">
        <x:f t="shared" si="1"/>
        <x:v>OK</x:v>
      </x:c>
      <x:c r="M19" s="6" t="str">
        <x:f>IF('Product Review'!U19="","MISSING","FOUND")</x:f>
        <x:v>FOUND</x:v>
      </x:c>
      <x:c r="N19" s="6" t="s">
        <x:v>97</x:v>
      </x:c>
    </x:row>
    <x:row r="20" ht="15">
      <x:c r="A20" s="6" t="s">
        <x:v>98</x:v>
      </x:c>
      <x:c r="B20" s="9" t="str">
        <x:f>"107381316"</x:f>
        <x:v>107381316</x:v>
      </x:c>
      <x:c r="C20" s="6" t="s">
        <x:v>99</x:v>
      </x:c>
      <x:c r="D20" s="6" t="s">
        <x:v>57</x:v>
      </x:c>
      <x:c r="E20" s="6" t="s">
        <x:v>52</x:v>
      </x:c>
      <x:c r="F20" s="6" t="s">
        <x:v>58</x:v>
      </x:c>
      <x:c r="G20" s="8">
        <x:v>10</x:v>
      </x:c>
      <x:c r="H20" s="7">
        <x:v>10</x:v>
      </x:c>
      <x:c r="I20" s="8">
        <x:v>69.95</x:v>
      </x:c>
      <x:c r="J20" s="7">
        <x:v>69.95</x:v>
      </x:c>
      <x:c r="K20" s="6" t="str">
        <x:f t="shared" si="0"/>
        <x:v>REVIEW</x:v>
      </x:c>
      <x:c r="L20" s="6" t="str">
        <x:f t="shared" si="1"/>
        <x:v>OK</x:v>
      </x:c>
      <x:c r="M20" s="6" t="str">
        <x:f>IF('Product Review'!U20="","MISSING","FOUND")</x:f>
        <x:v>FOUND</x:v>
      </x:c>
      <x:c r="N20" s="6" t="s">
        <x:v>100</x:v>
      </x:c>
    </x:row>
    <x:row r="21" ht="15">
      <x:c r="A21" s="6" t="s">
        <x:v>101</x:v>
      </x:c>
      <x:c r="B21" s="9" t="str">
        <x:f>"107371315"</x:f>
        <x:v>107371315</x:v>
      </x:c>
      <x:c r="C21" s="6" t="s">
        <x:v>102</x:v>
      </x:c>
      <x:c r="D21" s="6" t="s">
        <x:v>57</x:v>
      </x:c>
      <x:c r="E21" s="6" t="s">
        <x:v>52</x:v>
      </x:c>
      <x:c r="F21" s="6" t="s">
        <x:v>58</x:v>
      </x:c>
      <x:c r="G21" s="8">
        <x:v>4.29</x:v>
      </x:c>
      <x:c r="H21" s="7">
        <x:v>4.29</x:v>
      </x:c>
      <x:c r="I21" s="8">
        <x:v>49.95</x:v>
      </x:c>
      <x:c r="J21" s="7">
        <x:v>49.95</x:v>
      </x:c>
      <x:c r="K21" s="6" t="str">
        <x:f t="shared" si="0"/>
        <x:v>REVIEW</x:v>
      </x:c>
      <x:c r="L21" s="6" t="str">
        <x:f t="shared" si="1"/>
        <x:v>OK</x:v>
      </x:c>
      <x:c r="M21" s="6" t="str">
        <x:f>IF('Product Review'!U21="","MISSING","FOUND")</x:f>
        <x:v>FOUND</x:v>
      </x:c>
      <x:c r="N21" s="6" t="s">
        <x:v>103</x:v>
      </x:c>
    </x:row>
    <x:row r="22" ht="15">
      <x:c r="A22" s="6" t="s">
        <x:v>104</x:v>
      </x:c>
      <x:c r="B22" s="9" t="str">
        <x:f>"107361314"</x:f>
        <x:v>107361314</x:v>
      </x:c>
      <x:c r="C22" s="6" t="s">
        <x:v>105</x:v>
      </x:c>
      <x:c r="D22" s="6" t="s">
        <x:v>57</x:v>
      </x:c>
      <x:c r="E22" s="6" t="s">
        <x:v>52</x:v>
      </x:c>
      <x:c r="F22" s="6" t="s">
        <x:v>58</x:v>
      </x:c>
      <x:c r="G22" s="8">
        <x:v>4.29</x:v>
      </x:c>
      <x:c r="H22" s="7">
        <x:v>4.29</x:v>
      </x:c>
      <x:c r="I22" s="8">
        <x:v>19.989999999999998</x:v>
      </x:c>
      <x:c r="J22" s="7">
        <x:v>19.989999999999998</x:v>
      </x:c>
      <x:c r="K22" s="6" t="str">
        <x:f t="shared" si="0"/>
        <x:v>REVIEW</x:v>
      </x:c>
      <x:c r="L22" s="6" t="str">
        <x:f t="shared" si="1"/>
        <x:v>OK</x:v>
      </x:c>
      <x:c r="M22" s="6" t="str">
        <x:f>IF('Product Review'!U22="","MISSING","FOUND")</x:f>
        <x:v>FOUND</x:v>
      </x:c>
      <x:c r="N22" s="6" t="s">
        <x:v>97</x:v>
      </x:c>
    </x:row>
    <x:row r="23" ht="15">
      <x:c r="A23" s="6" t="s">
        <x:v>106</x:v>
      </x:c>
      <x:c r="B23" s="9" t="str">
        <x:f>"107351313"</x:f>
        <x:v>107351313</x:v>
      </x:c>
      <x:c r="C23" s="6" t="s">
        <x:v>107</x:v>
      </x:c>
      <x:c r="D23" s="6" t="s">
        <x:v>57</x:v>
      </x:c>
      <x:c r="E23" s="6" t="s">
        <x:v>52</x:v>
      </x:c>
      <x:c r="F23" s="6" t="s">
        <x:v>58</x:v>
      </x:c>
      <x:c r="G23" s="8">
        <x:v>7.5</x:v>
      </x:c>
      <x:c r="H23" s="7">
        <x:v>7.5</x:v>
      </x:c>
      <x:c r="I23" s="8">
        <x:v>59.99</x:v>
      </x:c>
      <x:c r="J23" s="7">
        <x:v>59.99</x:v>
      </x:c>
      <x:c r="K23" s="6" t="str">
        <x:f t="shared" si="0"/>
        <x:v>REVIEW</x:v>
      </x:c>
      <x:c r="L23" s="6" t="str">
        <x:f t="shared" si="1"/>
        <x:v>OK</x:v>
      </x:c>
      <x:c r="M23" s="6" t="str">
        <x:f>IF('Product Review'!U23="","MISSING","FOUND")</x:f>
        <x:v>FOUND</x:v>
      </x:c>
      <x:c r="N23" s="6" t="s">
        <x:v>40</x:v>
      </x:c>
    </x:row>
    <x:row r="24" ht="15">
      <x:c r="A24" s="6" t="s">
        <x:v>108</x:v>
      </x:c>
      <x:c r="B24" s="9" t="str">
        <x:f>"107341312"</x:f>
        <x:v>107341312</x:v>
      </x:c>
      <x:c r="C24" s="6" t="s">
        <x:v>109</x:v>
      </x:c>
      <x:c r="D24" s="6" t="s">
        <x:v>57</x:v>
      </x:c>
      <x:c r="E24" s="6" t="s">
        <x:v>52</x:v>
      </x:c>
      <x:c r="F24" s="6" t="s">
        <x:v>58</x:v>
      </x:c>
      <x:c r="G24" s="8">
        <x:v>16</x:v>
      </x:c>
      <x:c r="H24" s="7">
        <x:v>16</x:v>
      </x:c>
      <x:c r="I24" s="8">
        <x:v>99.99</x:v>
      </x:c>
      <x:c r="J24" s="7">
        <x:v>99.99</x:v>
      </x:c>
      <x:c r="K24" s="6" t="str">
        <x:f t="shared" si="0"/>
        <x:v>REVIEW</x:v>
      </x:c>
      <x:c r="L24" s="6" t="str">
        <x:f t="shared" si="1"/>
        <x:v>OK</x:v>
      </x:c>
      <x:c r="M24" s="6" t="str">
        <x:f>IF('Product Review'!U24="","MISSING","FOUND")</x:f>
        <x:v>FOUND</x:v>
      </x:c>
      <x:c r="N24" s="6" t="s">
        <x:v>82</x:v>
      </x:c>
    </x:row>
    <x:row r="25" ht="29.25">
      <x:c r="A25" s="6" t="s">
        <x:v>110</x:v>
      </x:c>
      <x:c r="B25" s="9" t="str">
        <x:f>"107331311"</x:f>
        <x:v>107331311</x:v>
      </x:c>
      <x:c r="C25" s="6" t="s">
        <x:v>111</x:v>
      </x:c>
      <x:c r="D25" s="6" t="s">
        <x:v>57</x:v>
      </x:c>
      <x:c r="E25" s="6" t="s">
        <x:v>52</x:v>
      </x:c>
      <x:c r="F25" s="6" t="s">
        <x:v>58</x:v>
      </x:c>
      <x:c r="G25" s="8">
        <x:v>30</x:v>
      </x:c>
      <x:c r="H25" s="7">
        <x:v>30</x:v>
      </x:c>
      <x:c r="I25" s="8">
        <x:v>149</x:v>
      </x:c>
      <x:c r="J25" s="7">
        <x:v>149</x:v>
      </x:c>
      <x:c r="K25" s="6" t="str">
        <x:f t="shared" si="0"/>
        <x:v>REVIEW</x:v>
      </x:c>
      <x:c r="L25" s="6" t="str">
        <x:f t="shared" si="1"/>
        <x:v>OK</x:v>
      </x:c>
      <x:c r="M25" s="6" t="str">
        <x:f>IF('Product Review'!U25="","MISSING","FOUND")</x:f>
        <x:v>FOUND</x:v>
      </x:c>
      <x:c r="N25" s="6" t="s">
        <x:v>88</x:v>
      </x:c>
    </x:row>
    <x:row r="26" ht="29.25">
      <x:c r="A26" s="6" t="s">
        <x:v>112</x:v>
      </x:c>
      <x:c r="B26" s="9" t="str">
        <x:f>"107321310"</x:f>
        <x:v>107321310</x:v>
      </x:c>
      <x:c r="C26" s="6" t="s">
        <x:v>113</x:v>
      </x:c>
      <x:c r="D26" s="6" t="s">
        <x:v>57</x:v>
      </x:c>
      <x:c r="E26" s="6" t="s">
        <x:v>52</x:v>
      </x:c>
      <x:c r="F26" s="6" t="s">
        <x:v>58</x:v>
      </x:c>
      <x:c r="G26" s="8">
        <x:v>6.5</x:v>
      </x:c>
      <x:c r="H26" s="7">
        <x:v>6.5</x:v>
      </x:c>
      <x:c r="I26" s="8">
        <x:v>54.99</x:v>
      </x:c>
      <x:c r="J26" s="7">
        <x:v>54.99</x:v>
      </x:c>
      <x:c r="K26" s="6" t="str">
        <x:f t="shared" si="0"/>
        <x:v>REVIEW</x:v>
      </x:c>
      <x:c r="L26" s="6" t="str">
        <x:f t="shared" si="1"/>
        <x:v>OK</x:v>
      </x:c>
      <x:c r="M26" s="6" t="str">
        <x:f>IF('Product Review'!U26="","MISSING","FOUND")</x:f>
        <x:v>FOUND</x:v>
      </x:c>
      <x:c r="N26" s="6" t="s">
        <x:v>54</x:v>
      </x:c>
    </x:row>
    <x:row r="27" ht="15">
      <x:c r="A27" s="6" t="s">
        <x:v>114</x:v>
      </x:c>
      <x:c r="B27" s="9" t="str">
        <x:f>"107311309"</x:f>
        <x:v>107311309</x:v>
      </x:c>
      <x:c r="C27" s="6" t="s">
        <x:v>115</x:v>
      </x:c>
      <x:c r="D27" s="6" t="s">
        <x:v>57</x:v>
      </x:c>
      <x:c r="E27" s="6" t="s">
        <x:v>52</x:v>
      </x:c>
      <x:c r="F27" s="6" t="s">
        <x:v>58</x:v>
      </x:c>
      <x:c r="G27" s="8">
        <x:v>7.5</x:v>
      </x:c>
      <x:c r="H27" s="7">
        <x:v>7.5</x:v>
      </x:c>
      <x:c r="I27" s="8">
        <x:v>29</x:v>
      </x:c>
      <x:c r="J27" s="7">
        <x:v>29</x:v>
      </x:c>
      <x:c r="K27" s="6" t="str">
        <x:f t="shared" si="0"/>
        <x:v>REVIEW</x:v>
      </x:c>
      <x:c r="L27" s="6" t="str">
        <x:f t="shared" si="1"/>
        <x:v>OK</x:v>
      </x:c>
      <x:c r="M27" s="6" t="str">
        <x:f>IF('Product Review'!U27="","MISSING","FOUND")</x:f>
        <x:v>FOUND</x:v>
      </x:c>
      <x:c r="N27" s="6"/>
    </x:row>
    <x:row r="28" s="23" customFormat="1" ht="15">
      <x:c r="A28" s="19" t="s">
        <x:v>116</x:v>
      </x:c>
      <x:c r="B28" s="20" t="str">
        <x:f>"107221269"</x:f>
        <x:v>107221269</x:v>
      </x:c>
      <x:c r="C28" s="19" t="s">
        <x:v>117</x:v>
      </x:c>
      <x:c r="D28" s="19" t="s">
        <x:v>37</x:v>
      </x:c>
      <x:c r="E28" s="19" t="s">
        <x:v>52</x:v>
      </x:c>
      <x:c r="F28" s="19" t="s">
        <x:v>53</x:v>
      </x:c>
      <x:c r="G28" s="21">
        <x:v>70</x:v>
      </x:c>
      <x:c r="H28" s="22">
        <x:v>70</x:v>
      </x:c>
      <x:c r="I28" s="21">
        <x:v>99</x:v>
      </x:c>
      <x:c r="J28" s="22">
        <x:v>99</x:v>
      </x:c>
      <x:c r="K28" s="19" t="str">
        <x:f t="shared" si="0">"EXCLUDED"</x:f>
        <x:v>EXCLUDED</x:v>
      </x:c>
      <x:c r="L28" s="19" t="str">
        <x:f t="shared" si="1">"EXCLUDED"</x:f>
        <x:v>EXCLUDED</x:v>
      </x:c>
      <x:c r="M28" s="19" t="str">
        <x:f>IF('Product Review'!U28="","MISSING","FOUND")</x:f>
        <x:v>FOUND</x:v>
      </x:c>
      <x:c r="N28" s="19" t="str">
        <x:v>USER EXCLUSION: red-marked item; do not import.</x:v>
      </x:c>
    </x:row>
    <x:row r="29" s="23" customFormat="1" ht="15">
      <x:c r="A29" s="19" t="s">
        <x:v>118</x:v>
      </x:c>
      <x:c r="B29" s="20" t="str">
        <x:f>"107211268"</x:f>
        <x:v>107211268</x:v>
      </x:c>
      <x:c r="C29" s="19" t="s">
        <x:v>119</x:v>
      </x:c>
      <x:c r="D29" s="19" t="s">
        <x:v>37</x:v>
      </x:c>
      <x:c r="E29" s="19" t="s">
        <x:v>52</x:v>
      </x:c>
      <x:c r="F29" s="19" t="s">
        <x:v>53</x:v>
      </x:c>
      <x:c r="G29" s="21">
        <x:v>70</x:v>
      </x:c>
      <x:c r="H29" s="22">
        <x:v>70</x:v>
      </x:c>
      <x:c r="I29" s="21">
        <x:v>129</x:v>
      </x:c>
      <x:c r="J29" s="22">
        <x:v>129</x:v>
      </x:c>
      <x:c r="K29" s="19" t="str">
        <x:f t="shared" si="0">"EXCLUDED"</x:f>
        <x:v>EXCLUDED</x:v>
      </x:c>
      <x:c r="L29" s="19" t="str">
        <x:f t="shared" si="1">"EXCLUDED"</x:f>
        <x:v>EXCLUDED</x:v>
      </x:c>
      <x:c r="M29" s="19" t="str">
        <x:f>IF('Product Review'!U29="","MISSING","FOUND")</x:f>
        <x:v>FOUND</x:v>
      </x:c>
      <x:c r="N29" s="19" t="str">
        <x:v>USER EXCLUSION: red-marked item; do not import.</x:v>
      </x:c>
    </x:row>
    <x:row r="30" ht="15">
      <x:c r="A30" s="6" t="s">
        <x:v>120</x:v>
      </x:c>
      <x:c r="B30" s="9" t="str">
        <x:f>"105541110"</x:f>
        <x:v>105541110</x:v>
      </x:c>
      <x:c r="C30" s="6" t="s">
        <x:v>121</x:v>
      </x:c>
      <x:c r="D30" s="6" t="s">
        <x:v>122</x:v>
      </x:c>
      <x:c r="E30" s="6" t="s">
        <x:v>52</x:v>
      </x:c>
      <x:c r="F30" s="6" t="s">
        <x:v>123</x:v>
      </x:c>
      <x:c r="G30" s="8">
        <x:v>97.62</x:v>
      </x:c>
      <x:c r="H30" s="7">
        <x:v>97.62</x:v>
      </x:c>
      <x:c r="I30" s="8">
        <x:v>139.94999999999999</x:v>
      </x:c>
      <x:c r="J30" s="7">
        <x:v>139.94999999999999</x:v>
      </x:c>
      <x:c r="K30" s="6" t="str">
        <x:f t="shared" si="0"/>
        <x:v>REVIEW</x:v>
      </x:c>
      <x:c r="L30" s="6" t="str">
        <x:f t="shared" si="1"/>
        <x:v>OK</x:v>
      </x:c>
      <x:c r="M30" s="6" t="str">
        <x:f>IF('Product Review'!U30="","MISSING","FOUND")</x:f>
        <x:v>FOUND</x:v>
      </x:c>
      <x:c r="N30" s="6"/>
    </x:row>
    <x:row r="31" ht="29.25">
      <x:c r="A31" s="6" t="s">
        <x:v>124</x:v>
      </x:c>
      <x:c r="B31" s="9" t="str">
        <x:f>"105531109"</x:f>
        <x:v>105531109</x:v>
      </x:c>
      <x:c r="C31" s="6" t="s">
        <x:v>125</x:v>
      </x:c>
      <x:c r="D31" s="6" t="s">
        <x:v>122</x:v>
      </x:c>
      <x:c r="E31" s="6" t="s">
        <x:v>52</x:v>
      </x:c>
      <x:c r="F31" s="6" t="s">
        <x:v>123</x:v>
      </x:c>
      <x:c r="G31" s="8">
        <x:v>35.28</x:v>
      </x:c>
      <x:c r="H31" s="7">
        <x:v>35.28</x:v>
      </x:c>
      <x:c r="I31" s="8">
        <x:v>54.99</x:v>
      </x:c>
      <x:c r="J31" s="7">
        <x:v>54.99</x:v>
      </x:c>
      <x:c r="K31" s="6" t="str">
        <x:f t="shared" si="0"/>
        <x:v>REVIEW</x:v>
      </x:c>
      <x:c r="L31" s="6" t="str">
        <x:f t="shared" si="1"/>
        <x:v>OK</x:v>
      </x:c>
      <x:c r="M31" s="6" t="str">
        <x:f>IF('Product Review'!U31="","MISSING","FOUND")</x:f>
        <x:v>FOUND</x:v>
      </x:c>
      <x:c r="N31" s="6"/>
    </x:row>
    <x:row r="32" ht="15">
      <x:c r="A32" s="6" t="s">
        <x:v>126</x:v>
      </x:c>
      <x:c r="B32" s="9" t="str">
        <x:f>"105461107"</x:f>
        <x:v>105461107</x:v>
      </x:c>
      <x:c r="C32" s="6" t="s">
        <x:v>127</x:v>
      </x:c>
      <x:c r="D32" s="6" t="s">
        <x:v>128</x:v>
      </x:c>
      <x:c r="E32" s="6" t="s">
        <x:v>52</x:v>
      </x:c>
      <x:c r="F32" s="6" t="s">
        <x:v>53</x:v>
      </x:c>
      <x:c r="G32" s="8">
        <x:v>115</x:v>
      </x:c>
      <x:c r="H32" s="7">
        <x:v>115</x:v>
      </x:c>
      <x:c r="I32" s="8">
        <x:v>169</x:v>
      </x:c>
      <x:c r="J32" s="7">
        <x:v>169</x:v>
      </x:c>
      <x:c r="K32" s="6" t="str">
        <x:f t="shared" si="0"/>
        <x:v>REVIEW</x:v>
      </x:c>
      <x:c r="L32" s="6" t="str">
        <x:f t="shared" si="1"/>
        <x:v>OK</x:v>
      </x:c>
      <x:c r="M32" s="6" t="str">
        <x:f>IF('Product Review'!U32="","MISSING","FOUND")</x:f>
        <x:v>FOUND</x:v>
      </x:c>
      <x:c r="N32" s="6"/>
    </x:row>
    <x:row r="33" ht="29.25">
      <x:c r="A33" s="6" t="s">
        <x:v>129</x:v>
      </x:c>
      <x:c r="B33" s="9" t="str">
        <x:f>"105451106"</x:f>
        <x:v>105451106</x:v>
      </x:c>
      <x:c r="C33" s="6" t="s">
        <x:v>130</x:v>
      </x:c>
      <x:c r="D33" s="6" t="s">
        <x:v>81</x:v>
      </x:c>
      <x:c r="E33" s="6" t="s">
        <x:v>52</x:v>
      </x:c>
      <x:c r="F33" s="6" t="s">
        <x:v>53</x:v>
      </x:c>
      <x:c r="G33" s="8">
        <x:v>110</x:v>
      </x:c>
      <x:c r="H33" s="7">
        <x:v>110</x:v>
      </x:c>
      <x:c r="I33" s="8">
        <x:v>165</x:v>
      </x:c>
      <x:c r="J33" s="7">
        <x:v>165</x:v>
      </x:c>
      <x:c r="K33" s="6" t="str">
        <x:f t="shared" si="0"/>
        <x:v>REVIEW</x:v>
      </x:c>
      <x:c r="L33" s="6" t="str">
        <x:f t="shared" si="1"/>
        <x:v>OK</x:v>
      </x:c>
      <x:c r="M33" s="6" t="str">
        <x:f>IF('Product Review'!U33="","MISSING","FOUND")</x:f>
        <x:v>MISSING</x:v>
      </x:c>
      <x:c r="N33" s="6" t="s">
        <x:v>131</x:v>
      </x:c>
    </x:row>
    <x:row r="34" ht="15">
      <x:c r="A34" s="6" t="s">
        <x:v>132</x:v>
      </x:c>
      <x:c r="B34" s="9" t="str">
        <x:f>"105121088"</x:f>
        <x:v>105121088</x:v>
      </x:c>
      <x:c r="C34" s="6" t="s">
        <x:v>133</x:v>
      </x:c>
      <x:c r="D34" s="6" t="s">
        <x:v>81</x:v>
      </x:c>
      <x:c r="E34" s="6" t="s">
        <x:v>52</x:v>
      </x:c>
      <x:c r="F34" s="6" t="s">
        <x:v>58</x:v>
      </x:c>
      <x:c r="G34" s="8">
        <x:v>40</x:v>
      </x:c>
      <x:c r="H34" s="7">
        <x:v>40</x:v>
      </x:c>
      <x:c r="I34" s="8">
        <x:v>79</x:v>
      </x:c>
      <x:c r="J34" s="7">
        <x:v>79</x:v>
      </x:c>
      <x:c r="K34" s="6" t="str">
        <x:f t="shared" ref="K34:K65" si="2">IF(H34&lt;=0,"MISSING","REVIEW")</x:f>
        <x:v>REVIEW</x:v>
      </x:c>
      <x:c r="L34" s="6" t="str">
        <x:f t="shared" ref="L34:L65" si="3">IF(OR(J34&lt;=0,J34&gt;100000),"CHECK","OK")</x:f>
        <x:v>OK</x:v>
      </x:c>
      <x:c r="M34" s="6" t="str">
        <x:f>IF('Product Review'!U34="","MISSING","FOUND")</x:f>
        <x:v>FOUND</x:v>
      </x:c>
      <x:c r="N34" s="6"/>
    </x:row>
    <x:row r="35" ht="15">
      <x:c r="A35" s="6" t="s">
        <x:v>134</x:v>
      </x:c>
      <x:c r="B35" s="9" t="str">
        <x:f>"103200041029"</x:f>
        <x:v>103200041029</x:v>
      </x:c>
      <x:c r="C35" s="6" t="s">
        <x:v>135</x:v>
      </x:c>
      <x:c r="D35" s="6" t="s">
        <x:v>136</x:v>
      </x:c>
      <x:c r="E35" s="6" t="s">
        <x:v>52</x:v>
      </x:c>
      <x:c r="F35" s="6" t="s">
        <x:v>58</x:v>
      </x:c>
      <x:c r="G35" s="8">
        <x:v>3.9</x:v>
      </x:c>
      <x:c r="H35" s="7">
        <x:v>3.9</x:v>
      </x:c>
      <x:c r="I35" s="8">
        <x:v>15.99</x:v>
      </x:c>
      <x:c r="J35" s="7">
        <x:v>15.99</x:v>
      </x:c>
      <x:c r="K35" s="6" t="str">
        <x:f t="shared" si="2"/>
        <x:v>REVIEW</x:v>
      </x:c>
      <x:c r="L35" s="6" t="str">
        <x:f t="shared" si="3"/>
        <x:v>OK</x:v>
      </x:c>
      <x:c r="M35" s="6" t="str">
        <x:f>IF('Product Review'!U35="","MISSING","FOUND")</x:f>
        <x:v>FOUND</x:v>
      </x:c>
      <x:c r="N35" s="6" t="s">
        <x:v>137</x:v>
      </x:c>
    </x:row>
    <x:row r="36" s="23" customFormat="1" ht="29.25">
      <x:c r="A36" s="19" t="s">
        <x:v>138</x:v>
      </x:c>
      <x:c r="B36" s="20" t="str">
        <x:f>"TM8-COMP-10319"</x:f>
        <x:v>TM8-COMP-10319</x:v>
      </x:c>
      <x:c r="C36" s="19" t="s">
        <x:v>139</x:v>
      </x:c>
      <x:c r="D36" s="19" t="s">
        <x:v>37</x:v>
      </x:c>
      <x:c r="E36" s="19" t="s">
        <x:v>52</x:v>
      </x:c>
      <x:c r="F36" s="19" t="s">
        <x:v>53</x:v>
      </x:c>
      <x:c r="G36" s="21">
        <x:v>0</x:v>
      </x:c>
      <x:c r="H36" s="22">
        <x:v>0</x:v>
      </x:c>
      <x:c r="I36" s="21">
        <x:v>0</x:v>
      </x:c>
      <x:c r="J36" s="22">
        <x:v>0</x:v>
      </x:c>
      <x:c r="K36" s="19" t="str">
        <x:f t="shared" si="2">"EXCLUDED"</x:f>
        <x:v>EXCLUDED</x:v>
      </x:c>
      <x:c r="L36" s="19" t="str">
        <x:f t="shared" si="3">"EXCLUDED"</x:f>
        <x:v>EXCLUDED</x:v>
      </x:c>
      <x:c r="M36" s="19" t="str">
        <x:f>IF('Product Review'!U36="","MISSING","FOUND")</x:f>
        <x:v>FOUND</x:v>
      </x:c>
      <x:c r="N36" s="19" t="str">
        <x:v>Cost must be entered before import. Retail price requires correction. USER EXCLUSION: red-marked item; do not import.</x:v>
      </x:c>
    </x:row>
    <x:row r="37" s="23" customFormat="1" ht="29.25">
      <x:c r="A37" s="19" t="s">
        <x:v>140</x:v>
      </x:c>
      <x:c r="B37" s="20" t="str">
        <x:f>"TM8-COMP-10318"</x:f>
        <x:v>TM8-COMP-10318</x:v>
      </x:c>
      <x:c r="C37" s="19" t="s">
        <x:v>141</x:v>
      </x:c>
      <x:c r="D37" s="19" t="s">
        <x:v>37</x:v>
      </x:c>
      <x:c r="E37" s="19" t="s">
        <x:v>52</x:v>
      </x:c>
      <x:c r="F37" s="19" t="s">
        <x:v>53</x:v>
      </x:c>
      <x:c r="G37" s="21">
        <x:v>0</x:v>
      </x:c>
      <x:c r="H37" s="22">
        <x:v>0</x:v>
      </x:c>
      <x:c r="I37" s="21">
        <x:v>0</x:v>
      </x:c>
      <x:c r="J37" s="22">
        <x:v>0</x:v>
      </x:c>
      <x:c r="K37" s="19" t="str">
        <x:f t="shared" si="2">"EXCLUDED"</x:f>
        <x:v>EXCLUDED</x:v>
      </x:c>
      <x:c r="L37" s="19" t="str">
        <x:f t="shared" si="3">"EXCLUDED"</x:f>
        <x:v>EXCLUDED</x:v>
      </x:c>
      <x:c r="M37" s="19" t="str">
        <x:f>IF('Product Review'!U37="","MISSING","FOUND")</x:f>
        <x:v>FOUND</x:v>
      </x:c>
      <x:c r="N37" s="19" t="str">
        <x:v>Cost must be entered before import. Retail price requires correction. USER EXCLUSION: red-marked item; do not import.</x:v>
      </x:c>
    </x:row>
    <x:row r="38" s="23" customFormat="1" ht="29.25">
      <x:c r="A38" s="19" t="s">
        <x:v>142</x:v>
      </x:c>
      <x:c r="B38" s="20" t="str">
        <x:f>"TM8-COMP-10317"</x:f>
        <x:v>TM8-COMP-10317</x:v>
      </x:c>
      <x:c r="C38" s="19" t="s">
        <x:v>143</x:v>
      </x:c>
      <x:c r="D38" s="19" t="s">
        <x:v>37</x:v>
      </x:c>
      <x:c r="E38" s="19" t="s">
        <x:v>52</x:v>
      </x:c>
      <x:c r="F38" s="19" t="s">
        <x:v>53</x:v>
      </x:c>
      <x:c r="G38" s="21">
        <x:v>0</x:v>
      </x:c>
      <x:c r="H38" s="22">
        <x:v>0</x:v>
      </x:c>
      <x:c r="I38" s="21">
        <x:v>0</x:v>
      </x:c>
      <x:c r="J38" s="22">
        <x:v>0</x:v>
      </x:c>
      <x:c r="K38" s="19" t="str">
        <x:f t="shared" si="2">"EXCLUDED"</x:f>
        <x:v>EXCLUDED</x:v>
      </x:c>
      <x:c r="L38" s="19" t="str">
        <x:f t="shared" si="3">"EXCLUDED"</x:f>
        <x:v>EXCLUDED</x:v>
      </x:c>
      <x:c r="M38" s="19" t="str">
        <x:f>IF('Product Review'!U38="","MISSING","FOUND")</x:f>
        <x:v>FOUND</x:v>
      </x:c>
      <x:c r="N38" s="19" t="str">
        <x:v>Cost must be entered before import. Retail price requires correction. USER EXCLUSION: red-marked item; do not import.</x:v>
      </x:c>
    </x:row>
    <x:row r="39" s="23" customFormat="1" ht="15">
      <x:c r="A39" s="19" t="s">
        <x:v>144</x:v>
      </x:c>
      <x:c r="B39" s="20" t="str">
        <x:f>"TM8-COMP-10300"</x:f>
        <x:v>TM8-COMP-10300</x:v>
      </x:c>
      <x:c r="C39" s="19" t="s">
        <x:v>145</x:v>
      </x:c>
      <x:c r="D39" s="19" t="s">
        <x:v>146</x:v>
      </x:c>
      <x:c r="E39" s="19" t="s">
        <x:v>52</x:v>
      </x:c>
      <x:c r="F39" s="19" t="s">
        <x:v>53</x:v>
      </x:c>
      <x:c r="G39" s="21">
        <x:v>39.5</x:v>
      </x:c>
      <x:c r="H39" s="22">
        <x:v>39.5</x:v>
      </x:c>
      <x:c r="I39" s="21">
        <x:v>25</x:v>
      </x:c>
      <x:c r="J39" s="22">
        <x:v>25</x:v>
      </x:c>
      <x:c r="K39" s="19" t="str">
        <x:f t="shared" si="2">"EXCLUDED"</x:f>
        <x:v>EXCLUDED</x:v>
      </x:c>
      <x:c r="L39" s="19" t="str">
        <x:f t="shared" si="3">"EXCLUDED"</x:f>
        <x:v>EXCLUDED</x:v>
      </x:c>
      <x:c r="M39" s="19" t="str">
        <x:f>IF('Product Review'!U39="","MISSING","FOUND")</x:f>
        <x:v>FOUND</x:v>
      </x:c>
      <x:c r="N39" s="19" t="str">
        <x:v>USER EXCLUSION: red-marked item; do not import.</x:v>
      </x:c>
    </x:row>
    <x:row r="40" ht="15">
      <x:c r="A40" s="6" t="s">
        <x:v>147</x:v>
      </x:c>
      <x:c r="B40" s="9" t="str">
        <x:f>"TM8-COMP-10299"</x:f>
        <x:v>TM8-COMP-10299</x:v>
      </x:c>
      <x:c r="C40" s="6" t="s">
        <x:v>148</x:v>
      </x:c>
      <x:c r="D40" s="6" t="s">
        <x:v>37</x:v>
      </x:c>
      <x:c r="E40" s="6" t="s">
        <x:v>52</x:v>
      </x:c>
      <x:c r="F40" s="6" t="s">
        <x:v>58</x:v>
      </x:c>
      <x:c r="G40" s="8">
        <x:v>35</x:v>
      </x:c>
      <x:c r="H40" s="7">
        <x:v>35</x:v>
      </x:c>
      <x:c r="I40" s="8">
        <x:v>109</x:v>
      </x:c>
      <x:c r="J40" s="7">
        <x:v>109</x:v>
      </x:c>
      <x:c r="K40" s="6" t="str">
        <x:f t="shared" si="2"/>
        <x:v>REVIEW</x:v>
      </x:c>
      <x:c r="L40" s="6" t="str">
        <x:f t="shared" si="3"/>
        <x:v>OK</x:v>
      </x:c>
      <x:c r="M40" s="6" t="str">
        <x:f>IF('Product Review'!U40="","MISSING","FOUND")</x:f>
        <x:v>FOUND</x:v>
      </x:c>
      <x:c r="N40" s="6"/>
    </x:row>
    <x:row r="41" ht="29.25">
      <x:c r="A41" s="6" t="s">
        <x:v>149</x:v>
      </x:c>
      <x:c r="B41" s="9" t="str">
        <x:f>"TM8-COMP-10298"</x:f>
        <x:v>TM8-COMP-10298</x:v>
      </x:c>
      <x:c r="C41" s="6" t="s">
        <x:v>150</x:v>
      </x:c>
      <x:c r="D41" s="6" t="s">
        <x:v>146</x:v>
      </x:c>
      <x:c r="E41" s="6" t="s">
        <x:v>52</x:v>
      </x:c>
      <x:c r="F41" s="6" t="s">
        <x:v>53</x:v>
      </x:c>
      <x:c r="G41" s="8">
        <x:v>70</x:v>
      </x:c>
      <x:c r="H41" s="7">
        <x:v>70</x:v>
      </x:c>
      <x:c r="I41" s="8">
        <x:v>129</x:v>
      </x:c>
      <x:c r="J41" s="7">
        <x:v>129</x:v>
      </x:c>
      <x:c r="K41" s="6" t="str">
        <x:f t="shared" si="2"/>
        <x:v>REVIEW</x:v>
      </x:c>
      <x:c r="L41" s="6" t="str">
        <x:f t="shared" si="3"/>
        <x:v>OK</x:v>
      </x:c>
      <x:c r="M41" s="6" t="str">
        <x:f>IF('Product Review'!U41="","MISSING","FOUND")</x:f>
        <x:v>FOUND</x:v>
      </x:c>
      <x:c r="N41" s="6" t="s">
        <x:v>88</x:v>
      </x:c>
    </x:row>
    <x:row r="42" ht="29.25">
      <x:c r="A42" s="6" t="s">
        <x:v>151</x:v>
      </x:c>
      <x:c r="B42" s="9" t="str">
        <x:f>"TM8-COMP-10297"</x:f>
        <x:v>TM8-COMP-10297</x:v>
      </x:c>
      <x:c r="C42" s="6" t="s">
        <x:v>152</x:v>
      </x:c>
      <x:c r="D42" s="6" t="s">
        <x:v>146</x:v>
      </x:c>
      <x:c r="E42" s="6" t="s">
        <x:v>52</x:v>
      </x:c>
      <x:c r="F42" s="6" t="s">
        <x:v>53</x:v>
      </x:c>
      <x:c r="G42" s="8">
        <x:v>60</x:v>
      </x:c>
      <x:c r="H42" s="7">
        <x:v>60</x:v>
      </x:c>
      <x:c r="I42" s="8">
        <x:v>99</x:v>
      </x:c>
      <x:c r="J42" s="7">
        <x:v>99</x:v>
      </x:c>
      <x:c r="K42" s="6" t="str">
        <x:f t="shared" si="2"/>
        <x:v>REVIEW</x:v>
      </x:c>
      <x:c r="L42" s="6" t="str">
        <x:f t="shared" si="3"/>
        <x:v>OK</x:v>
      </x:c>
      <x:c r="M42" s="6" t="str">
        <x:f>IF('Product Review'!U42="","MISSING","FOUND")</x:f>
        <x:v>FOUND</x:v>
      </x:c>
      <x:c r="N42" s="6"/>
    </x:row>
    <x:row r="43" ht="29.25">
      <x:c r="A43" s="6" t="s">
        <x:v>153</x:v>
      </x:c>
      <x:c r="B43" s="9" t="str">
        <x:f>"TM8-COMP-10296"</x:f>
        <x:v>TM8-COMP-10296</x:v>
      </x:c>
      <x:c r="C43" s="6" t="s">
        <x:v>154</x:v>
      </x:c>
      <x:c r="D43" s="6" t="s">
        <x:v>146</x:v>
      </x:c>
      <x:c r="E43" s="6" t="s">
        <x:v>52</x:v>
      </x:c>
      <x:c r="F43" s="6" t="s">
        <x:v>53</x:v>
      </x:c>
      <x:c r="G43" s="8">
        <x:v>70</x:v>
      </x:c>
      <x:c r="H43" s="7">
        <x:v>70</x:v>
      </x:c>
      <x:c r="I43" s="8">
        <x:v>129</x:v>
      </x:c>
      <x:c r="J43" s="7">
        <x:v>129</x:v>
      </x:c>
      <x:c r="K43" s="6" t="str">
        <x:f t="shared" si="2"/>
        <x:v>REVIEW</x:v>
      </x:c>
      <x:c r="L43" s="6" t="str">
        <x:f t="shared" si="3"/>
        <x:v>OK</x:v>
      </x:c>
      <x:c r="M43" s="6" t="str">
        <x:f>IF('Product Review'!U43="","MISSING","FOUND")</x:f>
        <x:v>FOUND</x:v>
      </x:c>
      <x:c r="N43" s="6" t="s">
        <x:v>88</x:v>
      </x:c>
    </x:row>
    <x:row r="44" ht="29.25">
      <x:c r="A44" s="6" t="s">
        <x:v>155</x:v>
      </x:c>
      <x:c r="B44" s="9" t="str">
        <x:f>"TM8-COMP-10295"</x:f>
        <x:v>TM8-COMP-10295</x:v>
      </x:c>
      <x:c r="C44" s="6" t="s">
        <x:v>156</x:v>
      </x:c>
      <x:c r="D44" s="6" t="s">
        <x:v>157</x:v>
      </x:c>
      <x:c r="E44" s="6" t="s">
        <x:v>52</x:v>
      </x:c>
      <x:c r="F44" s="6" t="s">
        <x:v>53</x:v>
      </x:c>
      <x:c r="G44" s="8">
        <x:v>3</x:v>
      </x:c>
      <x:c r="H44" s="7">
        <x:v>3</x:v>
      </x:c>
      <x:c r="I44" s="8">
        <x:v>12.99</x:v>
      </x:c>
      <x:c r="J44" s="7">
        <x:v>12.99</x:v>
      </x:c>
      <x:c r="K44" s="6" t="str">
        <x:f t="shared" si="2"/>
        <x:v>REVIEW</x:v>
      </x:c>
      <x:c r="L44" s="6" t="str">
        <x:f t="shared" si="3"/>
        <x:v>OK</x:v>
      </x:c>
      <x:c r="M44" s="6" t="str">
        <x:f>IF('Product Review'!U44="","MISSING","FOUND")</x:f>
        <x:v>FOUND</x:v>
      </x:c>
      <x:c r="N44" s="6" t="s">
        <x:v>158</x:v>
      </x:c>
    </x:row>
    <x:row r="45" s="23" customFormat="1" ht="15">
      <x:c r="A45" s="19" t="s">
        <x:v>159</x:v>
      </x:c>
      <x:c r="B45" s="20" t="str">
        <x:f>"TM8-COMP-10294"</x:f>
        <x:v>TM8-COMP-10294</x:v>
      </x:c>
      <x:c r="C45" s="19" t="s">
        <x:v>160</x:v>
      </x:c>
      <x:c r="D45" s="19" t="s">
        <x:v>161</x:v>
      </x:c>
      <x:c r="E45" s="19" t="s">
        <x:v>52</x:v>
      </x:c>
      <x:c r="F45" s="19" t="s">
        <x:v>162</x:v>
      </x:c>
      <x:c r="G45" s="21">
        <x:v>460</x:v>
      </x:c>
      <x:c r="H45" s="22">
        <x:v>460</x:v>
      </x:c>
      <x:c r="I45" s="21">
        <x:v>729</x:v>
      </x:c>
      <x:c r="J45" s="22">
        <x:v>729</x:v>
      </x:c>
      <x:c r="K45" s="19" t="str">
        <x:f t="shared" si="2">"EXCLUDED"</x:f>
        <x:v>EXCLUDED</x:v>
      </x:c>
      <x:c r="L45" s="19" t="str">
        <x:f t="shared" si="3">"EXCLUDED"</x:f>
        <x:v>EXCLUDED</x:v>
      </x:c>
      <x:c r="M45" s="19" t="str">
        <x:f>IF('Product Review'!U45="","MISSING","FOUND")</x:f>
        <x:v>FOUND</x:v>
      </x:c>
      <x:c r="N45" s="19" t="str">
        <x:v>Source stock 1 is reference only; POS starts at 0. USER EXCLUSION: red-marked item; do not import.</x:v>
      </x:c>
    </x:row>
    <x:row r="46" ht="15">
      <x:c r="A46" s="6" t="s">
        <x:v>163</x:v>
      </x:c>
      <x:c r="B46" s="9" t="str">
        <x:f>"TM8-COMP-10293"</x:f>
        <x:v>TM8-COMP-10293</x:v>
      </x:c>
      <x:c r="C46" s="6" t="s">
        <x:v>164</x:v>
      </x:c>
      <x:c r="D46" s="6" t="s">
        <x:v>161</x:v>
      </x:c>
      <x:c r="E46" s="6" t="s">
        <x:v>52</x:v>
      </x:c>
      <x:c r="F46" s="6" t="s">
        <x:v>162</x:v>
      </x:c>
      <x:c r="G46" s="8">
        <x:v>150</x:v>
      </x:c>
      <x:c r="H46" s="7">
        <x:v>150</x:v>
      </x:c>
      <x:c r="I46" s="8">
        <x:v>299</x:v>
      </x:c>
      <x:c r="J46" s="7">
        <x:v>299</x:v>
      </x:c>
      <x:c r="K46" s="6" t="str">
        <x:f t="shared" si="2"/>
        <x:v>REVIEW</x:v>
      </x:c>
      <x:c r="L46" s="6" t="str">
        <x:f t="shared" si="3"/>
        <x:v>OK</x:v>
      </x:c>
      <x:c r="M46" s="6" t="str">
        <x:f>IF('Product Review'!U46="","MISSING","FOUND")</x:f>
        <x:v>FOUND</x:v>
      </x:c>
      <x:c r="N46" s="6"/>
    </x:row>
    <x:row r="47" s="23" customFormat="1" ht="15">
      <x:c r="A47" s="19" t="s">
        <x:v>165</x:v>
      </x:c>
      <x:c r="B47" s="20" t="str">
        <x:f>"TM8-COMP-10292"</x:f>
        <x:v>TM8-COMP-10292</x:v>
      </x:c>
      <x:c r="C47" s="19" t="s">
        <x:v>166</x:v>
      </x:c>
      <x:c r="D47" s="19" t="s">
        <x:v>161</x:v>
      </x:c>
      <x:c r="E47" s="19" t="s">
        <x:v>52</x:v>
      </x:c>
      <x:c r="F47" s="19" t="s">
        <x:v>162</x:v>
      </x:c>
      <x:c r="G47" s="21">
        <x:v>600</x:v>
      </x:c>
      <x:c r="H47" s="22">
        <x:v>600</x:v>
      </x:c>
      <x:c r="I47" s="21">
        <x:v>999999999</x:v>
      </x:c>
      <x:c r="J47" s="22">
        <x:v>999999999</x:v>
      </x:c>
      <x:c r="K47" s="19" t="str">
        <x:f t="shared" si="2">"EXCLUDED"</x:f>
        <x:v>EXCLUDED</x:v>
      </x:c>
      <x:c r="L47" s="19" t="str">
        <x:f t="shared" si="3">"EXCLUDED"</x:f>
        <x:v>EXCLUDED</x:v>
      </x:c>
      <x:c r="M47" s="19" t="str">
        <x:f>IF('Product Review'!U47="","MISSING","FOUND")</x:f>
        <x:v>FOUND</x:v>
      </x:c>
      <x:c r="N47" s="19" t="str">
        <x:v>Retail price requires correction. USER EXCLUSION: red-marked item; do not import.</x:v>
      </x:c>
    </x:row>
    <x:row r="48" s="23" customFormat="1" ht="15">
      <x:c r="A48" s="19" t="s">
        <x:v>167</x:v>
      </x:c>
      <x:c r="B48" s="20" t="str">
        <x:f>"TM8-COMP-10290"</x:f>
        <x:v>TM8-COMP-10290</x:v>
      </x:c>
      <x:c r="C48" s="19" t="s">
        <x:v>168</x:v>
      </x:c>
      <x:c r="D48" s="19" t="s">
        <x:v>161</x:v>
      </x:c>
      <x:c r="E48" s="19" t="s">
        <x:v>52</x:v>
      </x:c>
      <x:c r="F48" s="19" t="s">
        <x:v>162</x:v>
      </x:c>
      <x:c r="G48" s="21">
        <x:v>600</x:v>
      </x:c>
      <x:c r="H48" s="22">
        <x:v>600</x:v>
      </x:c>
      <x:c r="I48" s="21">
        <x:v>899</x:v>
      </x:c>
      <x:c r="J48" s="22">
        <x:v>899</x:v>
      </x:c>
      <x:c r="K48" s="19" t="str">
        <x:f t="shared" si="2">"EXCLUDED"</x:f>
        <x:v>EXCLUDED</x:v>
      </x:c>
      <x:c r="L48" s="19" t="str">
        <x:f t="shared" si="3">"EXCLUDED"</x:f>
        <x:v>EXCLUDED</x:v>
      </x:c>
      <x:c r="M48" s="19" t="str">
        <x:f>IF('Product Review'!U48="","MISSING","FOUND")</x:f>
        <x:v>FOUND</x:v>
      </x:c>
      <x:c r="N48" s="19" t="str">
        <x:v>USER EXCLUSION: red-marked item; do not import.</x:v>
      </x:c>
    </x:row>
    <x:row r="49" s="23" customFormat="1" ht="15">
      <x:c r="A49" s="19" t="s">
        <x:v>169</x:v>
      </x:c>
      <x:c r="B49" s="20" t="str">
        <x:f>"TM8-COMP-10289"</x:f>
        <x:v>TM8-COMP-10289</x:v>
      </x:c>
      <x:c r="C49" s="19" t="s">
        <x:v>170</x:v>
      </x:c>
      <x:c r="D49" s="19" t="s">
        <x:v>161</x:v>
      </x:c>
      <x:c r="E49" s="19" t="s">
        <x:v>52</x:v>
      </x:c>
      <x:c r="F49" s="19" t="s">
        <x:v>162</x:v>
      </x:c>
      <x:c r="G49" s="21">
        <x:v>476.82</x:v>
      </x:c>
      <x:c r="H49" s="22">
        <x:v>476.82</x:v>
      </x:c>
      <x:c r="I49" s="21">
        <x:v>729</x:v>
      </x:c>
      <x:c r="J49" s="22">
        <x:v>729</x:v>
      </x:c>
      <x:c r="K49" s="19" t="str">
        <x:f t="shared" si="2">"EXCLUDED"</x:f>
        <x:v>EXCLUDED</x:v>
      </x:c>
      <x:c r="L49" s="19" t="str">
        <x:f t="shared" si="3">"EXCLUDED"</x:f>
        <x:v>EXCLUDED</x:v>
      </x:c>
      <x:c r="M49" s="19" t="str">
        <x:f>IF('Product Review'!U49="","MISSING","FOUND")</x:f>
        <x:v>FOUND</x:v>
      </x:c>
      <x:c r="N49" s="19" t="str">
        <x:v>USER EXCLUSION: red-marked item; do not import.</x:v>
      </x:c>
    </x:row>
    <x:row r="50" s="23" customFormat="1" ht="15">
      <x:c r="A50" s="19" t="s">
        <x:v>171</x:v>
      </x:c>
      <x:c r="B50" s="20" t="str">
        <x:f>"TM8-COMP-10288"</x:f>
        <x:v>TM8-COMP-10288</x:v>
      </x:c>
      <x:c r="C50" s="19" t="s">
        <x:v>172</x:v>
      </x:c>
      <x:c r="D50" s="19" t="s">
        <x:v>161</x:v>
      </x:c>
      <x:c r="E50" s="19" t="s">
        <x:v>52</x:v>
      </x:c>
      <x:c r="F50" s="19" t="s">
        <x:v>162</x:v>
      </x:c>
      <x:c r="G50" s="21">
        <x:v>434.15</x:v>
      </x:c>
      <x:c r="H50" s="22">
        <x:v>434.15</x:v>
      </x:c>
      <x:c r="I50" s="21">
        <x:v>799</x:v>
      </x:c>
      <x:c r="J50" s="22">
        <x:v>799</x:v>
      </x:c>
      <x:c r="K50" s="19" t="str">
        <x:f t="shared" si="2">"EXCLUDED"</x:f>
        <x:v>EXCLUDED</x:v>
      </x:c>
      <x:c r="L50" s="19" t="str">
        <x:f t="shared" si="3">"EXCLUDED"</x:f>
        <x:v>EXCLUDED</x:v>
      </x:c>
      <x:c r="M50" s="19" t="str">
        <x:f>IF('Product Review'!U50="","MISSING","FOUND")</x:f>
        <x:v>FOUND</x:v>
      </x:c>
      <x:c r="N50" s="19" t="str">
        <x:v>USER EXCLUSION: red-marked item; do not import.</x:v>
      </x:c>
    </x:row>
    <x:row r="51" s="23" customFormat="1" ht="15">
      <x:c r="A51" s="19" t="s">
        <x:v>173</x:v>
      </x:c>
      <x:c r="B51" s="20" t="str">
        <x:f>"TM8-COMP-10287"</x:f>
        <x:v>TM8-COMP-10287</x:v>
      </x:c>
      <x:c r="C51" s="19" t="s">
        <x:v>174</x:v>
      </x:c>
      <x:c r="D51" s="19" t="s">
        <x:v>161</x:v>
      </x:c>
      <x:c r="E51" s="19" t="s">
        <x:v>52</x:v>
      </x:c>
      <x:c r="F51" s="19" t="s">
        <x:v>162</x:v>
      </x:c>
      <x:c r="G51" s="21">
        <x:v>544.03</x:v>
      </x:c>
      <x:c r="H51" s="22">
        <x:v>544.03</x:v>
      </x:c>
      <x:c r="I51" s="21">
        <x:v>799</x:v>
      </x:c>
      <x:c r="J51" s="22">
        <x:v>799</x:v>
      </x:c>
      <x:c r="K51" s="19" t="str">
        <x:f t="shared" si="2">"EXCLUDED"</x:f>
        <x:v>EXCLUDED</x:v>
      </x:c>
      <x:c r="L51" s="19" t="str">
        <x:f t="shared" si="3">"EXCLUDED"</x:f>
        <x:v>EXCLUDED</x:v>
      </x:c>
      <x:c r="M51" s="19" t="str">
        <x:f>IF('Product Review'!U51="","MISSING","FOUND")</x:f>
        <x:v>FOUND</x:v>
      </x:c>
      <x:c r="N51" s="19" t="str">
        <x:v>USER EXCLUSION: red-marked item; do not import.</x:v>
      </x:c>
    </x:row>
    <x:row r="52" s="23" customFormat="1" ht="15">
      <x:c r="A52" s="19" t="s">
        <x:v>175</x:v>
      </x:c>
      <x:c r="B52" s="20" t="str">
        <x:f>"TM8-COMP-10268"</x:f>
        <x:v>TM8-COMP-10268</x:v>
      </x:c>
      <x:c r="C52" s="19" t="s">
        <x:v>176</x:v>
      </x:c>
      <x:c r="D52" s="19" t="s">
        <x:v>37</x:v>
      </x:c>
      <x:c r="E52" s="19" t="s">
        <x:v>52</x:v>
      </x:c>
      <x:c r="F52" s="19" t="s">
        <x:v>53</x:v>
      </x:c>
      <x:c r="G52" s="21">
        <x:v>79</x:v>
      </x:c>
      <x:c r="H52" s="22">
        <x:v>79</x:v>
      </x:c>
      <x:c r="I52" s="21">
        <x:v>399</x:v>
      </x:c>
      <x:c r="J52" s="22">
        <x:v>399</x:v>
      </x:c>
      <x:c r="K52" s="19" t="str">
        <x:f t="shared" si="2">"EXCLUDED"</x:f>
        <x:v>EXCLUDED</x:v>
      </x:c>
      <x:c r="L52" s="19" t="str">
        <x:f t="shared" si="3">"EXCLUDED"</x:f>
        <x:v>EXCLUDED</x:v>
      </x:c>
      <x:c r="M52" s="19" t="str">
        <x:f>IF('Product Review'!U52="","MISSING","FOUND")</x:f>
        <x:v>FOUND</x:v>
      </x:c>
      <x:c r="N52" s="19" t="str">
        <x:v>USER EXCLUSION: red-marked item; do not import.</x:v>
      </x:c>
    </x:row>
    <x:row r="53" ht="15">
      <x:c r="A53" s="6" t="s">
        <x:v>177</x:v>
      </x:c>
      <x:c r="B53" s="9" t="str">
        <x:f>"TM8-COMP-10203"</x:f>
        <x:v>TM8-COMP-10203</x:v>
      </x:c>
      <x:c r="C53" s="6" t="s">
        <x:v>178</x:v>
      </x:c>
      <x:c r="D53" s="6" t="s">
        <x:v>37</x:v>
      </x:c>
      <x:c r="E53" s="6" t="s">
        <x:v>38</x:v>
      </x:c>
      <x:c r="F53" s="6" t="s">
        <x:v>39</x:v>
      </x:c>
      <x:c r="G53" s="8">
        <x:v>6</x:v>
      </x:c>
      <x:c r="H53" s="7">
        <x:v>6</x:v>
      </x:c>
      <x:c r="I53" s="8">
        <x:v>35</x:v>
      </x:c>
      <x:c r="J53" s="7">
        <x:v>35</x:v>
      </x:c>
      <x:c r="K53" s="6" t="str">
        <x:f t="shared" si="2"/>
        <x:v>REVIEW</x:v>
      </x:c>
      <x:c r="L53" s="6" t="str">
        <x:f t="shared" si="3"/>
        <x:v>OK</x:v>
      </x:c>
      <x:c r="M53" s="6" t="str">
        <x:f>IF('Product Review'!U53="","MISSING","FOUND")</x:f>
        <x:v>FOUND</x:v>
      </x:c>
      <x:c r="N53" s="6" t="s">
        <x:v>88</x:v>
      </x:c>
    </x:row>
    <x:row r="54" ht="15">
      <x:c r="A54" s="6" t="s">
        <x:v>179</x:v>
      </x:c>
      <x:c r="B54" s="9" t="str">
        <x:f>"TM8-COMP-10202"</x:f>
        <x:v>TM8-COMP-10202</x:v>
      </x:c>
      <x:c r="C54" s="6" t="s">
        <x:v>180</x:v>
      </x:c>
      <x:c r="D54" s="6" t="s">
        <x:v>181</x:v>
      </x:c>
      <x:c r="E54" s="6" t="s">
        <x:v>52</x:v>
      </x:c>
      <x:c r="F54" s="6" t="s">
        <x:v>53</x:v>
      </x:c>
      <x:c r="G54" s="8">
        <x:v>3</x:v>
      </x:c>
      <x:c r="H54" s="7">
        <x:v>3</x:v>
      </x:c>
      <x:c r="I54" s="8">
        <x:v>19</x:v>
      </x:c>
      <x:c r="J54" s="7">
        <x:v>19</x:v>
      </x:c>
      <x:c r="K54" s="6" t="str">
        <x:f t="shared" si="2"/>
        <x:v>REVIEW</x:v>
      </x:c>
      <x:c r="L54" s="6" t="str">
        <x:f t="shared" si="3"/>
        <x:v>OK</x:v>
      </x:c>
      <x:c r="M54" s="6" t="str">
        <x:f>IF('Product Review'!U54="","MISSING","FOUND")</x:f>
        <x:v>FOUND</x:v>
      </x:c>
      <x:c r="N54" s="6"/>
    </x:row>
    <x:row r="55" ht="15">
      <x:c r="A55" s="6" t="s">
        <x:v>182</x:v>
      </x:c>
      <x:c r="B55" s="9" t="str">
        <x:f>"TM8-COMP-10201"</x:f>
        <x:v>TM8-COMP-10201</x:v>
      </x:c>
      <x:c r="C55" s="6" t="s">
        <x:v>183</x:v>
      </x:c>
      <x:c r="D55" s="6" t="s">
        <x:v>181</x:v>
      </x:c>
      <x:c r="E55" s="6" t="s">
        <x:v>52</x:v>
      </x:c>
      <x:c r="F55" s="6" t="s">
        <x:v>53</x:v>
      </x:c>
      <x:c r="G55" s="8">
        <x:v>3</x:v>
      </x:c>
      <x:c r="H55" s="7">
        <x:v>3</x:v>
      </x:c>
      <x:c r="I55" s="8">
        <x:v>19</x:v>
      </x:c>
      <x:c r="J55" s="7">
        <x:v>19</x:v>
      </x:c>
      <x:c r="K55" s="6" t="str">
        <x:f t="shared" si="2"/>
        <x:v>REVIEW</x:v>
      </x:c>
      <x:c r="L55" s="6" t="str">
        <x:f t="shared" si="3"/>
        <x:v>OK</x:v>
      </x:c>
      <x:c r="M55" s="6" t="str">
        <x:f>IF('Product Review'!U55="","MISSING","FOUND")</x:f>
        <x:v>FOUND</x:v>
      </x:c>
      <x:c r="N55" s="6"/>
    </x:row>
    <x:row r="56" ht="15">
      <x:c r="A56" s="6" t="s">
        <x:v>184</x:v>
      </x:c>
      <x:c r="B56" s="9" t="str">
        <x:f>"TM8-COMP-10200"</x:f>
        <x:v>TM8-COMP-10200</x:v>
      </x:c>
      <x:c r="C56" s="6" t="s">
        <x:v>185</x:v>
      </x:c>
      <x:c r="D56" s="6" t="s">
        <x:v>181</x:v>
      </x:c>
      <x:c r="E56" s="6" t="s">
        <x:v>52</x:v>
      </x:c>
      <x:c r="F56" s="6" t="s">
        <x:v>53</x:v>
      </x:c>
      <x:c r="G56" s="8">
        <x:v>10</x:v>
      </x:c>
      <x:c r="H56" s="7">
        <x:v>10</x:v>
      </x:c>
      <x:c r="I56" s="8">
        <x:v>49</x:v>
      </x:c>
      <x:c r="J56" s="7">
        <x:v>49</x:v>
      </x:c>
      <x:c r="K56" s="6" t="str">
        <x:f t="shared" si="2"/>
        <x:v>REVIEW</x:v>
      </x:c>
      <x:c r="L56" s="6" t="str">
        <x:f t="shared" si="3"/>
        <x:v>OK</x:v>
      </x:c>
      <x:c r="M56" s="6" t="str">
        <x:f>IF('Product Review'!U56="","MISSING","FOUND")</x:f>
        <x:v>FOUND</x:v>
      </x:c>
      <x:c r="N56" s="6"/>
    </x:row>
    <x:row r="57" ht="15">
      <x:c r="A57" s="6" t="s">
        <x:v>186</x:v>
      </x:c>
      <x:c r="B57" s="9" t="str">
        <x:f>"TM8-COMP-10199"</x:f>
        <x:v>TM8-COMP-10199</x:v>
      </x:c>
      <x:c r="C57" s="6" t="s">
        <x:v>187</x:v>
      </x:c>
      <x:c r="D57" s="6" t="s">
        <x:v>181</x:v>
      </x:c>
      <x:c r="E57" s="6" t="s">
        <x:v>52</x:v>
      </x:c>
      <x:c r="F57" s="6" t="s">
        <x:v>53</x:v>
      </x:c>
      <x:c r="G57" s="8">
        <x:v>10</x:v>
      </x:c>
      <x:c r="H57" s="7">
        <x:v>10</x:v>
      </x:c>
      <x:c r="I57" s="8">
        <x:v>49</x:v>
      </x:c>
      <x:c r="J57" s="7">
        <x:v>49</x:v>
      </x:c>
      <x:c r="K57" s="6" t="str">
        <x:f t="shared" si="2"/>
        <x:v>REVIEW</x:v>
      </x:c>
      <x:c r="L57" s="6" t="str">
        <x:f t="shared" si="3"/>
        <x:v>OK</x:v>
      </x:c>
      <x:c r="M57" s="6" t="str">
        <x:f>IF('Product Review'!U57="","MISSING","FOUND")</x:f>
        <x:v>FOUND</x:v>
      </x:c>
      <x:c r="N57" s="6"/>
    </x:row>
    <x:row r="58" ht="15">
      <x:c r="A58" s="6" t="s">
        <x:v>188</x:v>
      </x:c>
      <x:c r="B58" s="9" t="str">
        <x:f>"TM8-COMP-10196"</x:f>
        <x:v>TM8-COMP-10196</x:v>
      </x:c>
      <x:c r="C58" s="6" t="s">
        <x:v>189</x:v>
      </x:c>
      <x:c r="D58" s="6" t="s">
        <x:v>161</x:v>
      </x:c>
      <x:c r="E58" s="6" t="s">
        <x:v>52</x:v>
      </x:c>
      <x:c r="F58" s="6" t="s">
        <x:v>162</x:v>
      </x:c>
      <x:c r="G58" s="8">
        <x:v>218.15</x:v>
      </x:c>
      <x:c r="H58" s="7">
        <x:v>218.15</x:v>
      </x:c>
      <x:c r="I58" s="8">
        <x:v>299</x:v>
      </x:c>
      <x:c r="J58" s="7">
        <x:v>299</x:v>
      </x:c>
      <x:c r="K58" s="6" t="str">
        <x:f t="shared" si="2"/>
        <x:v>REVIEW</x:v>
      </x:c>
      <x:c r="L58" s="6" t="str">
        <x:f t="shared" si="3"/>
        <x:v>OK</x:v>
      </x:c>
      <x:c r="M58" s="6" t="str">
        <x:f>IF('Product Review'!U58="","MISSING","FOUND")</x:f>
        <x:v>FOUND</x:v>
      </x:c>
      <x:c r="N58" s="6" t="s">
        <x:v>88</x:v>
      </x:c>
    </x:row>
    <x:row r="59" ht="15">
      <x:c r="A59" s="6" t="s">
        <x:v>190</x:v>
      </x:c>
      <x:c r="B59" s="9" t="str">
        <x:f>"TM8-COMP-10194"</x:f>
        <x:v>TM8-COMP-10194</x:v>
      </x:c>
      <x:c r="C59" s="6" t="s">
        <x:v>191</x:v>
      </x:c>
      <x:c r="D59" s="6" t="s">
        <x:v>161</x:v>
      </x:c>
      <x:c r="E59" s="6" t="s">
        <x:v>52</x:v>
      </x:c>
      <x:c r="F59" s="6" t="s">
        <x:v>162</x:v>
      </x:c>
      <x:c r="G59" s="8">
        <x:v>68.150000000000006</x:v>
      </x:c>
      <x:c r="H59" s="7">
        <x:v>68.150000000000006</x:v>
      </x:c>
      <x:c r="I59" s="8">
        <x:v>99.95</x:v>
      </x:c>
      <x:c r="J59" s="7">
        <x:v>99.95</x:v>
      </x:c>
      <x:c r="K59" s="6" t="str">
        <x:f t="shared" si="2"/>
        <x:v>REVIEW</x:v>
      </x:c>
      <x:c r="L59" s="6" t="str">
        <x:f t="shared" si="3"/>
        <x:v>OK</x:v>
      </x:c>
      <x:c r="M59" s="6" t="str">
        <x:f>IF('Product Review'!U59="","MISSING","FOUND")</x:f>
        <x:v>FOUND</x:v>
      </x:c>
      <x:c r="N59" s="6"/>
    </x:row>
    <x:row r="60" s="23" customFormat="1" ht="15">
      <x:c r="A60" s="19" t="s">
        <x:v>192</x:v>
      </x:c>
      <x:c r="B60" s="20" t="str">
        <x:f>"TM8-COMP-10193"</x:f>
        <x:v>TM8-COMP-10193</x:v>
      </x:c>
      <x:c r="C60" s="19" t="s">
        <x:v>193</x:v>
      </x:c>
      <x:c r="D60" s="19" t="s">
        <x:v>161</x:v>
      </x:c>
      <x:c r="E60" s="19" t="s">
        <x:v>52</x:v>
      </x:c>
      <x:c r="F60" s="19" t="s">
        <x:v>162</x:v>
      </x:c>
      <x:c r="G60" s="21">
        <x:v>270.42</x:v>
      </x:c>
      <x:c r="H60" s="22">
        <x:v>270.42</x:v>
      </x:c>
      <x:c r="I60" s="21">
        <x:v>349</x:v>
      </x:c>
      <x:c r="J60" s="22">
        <x:v>349</x:v>
      </x:c>
      <x:c r="K60" s="19" t="str">
        <x:f t="shared" si="2">"EXCLUDED"</x:f>
        <x:v>EXCLUDED</x:v>
      </x:c>
      <x:c r="L60" s="19" t="str">
        <x:f t="shared" si="3">"EXCLUDED"</x:f>
        <x:v>EXCLUDED</x:v>
      </x:c>
      <x:c r="M60" s="19" t="str">
        <x:f>IF('Product Review'!U60="","MISSING","FOUND")</x:f>
        <x:v>FOUND</x:v>
      </x:c>
      <x:c r="N60" s="19" t="str">
        <x:v>USER EXCLUSION: red-marked item; do not import.</x:v>
      </x:c>
    </x:row>
    <x:row r="61" s="23" customFormat="1" ht="15">
      <x:c r="A61" s="19" t="s">
        <x:v>194</x:v>
      </x:c>
      <x:c r="B61" s="20" t="str">
        <x:f>"TM8-COMP-10192"</x:f>
        <x:v>TM8-COMP-10192</x:v>
      </x:c>
      <x:c r="C61" s="19" t="s">
        <x:v>195</x:v>
      </x:c>
      <x:c r="D61" s="19" t="s">
        <x:v>161</x:v>
      </x:c>
      <x:c r="E61" s="19" t="s">
        <x:v>52</x:v>
      </x:c>
      <x:c r="F61" s="19" t="s">
        <x:v>162</x:v>
      </x:c>
      <x:c r="G61" s="21">
        <x:v>136.33000000000001</x:v>
      </x:c>
      <x:c r="H61" s="22">
        <x:v>136.33000000000001</x:v>
      </x:c>
      <x:c r="I61" s="21">
        <x:v>199</x:v>
      </x:c>
      <x:c r="J61" s="22">
        <x:v>199</x:v>
      </x:c>
      <x:c r="K61" s="19" t="str">
        <x:f t="shared" si="2">"EXCLUDED"</x:f>
        <x:v>EXCLUDED</x:v>
      </x:c>
      <x:c r="L61" s="19" t="str">
        <x:f t="shared" si="3">"EXCLUDED"</x:f>
        <x:v>EXCLUDED</x:v>
      </x:c>
      <x:c r="M61" s="19" t="str">
        <x:f>IF('Product Review'!U61="","MISSING","FOUND")</x:f>
        <x:v>FOUND</x:v>
      </x:c>
      <x:c r="N61" s="19" t="str">
        <x:v>Source stock 1 is reference only; POS starts at 0. USER EXCLUSION: red-marked item; do not import.</x:v>
      </x:c>
    </x:row>
    <x:row r="62" s="23" customFormat="1" ht="15">
      <x:c r="A62" s="19" t="s">
        <x:v>196</x:v>
      </x:c>
      <x:c r="B62" s="20" t="str">
        <x:f>"TM8-COMP-10191"</x:f>
        <x:v>TM8-COMP-10191</x:v>
      </x:c>
      <x:c r="C62" s="19" t="s">
        <x:v>197</x:v>
      </x:c>
      <x:c r="D62" s="19" t="s">
        <x:v>161</x:v>
      </x:c>
      <x:c r="E62" s="19" t="s">
        <x:v>52</x:v>
      </x:c>
      <x:c r="F62" s="19" t="s">
        <x:v>162</x:v>
      </x:c>
      <x:c r="G62" s="21">
        <x:v>30</x:v>
      </x:c>
      <x:c r="H62" s="22">
        <x:v>30</x:v>
      </x:c>
      <x:c r="I62" s="21">
        <x:v>59</x:v>
      </x:c>
      <x:c r="J62" s="22">
        <x:v>59</x:v>
      </x:c>
      <x:c r="K62" s="19" t="str">
        <x:f t="shared" si="2">"EXCLUDED"</x:f>
        <x:v>EXCLUDED</x:v>
      </x:c>
      <x:c r="L62" s="19" t="str">
        <x:f t="shared" si="3">"EXCLUDED"</x:f>
        <x:v>EXCLUDED</x:v>
      </x:c>
      <x:c r="M62" s="19" t="str">
        <x:f>IF('Product Review'!U62="","MISSING","FOUND")</x:f>
        <x:v>FOUND</x:v>
      </x:c>
      <x:c r="N62" s="19" t="str">
        <x:v>USER EXCLUSION: red-marked item; do not import.</x:v>
      </x:c>
    </x:row>
    <x:row r="63" s="23" customFormat="1" ht="15">
      <x:c r="A63" s="19" t="s">
        <x:v>198</x:v>
      </x:c>
      <x:c r="B63" s="20" t="str">
        <x:f>"TM8-COMP-10190"</x:f>
        <x:v>TM8-COMP-10190</x:v>
      </x:c>
      <x:c r="C63" s="19" t="s">
        <x:v>199</x:v>
      </x:c>
      <x:c r="D63" s="19" t="s">
        <x:v>161</x:v>
      </x:c>
      <x:c r="E63" s="19" t="s">
        <x:v>52</x:v>
      </x:c>
      <x:c r="F63" s="19" t="s">
        <x:v>162</x:v>
      </x:c>
      <x:c r="G63" s="21">
        <x:v>181.78</x:v>
      </x:c>
      <x:c r="H63" s="22">
        <x:v>181.78</x:v>
      </x:c>
      <x:c r="I63" s="21">
        <x:v>249.95</x:v>
      </x:c>
      <x:c r="J63" s="22">
        <x:v>249.95</x:v>
      </x:c>
      <x:c r="K63" s="19" t="str">
        <x:f t="shared" si="2">"EXCLUDED"</x:f>
        <x:v>EXCLUDED</x:v>
      </x:c>
      <x:c r="L63" s="19" t="str">
        <x:f t="shared" si="3">"EXCLUDED"</x:f>
        <x:v>EXCLUDED</x:v>
      </x:c>
      <x:c r="M63" s="19" t="str">
        <x:f>IF('Product Review'!U63="","MISSING","FOUND")</x:f>
        <x:v>FOUND</x:v>
      </x:c>
      <x:c r="N63" s="19" t="str">
        <x:v>Source stock 1 is reference only; POS starts at 0. USER EXCLUSION: red-marked item; do not import.</x:v>
      </x:c>
    </x:row>
    <x:row r="64" s="23" customFormat="1" ht="15">
      <x:c r="A64" s="19" t="s">
        <x:v>200</x:v>
      </x:c>
      <x:c r="B64" s="20" t="str">
        <x:f>"TM8-COMP-10189"</x:f>
        <x:v>TM8-COMP-10189</x:v>
      </x:c>
      <x:c r="C64" s="19" t="s">
        <x:v>201</x:v>
      </x:c>
      <x:c r="D64" s="19" t="s">
        <x:v>161</x:v>
      </x:c>
      <x:c r="E64" s="19" t="s">
        <x:v>52</x:v>
      </x:c>
      <x:c r="F64" s="19" t="s">
        <x:v>162</x:v>
      </x:c>
      <x:c r="G64" s="21">
        <x:v>603.6</x:v>
      </x:c>
      <x:c r="H64" s="22">
        <x:v>603.6</x:v>
      </x:c>
      <x:c r="I64" s="21">
        <x:v>829</x:v>
      </x:c>
      <x:c r="J64" s="22">
        <x:v>829</x:v>
      </x:c>
      <x:c r="K64" s="19" t="str">
        <x:f t="shared" si="2">"EXCLUDED"</x:f>
        <x:v>EXCLUDED</x:v>
      </x:c>
      <x:c r="L64" s="19" t="str">
        <x:f t="shared" si="3">"EXCLUDED"</x:f>
        <x:v>EXCLUDED</x:v>
      </x:c>
      <x:c r="M64" s="19" t="str">
        <x:f>IF('Product Review'!U64="","MISSING","FOUND")</x:f>
        <x:v>FOUND</x:v>
      </x:c>
      <x:c r="N64" s="19" t="str">
        <x:v>Source stock 1 is reference only; POS starts at 0. USER EXCLUSION: red-marked item; do not import.</x:v>
      </x:c>
    </x:row>
    <x:row r="65" ht="15">
      <x:c r="A65" s="6" t="s">
        <x:v>202</x:v>
      </x:c>
      <x:c r="B65" s="9" t="str">
        <x:f>"1016052"</x:f>
        <x:v>1016052</x:v>
      </x:c>
      <x:c r="C65" s="6" t="s">
        <x:v>203</x:v>
      </x:c>
      <x:c r="D65" s="6" t="s">
        <x:v>204</x:v>
      </x:c>
      <x:c r="E65" s="6" t="s">
        <x:v>52</x:v>
      </x:c>
      <x:c r="F65" s="6" t="s">
        <x:v>53</x:v>
      </x:c>
      <x:c r="G65" s="8">
        <x:v>56</x:v>
      </x:c>
      <x:c r="H65" s="7">
        <x:v>56</x:v>
      </x:c>
      <x:c r="I65" s="8">
        <x:v>69</x:v>
      </x:c>
      <x:c r="J65" s="7">
        <x:v>69</x:v>
      </x:c>
      <x:c r="K65" s="6" t="str">
        <x:f t="shared" si="2"/>
        <x:v>REVIEW</x:v>
      </x:c>
      <x:c r="L65" s="6" t="str">
        <x:f t="shared" si="3"/>
        <x:v>OK</x:v>
      </x:c>
      <x:c r="M65" s="6" t="str">
        <x:f>IF('Product Review'!U65="","MISSING","FOUND")</x:f>
        <x:v>FOUND</x:v>
      </x:c>
      <x:c r="N65" s="6"/>
    </x:row>
    <x:row r="66" ht="29.25">
      <x:c r="A66" s="6" t="s">
        <x:v>205</x:v>
      </x:c>
      <x:c r="B66" s="9" t="str">
        <x:f>"TM8-COMP-10156"</x:f>
        <x:v>TM8-COMP-10156</x:v>
      </x:c>
      <x:c r="C66" s="6" t="s">
        <x:v>206</x:v>
      </x:c>
      <x:c r="D66" s="6" t="s">
        <x:v>81</x:v>
      </x:c>
      <x:c r="E66" s="6" t="s">
        <x:v>52</x:v>
      </x:c>
      <x:c r="F66" s="6" t="s">
        <x:v>53</x:v>
      </x:c>
      <x:c r="G66" s="8">
        <x:v>95</x:v>
      </x:c>
      <x:c r="H66" s="7">
        <x:v>95</x:v>
      </x:c>
      <x:c r="I66" s="8">
        <x:v>149</x:v>
      </x:c>
      <x:c r="J66" s="7">
        <x:v>149</x:v>
      </x:c>
      <x:c r="K66" s="29" t="str">
        <x:f t="shared" ref="K66:K97" si="4">"REVIEW MATCH"</x:f>
        <x:v>REVIEW MATCH</x:v>
      </x:c>
      <x:c r="L66" s="29" t="str">
        <x:f t="shared" ref="L66:L97" si="5">"REVIEW MATCH"</x:f>
        <x:v>REVIEW MATCH</x:v>
      </x:c>
      <x:c r="M66" s="29" t="str">
        <x:f>IF('Product Review'!U66="","MISSING","FOUND")</x:f>
        <x:v>FOUND</x:v>
      </x:c>
      <x:c r="N66" s="29" t="str">
        <x:v>Source stock 5 is reference only; POS starts at 0. Likely matches current POS SKU LC-MSI-A13-240-COPY; do not import until reviewed.</x:v>
      </x:c>
    </x:row>
    <x:row r="67" ht="15">
      <x:c r="A67" s="6" t="s">
        <x:v>207</x:v>
      </x:c>
      <x:c r="B67" s="9" t="str">
        <x:f>"TM8-COMP-10155"</x:f>
        <x:v>TM8-COMP-10155</x:v>
      </x:c>
      <x:c r="C67" s="6" t="s">
        <x:v>208</x:v>
      </x:c>
      <x:c r="D67" s="6" t="s">
        <x:v>81</x:v>
      </x:c>
      <x:c r="E67" s="6" t="s">
        <x:v>52</x:v>
      </x:c>
      <x:c r="F67" s="6" t="s">
        <x:v>53</x:v>
      </x:c>
      <x:c r="G67" s="8">
        <x:v>80</x:v>
      </x:c>
      <x:c r="H67" s="7">
        <x:v>80</x:v>
      </x:c>
      <x:c r="I67" s="8">
        <x:v>139</x:v>
      </x:c>
      <x:c r="J67" s="7">
        <x:v>139</x:v>
      </x:c>
      <x:c r="K67" s="29" t="str">
        <x:f t="shared" si="4">"REVIEW MATCH"</x:f>
        <x:v>REVIEW MATCH</x:v>
      </x:c>
      <x:c r="L67" s="29" t="str">
        <x:f t="shared" si="5">"REVIEW MATCH"</x:f>
        <x:v>REVIEW MATCH</x:v>
      </x:c>
      <x:c r="M67" s="29" t="str">
        <x:f>IF('Product Review'!U67="","MISSING","FOUND")</x:f>
        <x:v>FOUND</x:v>
      </x:c>
      <x:c r="N67" s="29" t="str">
        <x:v>Source stock 6 is reference only; POS starts at 0. Likely matches current POS SKU LC-MSI-A13-240; do not import until reviewed.</x:v>
      </x:c>
    </x:row>
    <x:row r="68" ht="15">
      <x:c r="A68" s="6" t="s">
        <x:v>209</x:v>
      </x:c>
      <x:c r="B68" s="9" t="str">
        <x:f>"TM8-COMP-10154"</x:f>
        <x:v>TM8-COMP-10154</x:v>
      </x:c>
      <x:c r="C68" s="6" t="s">
        <x:v>210</x:v>
      </x:c>
      <x:c r="D68" s="6" t="s">
        <x:v>37</x:v>
      </x:c>
      <x:c r="E68" s="6" t="s">
        <x:v>52</x:v>
      </x:c>
      <x:c r="F68" s="6" t="s">
        <x:v>211</x:v>
      </x:c>
      <x:c r="G68" s="8">
        <x:v>43</x:v>
      </x:c>
      <x:c r="H68" s="7">
        <x:v>43</x:v>
      </x:c>
      <x:c r="I68" s="8">
        <x:v>64</x:v>
      </x:c>
      <x:c r="J68" s="7">
        <x:v>64</x:v>
      </x:c>
      <x:c r="K68" s="6" t="str">
        <x:f t="shared" si="4"/>
        <x:v>REVIEW</x:v>
      </x:c>
      <x:c r="L68" s="6" t="str">
        <x:f t="shared" si="5"/>
        <x:v>OK</x:v>
      </x:c>
      <x:c r="M68" s="6" t="str">
        <x:f>IF('Product Review'!U68="","MISSING","FOUND")</x:f>
        <x:v>FOUND</x:v>
      </x:c>
      <x:c r="N68" s="6"/>
    </x:row>
    <x:row r="69" ht="15">
      <x:c r="A69" s="6" t="s">
        <x:v>212</x:v>
      </x:c>
      <x:c r="B69" s="9" t="str">
        <x:f>"TM8-COMP-10153"</x:f>
        <x:v>TM8-COMP-10153</x:v>
      </x:c>
      <x:c r="C69" s="6" t="s">
        <x:v>213</x:v>
      </x:c>
      <x:c r="D69" s="6" t="s">
        <x:v>37</x:v>
      </x:c>
      <x:c r="E69" s="6" t="s">
        <x:v>52</x:v>
      </x:c>
      <x:c r="F69" s="6" t="s">
        <x:v>211</x:v>
      </x:c>
      <x:c r="G69" s="8">
        <x:v>40</x:v>
      </x:c>
      <x:c r="H69" s="7">
        <x:v>40</x:v>
      </x:c>
      <x:c r="I69" s="8">
        <x:v>59</x:v>
      </x:c>
      <x:c r="J69" s="7">
        <x:v>59</x:v>
      </x:c>
      <x:c r="K69" s="6" t="str">
        <x:f t="shared" si="4"/>
        <x:v>REVIEW</x:v>
      </x:c>
      <x:c r="L69" s="6" t="str">
        <x:f t="shared" si="5"/>
        <x:v>OK</x:v>
      </x:c>
      <x:c r="M69" s="6" t="str">
        <x:f>IF('Product Review'!U69="","MISSING","FOUND")</x:f>
        <x:v>FOUND</x:v>
      </x:c>
      <x:c r="N69" s="6" t="s">
        <x:v>54</x:v>
      </x:c>
    </x:row>
    <x:row r="70" ht="29.25">
      <x:c r="A70" s="6" t="s">
        <x:v>214</x:v>
      </x:c>
      <x:c r="B70" s="9" t="str">
        <x:f>"TM8-COMP-10122"</x:f>
        <x:v>TM8-COMP-10122</x:v>
      </x:c>
      <x:c r="C70" s="6" t="s">
        <x:v>215</x:v>
      </x:c>
      <x:c r="D70" s="6" t="s">
        <x:v>81</x:v>
      </x:c>
      <x:c r="E70" s="6" t="s">
        <x:v>52</x:v>
      </x:c>
      <x:c r="F70" s="6" t="s">
        <x:v>211</x:v>
      </x:c>
      <x:c r="G70" s="8">
        <x:v>52</x:v>
      </x:c>
      <x:c r="H70" s="7">
        <x:v>52</x:v>
      </x:c>
      <x:c r="I70" s="8">
        <x:v>99</x:v>
      </x:c>
      <x:c r="J70" s="7">
        <x:v>99</x:v>
      </x:c>
      <x:c r="K70" s="6" t="str">
        <x:f t="shared" si="4"/>
        <x:v>REVIEW</x:v>
      </x:c>
      <x:c r="L70" s="6" t="str">
        <x:f t="shared" si="5"/>
        <x:v>OK</x:v>
      </x:c>
      <x:c r="M70" s="6" t="str">
        <x:f>IF('Product Review'!U70="","MISSING","FOUND")</x:f>
        <x:v>FOUND</x:v>
      </x:c>
      <x:c r="N70" s="6" t="s">
        <x:v>88</x:v>
      </x:c>
    </x:row>
    <x:row r="71" ht="15">
      <x:c r="A71" s="6" t="s">
        <x:v>216</x:v>
      </x:c>
      <x:c r="B71" s="9" t="str">
        <x:f>"1010943"</x:f>
        <x:v>1010943</x:v>
      </x:c>
      <x:c r="C71" s="6" t="s">
        <x:v>217</x:v>
      </x:c>
      <x:c r="D71" s="6" t="s">
        <x:v>37</x:v>
      </x:c>
      <x:c r="E71" s="6" t="s">
        <x:v>52</x:v>
      </x:c>
      <x:c r="F71" s="6" t="s">
        <x:v>53</x:v>
      </x:c>
      <x:c r="G71" s="8">
        <x:v>0</x:v>
      </x:c>
      <x:c r="H71" s="7">
        <x:v>5</x:v>
      </x:c>
      <x:c r="I71" s="8">
        <x:v>35</x:v>
      </x:c>
      <x:c r="J71" s="7">
        <x:v>35</x:v>
      </x:c>
      <x:c r="K71" s="6" t="str">
        <x:f t="shared" si="4"/>
        <x:v>REVIEW</x:v>
      </x:c>
      <x:c r="L71" s="6" t="str">
        <x:f t="shared" si="5"/>
        <x:v>OK</x:v>
      </x:c>
      <x:c r="M71" s="6" t="str">
        <x:f>IF('Product Review'!U71="","MISSING","FOUND")</x:f>
        <x:v>FOUND</x:v>
      </x:c>
      <x:c r="N71" s="6" t="s">
        <x:v>218</x:v>
      </x:c>
    </x:row>
    <x:row r="72" s="23" customFormat="1" ht="29.25">
      <x:c r="A72" s="19" t="s">
        <x:v>219</x:v>
      </x:c>
      <x:c r="B72" s="20" t="str">
        <x:f>"TM8-COMP-10041"</x:f>
        <x:v>TM8-COMP-10041</x:v>
      </x:c>
      <x:c r="C72" s="19" t="s">
        <x:v>220</x:v>
      </x:c>
      <x:c r="D72" s="19" t="s">
        <x:v>221</x:v>
      </x:c>
      <x:c r="E72" s="19" t="s">
        <x:v>52</x:v>
      </x:c>
      <x:c r="F72" s="19" t="s">
        <x:v>53</x:v>
      </x:c>
      <x:c r="G72" s="21">
        <x:v>0</x:v>
      </x:c>
      <x:c r="H72" s="22">
        <x:v>0</x:v>
      </x:c>
      <x:c r="I72" s="21">
        <x:v>159</x:v>
      </x:c>
      <x:c r="J72" s="22">
        <x:v>159</x:v>
      </x:c>
      <x:c r="K72" s="19" t="str">
        <x:f t="shared" si="4">"EXCLUDED"</x:f>
        <x:v>EXCLUDED</x:v>
      </x:c>
      <x:c r="L72" s="19" t="str">
        <x:f t="shared" si="5">"EXCLUDED"</x:f>
        <x:v>EXCLUDED</x:v>
      </x:c>
      <x:c r="M72" s="19" t="str">
        <x:f>IF('Product Review'!U77="","MISSING","FOUND")</x:f>
        <x:v>MISSING</x:v>
      </x:c>
      <x:c r="N72" s="19" t="str">
        <x:v>Cost must be entered before import. No RepairDesk image found; provide the correct main image URL. USER EXCLUSION: red-marked item; do not import.</x:v>
      </x:c>
    </x:row>
    <x:row r="73" s="23" customFormat="1" ht="29.25">
      <x:c r="A73" s="19" t="s">
        <x:v>222</x:v>
      </x:c>
      <x:c r="B73" s="20" t="str">
        <x:f>"9984985"</x:f>
        <x:v>9984985</x:v>
      </x:c>
      <x:c r="C73" s="19" t="s">
        <x:v>223</x:v>
      </x:c>
      <x:c r="D73" s="19" t="s">
        <x:v>81</x:v>
      </x:c>
      <x:c r="E73" s="19" t="s">
        <x:v>52</x:v>
      </x:c>
      <x:c r="F73" s="19" t="s">
        <x:v>211</x:v>
      </x:c>
      <x:c r="G73" s="21">
        <x:v>57.2</x:v>
      </x:c>
      <x:c r="H73" s="22">
        <x:v>57.2</x:v>
      </x:c>
      <x:c r="I73" s="21">
        <x:v>79</x:v>
      </x:c>
      <x:c r="J73" s="22">
        <x:v>79</x:v>
      </x:c>
      <x:c r="K73" s="19" t="str">
        <x:f t="shared" si="4">"EXCLUDED"</x:f>
        <x:v>EXCLUDED</x:v>
      </x:c>
      <x:c r="L73" s="19" t="str">
        <x:f t="shared" si="5">"EXCLUDED"</x:f>
        <x:v>EXCLUDED</x:v>
      </x:c>
      <x:c r="M73" s="19" t="str">
        <x:f>IF('Product Review'!U78="","MISSING","FOUND")</x:f>
        <x:v>MISSING</x:v>
      </x:c>
      <x:c r="N73" s="19" t="str">
        <x:v>No RepairDesk image found; provide the correct main image URL. USER EXCLUSION: red-marked item; do not import.</x:v>
      </x:c>
    </x:row>
    <x:row r="74" ht="29.25">
      <x:c r="A74" s="6" t="s">
        <x:v>224</x:v>
      </x:c>
      <x:c r="B74" s="9" t="str">
        <x:f>"998326"</x:f>
        <x:v>998326</x:v>
      </x:c>
      <x:c r="C74" s="6" t="s">
        <x:v>225</x:v>
      </x:c>
      <x:c r="D74" s="6" t="s">
        <x:v>221</x:v>
      </x:c>
      <x:c r="E74" s="6" t="s">
        <x:v>52</x:v>
      </x:c>
      <x:c r="F74" s="6" t="s">
        <x:v>53</x:v>
      </x:c>
      <x:c r="G74" s="8">
        <x:v>0</x:v>
      </x:c>
      <x:c r="H74" s="7">
        <x:v>70</x:v>
      </x:c>
      <x:c r="I74" s="8">
        <x:v>85</x:v>
      </x:c>
      <x:c r="J74" s="7">
        <x:v>85</x:v>
      </x:c>
      <x:c r="K74" s="6" t="str">
        <x:f t="shared" si="4"/>
        <x:v>REVIEW</x:v>
      </x:c>
      <x:c r="L74" s="6" t="str">
        <x:f t="shared" si="5"/>
        <x:v>OK</x:v>
      </x:c>
      <x:c r="M74" s="6" t="str">
        <x:f>IF('Product Review'!U79="","MISSING","FOUND")</x:f>
        <x:v>MISSING</x:v>
      </x:c>
      <x:c r="N74" s="6" t="s">
        <x:v>226</x:v>
      </x:c>
    </x:row>
    <x:row r="75" ht="29.25">
      <x:c r="A75" s="6" t="s">
        <x:v>227</x:v>
      </x:c>
      <x:c r="B75" s="9" t="str">
        <x:f>"997824"</x:f>
        <x:v>997824</x:v>
      </x:c>
      <x:c r="C75" s="6" t="s">
        <x:v>228</x:v>
      </x:c>
      <x:c r="D75" s="6" t="s">
        <x:v>221</x:v>
      </x:c>
      <x:c r="E75" s="6" t="s">
        <x:v>52</x:v>
      </x:c>
      <x:c r="F75" s="6" t="s">
        <x:v>53</x:v>
      </x:c>
      <x:c r="G75" s="8">
        <x:v>0</x:v>
      </x:c>
      <x:c r="H75" s="7">
        <x:v>50</x:v>
      </x:c>
      <x:c r="I75" s="8">
        <x:v>69</x:v>
      </x:c>
      <x:c r="J75" s="7">
        <x:v>69</x:v>
      </x:c>
      <x:c r="K75" s="6" t="str">
        <x:f t="shared" si="4"/>
        <x:v>REVIEW</x:v>
      </x:c>
      <x:c r="L75" s="6" t="str">
        <x:f t="shared" si="5"/>
        <x:v>OK</x:v>
      </x:c>
      <x:c r="M75" s="6" t="str">
        <x:f>IF('Product Review'!U80="","MISSING","FOUND")</x:f>
        <x:v>MISSING</x:v>
      </x:c>
      <x:c r="N75" s="6" t="s">
        <x:v>226</x:v>
      </x:c>
    </x:row>
    <x:row r="76" s="23" customFormat="1" ht="15">
      <x:c r="A76" s="19" t="s">
        <x:v>229</x:v>
      </x:c>
      <x:c r="B76" s="20" t="str">
        <x:f>"TM8-COMP-9672"</x:f>
        <x:v>TM8-COMP-9672</x:v>
      </x:c>
      <x:c r="C76" s="19" t="s">
        <x:v>230</x:v>
      </x:c>
      <x:c r="D76" s="19" t="s">
        <x:v>231</x:v>
      </x:c>
      <x:c r="E76" s="19" t="s">
        <x:v>52</x:v>
      </x:c>
      <x:c r="F76" s="19" t="s">
        <x:v>53</x:v>
      </x:c>
      <x:c r="G76" s="21">
        <x:v>2.5</x:v>
      </x:c>
      <x:c r="H76" s="22">
        <x:v>2.5</x:v>
      </x:c>
      <x:c r="I76" s="21">
        <x:v>9.99</x:v>
      </x:c>
      <x:c r="J76" s="22">
        <x:v>9.99</x:v>
      </x:c>
      <x:c r="K76" s="19" t="str">
        <x:f t="shared" si="4">"EXCLUDED"</x:f>
        <x:v>EXCLUDED</x:v>
      </x:c>
      <x:c r="L76" s="19" t="str">
        <x:f t="shared" si="5">"EXCLUDED"</x:f>
        <x:v>EXCLUDED</x:v>
      </x:c>
      <x:c r="M76" s="19" t="str">
        <x:f>IF('Product Review'!U81="","MISSING","FOUND")</x:f>
        <x:v>FOUND</x:v>
      </x:c>
      <x:c r="N76" s="19" t="str">
        <x:v>Source stock -1 is reference only; POS starts at 0. USER EXCLUSION: red-marked item; do not import.</x:v>
      </x:c>
    </x:row>
    <x:row r="77" s="23" customFormat="1" ht="29.25">
      <x:c r="A77" s="19" t="s">
        <x:v>232</x:v>
      </x:c>
      <x:c r="B77" s="20" t="str">
        <x:f>"TM8-COMP-9671"</x:f>
        <x:v>TM8-COMP-9671</x:v>
      </x:c>
      <x:c r="C77" s="19" t="s">
        <x:v>233</x:v>
      </x:c>
      <x:c r="D77" s="19" t="s">
        <x:v>234</x:v>
      </x:c>
      <x:c r="E77" s="19" t="s">
        <x:v>52</x:v>
      </x:c>
      <x:c r="F77" s="19" t="s">
        <x:v>53</x:v>
      </x:c>
      <x:c r="G77" s="21">
        <x:v>12</x:v>
      </x:c>
      <x:c r="H77" s="22">
        <x:v>12</x:v>
      </x:c>
      <x:c r="I77" s="21">
        <x:v>19</x:v>
      </x:c>
      <x:c r="J77" s="22">
        <x:v>19</x:v>
      </x:c>
      <x:c r="K77" s="19" t="str">
        <x:f t="shared" si="4">"EXCLUDED"</x:f>
        <x:v>EXCLUDED</x:v>
      </x:c>
      <x:c r="L77" s="19" t="str">
        <x:f t="shared" si="5">"EXCLUDED"</x:f>
        <x:v>EXCLUDED</x:v>
      </x:c>
      <x:c r="M77" s="19" t="str">
        <x:f>IF('Product Review'!U82="","MISSING","FOUND")</x:f>
        <x:v>FOUND</x:v>
      </x:c>
      <x:c r="N77" s="19" t="str">
        <x:v>USER EXCLUSION: red-marked item; do not import.</x:v>
      </x:c>
    </x:row>
    <x:row r="78" s="23" customFormat="1" ht="29.25">
      <x:c r="A78" s="19" t="s">
        <x:v>235</x:v>
      </x:c>
      <x:c r="B78" s="20" t="str">
        <x:f>"966019"</x:f>
        <x:v>966019</x:v>
      </x:c>
      <x:c r="C78" s="19" t="s">
        <x:v>236</x:v>
      </x:c>
      <x:c r="D78" s="19" t="s">
        <x:v>85</x:v>
      </x:c>
      <x:c r="E78" s="19" t="s">
        <x:v>86</x:v>
      </x:c>
      <x:c r="F78" s="19" t="s">
        <x:v>87</x:v>
      </x:c>
      <x:c r="G78" s="21">
        <x:v>54</x:v>
      </x:c>
      <x:c r="H78" s="22">
        <x:v>54</x:v>
      </x:c>
      <x:c r="I78" s="21">
        <x:v>99</x:v>
      </x:c>
      <x:c r="J78" s="22">
        <x:v>99</x:v>
      </x:c>
      <x:c r="K78" s="19" t="str">
        <x:f t="shared" si="4">"EXCLUDED"</x:f>
        <x:v>EXCLUDED</x:v>
      </x:c>
      <x:c r="L78" s="19" t="str">
        <x:f t="shared" si="5">"EXCLUDED"</x:f>
        <x:v>EXCLUDED</x:v>
      </x:c>
      <x:c r="M78" s="19" t="str">
        <x:f>IF('Product Review'!U83="","MISSING","FOUND")</x:f>
        <x:v>FOUND</x:v>
      </x:c>
      <x:c r="N78" s="19" t="str">
        <x:v>USER EXCLUSION: red-marked item; do not import.</x:v>
      </x:c>
    </x:row>
    <x:row r="79" s="23" customFormat="1" ht="15">
      <x:c r="A79" s="19" t="s">
        <x:v>237</x:v>
      </x:c>
      <x:c r="B79" s="20" t="str">
        <x:f>"965988818"</x:f>
        <x:v>965988818</x:v>
      </x:c>
      <x:c r="C79" s="19" t="s">
        <x:v>238</x:v>
      </x:c>
      <x:c r="D79" s="19" t="s">
        <x:v>85</x:v>
      </x:c>
      <x:c r="E79" s="19" t="s">
        <x:v>86</x:v>
      </x:c>
      <x:c r="F79" s="19" t="s">
        <x:v>87</x:v>
      </x:c>
      <x:c r="G79" s="21">
        <x:v>54</x:v>
      </x:c>
      <x:c r="H79" s="22">
        <x:v>54</x:v>
      </x:c>
      <x:c r="I79" s="21">
        <x:v>149</x:v>
      </x:c>
      <x:c r="J79" s="22">
        <x:v>149</x:v>
      </x:c>
      <x:c r="K79" s="19" t="str">
        <x:f t="shared" si="4">"EXCLUDED"</x:f>
        <x:v>EXCLUDED</x:v>
      </x:c>
      <x:c r="L79" s="19" t="str">
        <x:f t="shared" si="5">"EXCLUDED"</x:f>
        <x:v>EXCLUDED</x:v>
      </x:c>
      <x:c r="M79" s="19" t="str">
        <x:f>IF('Product Review'!U84="","MISSING","FOUND")</x:f>
        <x:v>FOUND</x:v>
      </x:c>
      <x:c r="N79" s="19" t="str">
        <x:v>USER EXCLUSION: red-marked item; do not import.</x:v>
      </x:c>
    </x:row>
    <x:row r="80" ht="15">
      <x:c r="A80" s="6" t="s">
        <x:v>239</x:v>
      </x:c>
      <x:c r="B80" s="9" t="str">
        <x:f>"TM8-COMP-9658"</x:f>
        <x:v>TM8-COMP-9658</x:v>
      </x:c>
      <x:c r="C80" s="6" t="s">
        <x:v>240</x:v>
      </x:c>
      <x:c r="D80" s="6" t="s">
        <x:v>136</x:v>
      </x:c>
      <x:c r="E80" s="6" t="s">
        <x:v>52</x:v>
      </x:c>
      <x:c r="F80" s="6" t="s">
        <x:v>58</x:v>
      </x:c>
      <x:c r="G80" s="8">
        <x:v>7</x:v>
      </x:c>
      <x:c r="H80" s="7">
        <x:v>7</x:v>
      </x:c>
      <x:c r="I80" s="8">
        <x:v>49.95</x:v>
      </x:c>
      <x:c r="J80" s="7">
        <x:v>49.95</x:v>
      </x:c>
      <x:c r="K80" s="6" t="str">
        <x:f t="shared" si="4"/>
        <x:v>REVIEW</x:v>
      </x:c>
      <x:c r="L80" s="6" t="str">
        <x:f t="shared" si="5"/>
        <x:v>OK</x:v>
      </x:c>
      <x:c r="M80" s="6" t="str">
        <x:f>IF('Product Review'!U85="","MISSING","FOUND")</x:f>
        <x:v>FOUND</x:v>
      </x:c>
      <x:c r="N80" s="6" t="s">
        <x:v>241</x:v>
      </x:c>
    </x:row>
    <x:row r="81" ht="29.25">
      <x:c r="A81" s="6" t="s">
        <x:v>242</x:v>
      </x:c>
      <x:c r="B81" s="9" t="str">
        <x:f>"TM8-COMP-9657"</x:f>
        <x:v>TM8-COMP-9657</x:v>
      </x:c>
      <x:c r="C81" s="6" t="s">
        <x:v>243</x:v>
      </x:c>
      <x:c r="D81" s="6" t="s">
        <x:v>136</x:v>
      </x:c>
      <x:c r="E81" s="6" t="s">
        <x:v>52</x:v>
      </x:c>
      <x:c r="F81" s="6" t="s">
        <x:v>58</x:v>
      </x:c>
      <x:c r="G81" s="8">
        <x:v>7</x:v>
      </x:c>
      <x:c r="H81" s="7">
        <x:v>7</x:v>
      </x:c>
      <x:c r="I81" s="8">
        <x:v>49.95</x:v>
      </x:c>
      <x:c r="J81" s="7">
        <x:v>49.95</x:v>
      </x:c>
      <x:c r="K81" s="6" t="str">
        <x:f t="shared" si="4"/>
        <x:v>REVIEW</x:v>
      </x:c>
      <x:c r="L81" s="6" t="str">
        <x:f t="shared" si="5"/>
        <x:v>OK</x:v>
      </x:c>
      <x:c r="M81" s="6" t="str">
        <x:f>IF('Product Review'!U86="","MISSING","FOUND")</x:f>
        <x:v>FOUND</x:v>
      </x:c>
      <x:c r="N81" s="6"/>
    </x:row>
    <x:row r="82" ht="15">
      <x:c r="A82" s="6" t="s">
        <x:v>244</x:v>
      </x:c>
      <x:c r="B82" s="9" t="str">
        <x:f>"965616"</x:f>
        <x:v>965616</x:v>
      </x:c>
      <x:c r="C82" s="6" t="s">
        <x:v>245</x:v>
      </x:c>
      <x:c r="D82" s="6" t="s">
        <x:v>37</x:v>
      </x:c>
      <x:c r="E82" s="6" t="s">
        <x:v>52</x:v>
      </x:c>
      <x:c r="F82" s="6" t="s">
        <x:v>58</x:v>
      </x:c>
      <x:c r="G82" s="8">
        <x:v>20</x:v>
      </x:c>
      <x:c r="H82" s="7">
        <x:v>20</x:v>
      </x:c>
      <x:c r="I82" s="8">
        <x:v>99</x:v>
      </x:c>
      <x:c r="J82" s="7">
        <x:v>99</x:v>
      </x:c>
      <x:c r="K82" s="6" t="str">
        <x:f t="shared" si="4"/>
        <x:v>REVIEW</x:v>
      </x:c>
      <x:c r="L82" s="6" t="str">
        <x:f t="shared" si="5"/>
        <x:v>OK</x:v>
      </x:c>
      <x:c r="M82" s="6" t="str">
        <x:f>IF('Product Review'!U87="","MISSING","FOUND")</x:f>
        <x:v>FOUND</x:v>
      </x:c>
      <x:c r="N82" s="6" t="s">
        <x:v>246</x:v>
      </x:c>
    </x:row>
    <x:row r="83" ht="15">
      <x:c r="A83" s="6" t="s">
        <x:v>247</x:v>
      </x:c>
      <x:c r="B83" s="9" t="str">
        <x:f>"965515"</x:f>
        <x:v>965515</x:v>
      </x:c>
      <x:c r="C83" s="6" t="s">
        <x:v>248</x:v>
      </x:c>
      <x:c r="D83" s="6" t="s">
        <x:v>136</x:v>
      </x:c>
      <x:c r="E83" s="6" t="s">
        <x:v>52</x:v>
      </x:c>
      <x:c r="F83" s="6" t="s">
        <x:v>58</x:v>
      </x:c>
      <x:c r="G83" s="8">
        <x:v>20</x:v>
      </x:c>
      <x:c r="H83" s="7">
        <x:v>20</x:v>
      </x:c>
      <x:c r="I83" s="8">
        <x:v>79</x:v>
      </x:c>
      <x:c r="J83" s="7">
        <x:v>79</x:v>
      </x:c>
      <x:c r="K83" s="6" t="str">
        <x:f t="shared" si="4"/>
        <x:v>REVIEW</x:v>
      </x:c>
      <x:c r="L83" s="6" t="str">
        <x:f t="shared" si="5"/>
        <x:v>OK</x:v>
      </x:c>
      <x:c r="M83" s="6" t="str">
        <x:f>IF('Product Review'!U88="","MISSING","FOUND")</x:f>
        <x:v>FOUND</x:v>
      </x:c>
      <x:c r="N83" s="6" t="s">
        <x:v>88</x:v>
      </x:c>
    </x:row>
    <x:row r="84" ht="15">
      <x:c r="A84" s="6" t="s">
        <x:v>249</x:v>
      </x:c>
      <x:c r="B84" s="9" t="str">
        <x:f>"965414"</x:f>
        <x:v>965414</x:v>
      </x:c>
      <x:c r="C84" s="6" t="s">
        <x:v>250</x:v>
      </x:c>
      <x:c r="D84" s="6" t="s">
        <x:v>136</x:v>
      </x:c>
      <x:c r="E84" s="6" t="s">
        <x:v>52</x:v>
      </x:c>
      <x:c r="F84" s="6" t="s">
        <x:v>58</x:v>
      </x:c>
      <x:c r="G84" s="8">
        <x:v>25</x:v>
      </x:c>
      <x:c r="H84" s="7">
        <x:v>25</x:v>
      </x:c>
      <x:c r="I84" s="8">
        <x:v>99</x:v>
      </x:c>
      <x:c r="J84" s="7">
        <x:v>99</x:v>
      </x:c>
      <x:c r="K84" s="6" t="str">
        <x:f t="shared" si="4"/>
        <x:v>REVIEW</x:v>
      </x:c>
      <x:c r="L84" s="6" t="str">
        <x:f t="shared" si="5"/>
        <x:v>OK</x:v>
      </x:c>
      <x:c r="M84" s="6" t="str">
        <x:f>IF('Product Review'!U89="","MISSING","FOUND")</x:f>
        <x:v>FOUND</x:v>
      </x:c>
      <x:c r="N84" s="6" t="s">
        <x:v>251</x:v>
      </x:c>
    </x:row>
    <x:row r="85" ht="29.25">
      <x:c r="A85" s="6" t="s">
        <x:v>252</x:v>
      </x:c>
      <x:c r="B85" s="9" t="str">
        <x:f>"965313"</x:f>
        <x:v>965313</x:v>
      </x:c>
      <x:c r="C85" s="6" t="s">
        <x:v>253</x:v>
      </x:c>
      <x:c r="D85" s="6" t="s">
        <x:v>254</x:v>
      </x:c>
      <x:c r="E85" s="6" t="s">
        <x:v>52</x:v>
      </x:c>
      <x:c r="F85" s="6" t="s">
        <x:v>58</x:v>
      </x:c>
      <x:c r="G85" s="8">
        <x:v>45</x:v>
      </x:c>
      <x:c r="H85" s="7">
        <x:v>45</x:v>
      </x:c>
      <x:c r="I85" s="8">
        <x:v>69</x:v>
      </x:c>
      <x:c r="J85" s="7">
        <x:v>69</x:v>
      </x:c>
      <x:c r="K85" s="6" t="str">
        <x:f t="shared" si="4"/>
        <x:v>REVIEW</x:v>
      </x:c>
      <x:c r="L85" s="6" t="str">
        <x:f t="shared" si="5"/>
        <x:v>OK</x:v>
      </x:c>
      <x:c r="M85" s="6" t="str">
        <x:f>IF('Product Review'!U90="","MISSING","FOUND")</x:f>
        <x:v>FOUND</x:v>
      </x:c>
      <x:c r="N85" s="6"/>
    </x:row>
    <x:row r="86" s="23" customFormat="1" ht="29.25">
      <x:c r="A86" s="19" t="s">
        <x:v>255</x:v>
      </x:c>
      <x:c r="B86" s="20" t="str">
        <x:f>"TM8-COMP-9649"</x:f>
        <x:v>TM8-COMP-9649</x:v>
      </x:c>
      <x:c r="C86" s="19" t="s">
        <x:v>256</x:v>
      </x:c>
      <x:c r="D86" s="19" t="s">
        <x:v>221</x:v>
      </x:c>
      <x:c r="E86" s="19" t="s">
        <x:v>52</x:v>
      </x:c>
      <x:c r="F86" s="19" t="s">
        <x:v>53</x:v>
      </x:c>
      <x:c r="G86" s="21">
        <x:v>0</x:v>
      </x:c>
      <x:c r="H86" s="22">
        <x:v>0</x:v>
      </x:c>
      <x:c r="I86" s="21">
        <x:v>119</x:v>
      </x:c>
      <x:c r="J86" s="22">
        <x:v>119</x:v>
      </x:c>
      <x:c r="K86" s="19" t="str">
        <x:f t="shared" si="4">"EXCLUDED"</x:f>
        <x:v>EXCLUDED</x:v>
      </x:c>
      <x:c r="L86" s="19" t="str">
        <x:f t="shared" si="5">"EXCLUDED"</x:f>
        <x:v>EXCLUDED</x:v>
      </x:c>
      <x:c r="M86" s="19" t="str">
        <x:f>IF('Product Review'!U91="","MISSING","FOUND")</x:f>
        <x:v>FOUND</x:v>
      </x:c>
      <x:c r="N86" s="19" t="str">
        <x:v>Cost must be entered before import. USER EXCLUSION: red-marked item; do not import.</x:v>
      </x:c>
    </x:row>
    <x:row r="87" ht="15">
      <x:c r="A87" s="6" t="s">
        <x:v>257</x:v>
      </x:c>
      <x:c r="B87" s="9" t="str">
        <x:f>"964710"</x:f>
        <x:v>964710</x:v>
      </x:c>
      <x:c r="C87" s="6" t="s">
        <x:v>258</x:v>
      </x:c>
      <x:c r="D87" s="6" t="s">
        <x:v>136</x:v>
      </x:c>
      <x:c r="E87" s="6" t="s">
        <x:v>67</x:v>
      </x:c>
      <x:c r="F87" s="6" t="s">
        <x:v>91</x:v>
      </x:c>
      <x:c r="G87" s="8">
        <x:v>7</x:v>
      </x:c>
      <x:c r="H87" s="7">
        <x:v>7</x:v>
      </x:c>
      <x:c r="I87" s="8">
        <x:v>29</x:v>
      </x:c>
      <x:c r="J87" s="7">
        <x:v>29</x:v>
      </x:c>
      <x:c r="K87" s="6" t="str">
        <x:f t="shared" si="4"/>
        <x:v>REVIEW</x:v>
      </x:c>
      <x:c r="L87" s="6" t="str">
        <x:f t="shared" si="5"/>
        <x:v>OK</x:v>
      </x:c>
      <x:c r="M87" s="6" t="str">
        <x:f>IF('Product Review'!U92="","MISSING","FOUND")</x:f>
        <x:v>FOUND</x:v>
      </x:c>
      <x:c r="N87" s="6" t="s">
        <x:v>259</x:v>
      </x:c>
    </x:row>
    <x:row r="88" ht="15">
      <x:c r="A88" s="6" t="s">
        <x:v>260</x:v>
      </x:c>
      <x:c r="B88" s="9" t="str">
        <x:f>"96469"</x:f>
        <x:v>96469</x:v>
      </x:c>
      <x:c r="C88" s="6" t="s">
        <x:v>261</x:v>
      </x:c>
      <x:c r="D88" s="6" t="s">
        <x:v>262</x:v>
      </x:c>
      <x:c r="E88" s="6" t="s">
        <x:v>67</x:v>
      </x:c>
      <x:c r="F88" s="6" t="s">
        <x:v>91</x:v>
      </x:c>
      <x:c r="G88" s="8">
        <x:v>91</x:v>
      </x:c>
      <x:c r="H88" s="7">
        <x:v>91</x:v>
      </x:c>
      <x:c r="I88" s="8">
        <x:v>159</x:v>
      </x:c>
      <x:c r="J88" s="7">
        <x:v>159</x:v>
      </x:c>
      <x:c r="K88" s="6" t="str">
        <x:f t="shared" si="4"/>
        <x:v>REVIEW</x:v>
      </x:c>
      <x:c r="L88" s="6" t="str">
        <x:f t="shared" si="5"/>
        <x:v>OK</x:v>
      </x:c>
      <x:c r="M88" s="6" t="str">
        <x:f>IF('Product Review'!U93="","MISSING","FOUND")</x:f>
        <x:v>FOUND</x:v>
      </x:c>
      <x:c r="N88" s="6" t="s">
        <x:v>263</x:v>
      </x:c>
    </x:row>
    <x:row r="89" ht="15">
      <x:c r="A89" s="6" t="s">
        <x:v>264</x:v>
      </x:c>
      <x:c r="B89" s="9" t="str">
        <x:f>"96458"</x:f>
        <x:v>96458</x:v>
      </x:c>
      <x:c r="C89" s="6" t="s">
        <x:v>265</x:v>
      </x:c>
      <x:c r="D89" s="6" t="s">
        <x:v>262</x:v>
      </x:c>
      <x:c r="E89" s="6" t="s">
        <x:v>67</x:v>
      </x:c>
      <x:c r="F89" s="6" t="s">
        <x:v>91</x:v>
      </x:c>
      <x:c r="G89" s="8">
        <x:v>180</x:v>
      </x:c>
      <x:c r="H89" s="7">
        <x:v>180</x:v>
      </x:c>
      <x:c r="I89" s="8">
        <x:v>269</x:v>
      </x:c>
      <x:c r="J89" s="7">
        <x:v>269</x:v>
      </x:c>
      <x:c r="K89" s="6" t="str">
        <x:f t="shared" si="4"/>
        <x:v>REVIEW</x:v>
      </x:c>
      <x:c r="L89" s="6" t="str">
        <x:f t="shared" si="5"/>
        <x:v>OK</x:v>
      </x:c>
      <x:c r="M89" s="6" t="str">
        <x:f>IF('Product Review'!U94="","MISSING","FOUND")</x:f>
        <x:v>FOUND</x:v>
      </x:c>
      <x:c r="N89" s="6"/>
    </x:row>
    <x:row r="90" ht="15">
      <x:c r="A90" s="6" t="s">
        <x:v>266</x:v>
      </x:c>
      <x:c r="B90" s="9" t="str">
        <x:f>"96447"</x:f>
        <x:v>96447</x:v>
      </x:c>
      <x:c r="C90" s="6" t="s">
        <x:v>267</x:v>
      </x:c>
      <x:c r="D90" s="6" t="s">
        <x:v>262</x:v>
      </x:c>
      <x:c r="E90" s="6" t="s">
        <x:v>67</x:v>
      </x:c>
      <x:c r="F90" s="6" t="s">
        <x:v>91</x:v>
      </x:c>
      <x:c r="G90" s="8">
        <x:v>110</x:v>
      </x:c>
      <x:c r="H90" s="7">
        <x:v>110</x:v>
      </x:c>
      <x:c r="I90" s="8">
        <x:v>149</x:v>
      </x:c>
      <x:c r="J90" s="7">
        <x:v>149</x:v>
      </x:c>
      <x:c r="K90" s="6" t="str">
        <x:f t="shared" si="4"/>
        <x:v>REVIEW</x:v>
      </x:c>
      <x:c r="L90" s="6" t="str">
        <x:f t="shared" si="5"/>
        <x:v>OK</x:v>
      </x:c>
      <x:c r="M90" s="6" t="str">
        <x:f>IF('Product Review'!U95="","MISSING","FOUND")</x:f>
        <x:v>FOUND</x:v>
      </x:c>
      <x:c r="N90" s="6"/>
    </x:row>
    <x:row r="91" ht="15">
      <x:c r="A91" s="6" t="s">
        <x:v>268</x:v>
      </x:c>
      <x:c r="B91" s="9" t="str">
        <x:f>"96392"</x:f>
        <x:v>96392</x:v>
      </x:c>
      <x:c r="C91" s="6" t="s">
        <x:v>269</x:v>
      </x:c>
      <x:c r="D91" s="6" t="s">
        <x:v>262</x:v>
      </x:c>
      <x:c r="E91" s="6" t="s">
        <x:v>67</x:v>
      </x:c>
      <x:c r="F91" s="6" t="s">
        <x:v>91</x:v>
      </x:c>
      <x:c r="G91" s="8">
        <x:v>0</x:v>
      </x:c>
      <x:c r="H91" s="7">
        <x:v>170</x:v>
      </x:c>
      <x:c r="I91" s="8">
        <x:v>319</x:v>
      </x:c>
      <x:c r="J91" s="7">
        <x:v>319</x:v>
      </x:c>
      <x:c r="K91" s="6" t="str">
        <x:f t="shared" si="4"/>
        <x:v>REVIEW</x:v>
      </x:c>
      <x:c r="L91" s="6" t="str">
        <x:f t="shared" si="5"/>
        <x:v>OK</x:v>
      </x:c>
      <x:c r="M91" s="6" t="str">
        <x:f>IF('Product Review'!U96="","MISSING","FOUND")</x:f>
        <x:v>FOUND</x:v>
      </x:c>
      <x:c r="N91" s="6" t="s">
        <x:v>218</x:v>
      </x:c>
    </x:row>
    <x:row r="92" ht="29.25">
      <x:c r="A92" s="6" t="s">
        <x:v>270</x:v>
      </x:c>
      <x:c r="B92" s="9" t="str">
        <x:f>"6920377913779"</x:f>
        <x:v>6920377913779</x:v>
      </x:c>
      <x:c r="C92" s="6" t="s">
        <x:v>271</x:v>
      </x:c>
      <x:c r="D92" s="6" t="s">
        <x:v>254</x:v>
      </x:c>
      <x:c r="E92" s="6" t="s">
        <x:v>52</x:v>
      </x:c>
      <x:c r="F92" s="6" t="s">
        <x:v>58</x:v>
      </x:c>
      <x:c r="G92" s="8">
        <x:v>102</x:v>
      </x:c>
      <x:c r="H92" s="7">
        <x:v>102</x:v>
      </x:c>
      <x:c r="I92" s="8">
        <x:v>249</x:v>
      </x:c>
      <x:c r="J92" s="7">
        <x:v>249</x:v>
      </x:c>
      <x:c r="K92" s="6" t="str">
        <x:f t="shared" si="4"/>
        <x:v>REVIEW</x:v>
      </x:c>
      <x:c r="L92" s="6" t="str">
        <x:f t="shared" si="5"/>
        <x:v>OK</x:v>
      </x:c>
      <x:c r="M92" s="6" t="str">
        <x:f>IF('Product Review'!U97="","MISSING","FOUND")</x:f>
        <x:v>FOUND</x:v>
      </x:c>
      <x:c r="N92" s="6"/>
    </x:row>
    <x:row r="93" ht="29.25">
      <x:c r="A93" s="6" t="s">
        <x:v>272</x:v>
      </x:c>
      <x:c r="B93" s="9" t="str">
        <x:f>"6920377913786"</x:f>
        <x:v>6920377913786</x:v>
      </x:c>
      <x:c r="C93" s="6" t="s">
        <x:v>273</x:v>
      </x:c>
      <x:c r="D93" s="6" t="s">
        <x:v>254</x:v>
      </x:c>
      <x:c r="E93" s="6" t="s">
        <x:v>52</x:v>
      </x:c>
      <x:c r="F93" s="6" t="s">
        <x:v>58</x:v>
      </x:c>
      <x:c r="G93" s="8">
        <x:v>102</x:v>
      </x:c>
      <x:c r="H93" s="7">
        <x:v>102</x:v>
      </x:c>
      <x:c r="I93" s="8">
        <x:v>249</x:v>
      </x:c>
      <x:c r="J93" s="7">
        <x:v>249</x:v>
      </x:c>
      <x:c r="K93" s="6" t="str">
        <x:f t="shared" si="4"/>
        <x:v>REVIEW</x:v>
      </x:c>
      <x:c r="L93" s="6" t="str">
        <x:f t="shared" si="5"/>
        <x:v>OK</x:v>
      </x:c>
      <x:c r="M93" s="6" t="str">
        <x:f>IF('Product Review'!U98="","MISSING","FOUND")</x:f>
        <x:v>FOUND</x:v>
      </x:c>
      <x:c r="N93" s="6"/>
    </x:row>
    <x:row r="94" ht="15">
      <x:c r="A94" s="6" t="s">
        <x:v>274</x:v>
      </x:c>
      <x:c r="B94" s="9" t="str">
        <x:f>"6920377913748"</x:f>
        <x:v>6920377913748</x:v>
      </x:c>
      <x:c r="C94" s="6" t="s">
        <x:v>275</x:v>
      </x:c>
      <x:c r="D94" s="6" t="s">
        <x:v>254</x:v>
      </x:c>
      <x:c r="E94" s="6" t="s">
        <x:v>52</x:v>
      </x:c>
      <x:c r="F94" s="6" t="s">
        <x:v>58</x:v>
      </x:c>
      <x:c r="G94" s="8">
        <x:v>65</x:v>
      </x:c>
      <x:c r="H94" s="7">
        <x:v>65</x:v>
      </x:c>
      <x:c r="I94" s="8">
        <x:v>149</x:v>
      </x:c>
      <x:c r="J94" s="7">
        <x:v>149</x:v>
      </x:c>
      <x:c r="K94" s="6" t="str">
        <x:f t="shared" si="4"/>
        <x:v>REVIEW</x:v>
      </x:c>
      <x:c r="L94" s="6" t="str">
        <x:f t="shared" si="5"/>
        <x:v>OK</x:v>
      </x:c>
      <x:c r="M94" s="6" t="str">
        <x:f>IF('Product Review'!U99="","MISSING","FOUND")</x:f>
        <x:v>FOUND</x:v>
      </x:c>
      <x:c r="N94" s="6"/>
    </x:row>
    <x:row r="95" ht="15">
      <x:c r="A95" s="6" t="s">
        <x:v>276</x:v>
      </x:c>
      <x:c r="B95" s="9" t="str">
        <x:f>"6920377913731"</x:f>
        <x:v>6920377913731</x:v>
      </x:c>
      <x:c r="C95" s="6" t="s">
        <x:v>277</x:v>
      </x:c>
      <x:c r="D95" s="6" t="s">
        <x:v>254</x:v>
      </x:c>
      <x:c r="E95" s="6" t="s">
        <x:v>52</x:v>
      </x:c>
      <x:c r="F95" s="6" t="s">
        <x:v>58</x:v>
      </x:c>
      <x:c r="G95" s="8">
        <x:v>65</x:v>
      </x:c>
      <x:c r="H95" s="7">
        <x:v>65</x:v>
      </x:c>
      <x:c r="I95" s="8">
        <x:v>149</x:v>
      </x:c>
      <x:c r="J95" s="7">
        <x:v>149</x:v>
      </x:c>
      <x:c r="K95" s="6" t="str">
        <x:f t="shared" si="4"/>
        <x:v>REVIEW</x:v>
      </x:c>
      <x:c r="L95" s="6" t="str">
        <x:f t="shared" si="5"/>
        <x:v>OK</x:v>
      </x:c>
      <x:c r="M95" s="6" t="str">
        <x:f>IF('Product Review'!U100="","MISSING","FOUND")</x:f>
        <x:v>FOUND</x:v>
      </x:c>
      <x:c r="N95" s="6"/>
    </x:row>
    <x:row r="96" ht="15">
      <x:c r="A96" s="6" t="s">
        <x:v>278</x:v>
      </x:c>
      <x:c r="B96" s="9" t="str">
        <x:f>"097855078001"</x:f>
        <x:v>097855078001</x:v>
      </x:c>
      <x:c r="C96" s="6" t="s">
        <x:v>279</x:v>
      </x:c>
      <x:c r="D96" s="6" t="s">
        <x:v>254</x:v>
      </x:c>
      <x:c r="E96" s="6" t="s">
        <x:v>52</x:v>
      </x:c>
      <x:c r="F96" s="6" t="s">
        <x:v>58</x:v>
      </x:c>
      <x:c r="G96" s="8">
        <x:v>20</x:v>
      </x:c>
      <x:c r="H96" s="7">
        <x:v>20</x:v>
      </x:c>
      <x:c r="I96" s="8">
        <x:v>54.99</x:v>
      </x:c>
      <x:c r="J96" s="7">
        <x:v>54.99</x:v>
      </x:c>
      <x:c r="K96" s="6" t="str">
        <x:f t="shared" si="4"/>
        <x:v>REVIEW</x:v>
      </x:c>
      <x:c r="L96" s="6" t="str">
        <x:f t="shared" si="5"/>
        <x:v>OK</x:v>
      </x:c>
      <x:c r="M96" s="6" t="str">
        <x:f>IF('Product Review'!U101="","MISSING","FOUND")</x:f>
        <x:v>FOUND</x:v>
      </x:c>
      <x:c r="N96" s="6" t="s">
        <x:v>88</x:v>
      </x:c>
    </x:row>
    <x:row r="97" ht="29.25">
      <x:c r="A97" s="6" t="s">
        <x:v>280</x:v>
      </x:c>
      <x:c r="B97" s="9" t="str">
        <x:f>"097855067067"</x:f>
        <x:v>097855067067</x:v>
      </x:c>
      <x:c r="C97" s="6" t="s">
        <x:v>281</x:v>
      </x:c>
      <x:c r="D97" s="6" t="s">
        <x:v>254</x:v>
      </x:c>
      <x:c r="E97" s="6" t="s">
        <x:v>52</x:v>
      </x:c>
      <x:c r="F97" s="6" t="s">
        <x:v>58</x:v>
      </x:c>
      <x:c r="G97" s="8">
        <x:v>20</x:v>
      </x:c>
      <x:c r="H97" s="7">
        <x:v>20</x:v>
      </x:c>
      <x:c r="I97" s="8">
        <x:v>39</x:v>
      </x:c>
      <x:c r="J97" s="7">
        <x:v>39</x:v>
      </x:c>
      <x:c r="K97" s="6" t="str">
        <x:f t="shared" si="4"/>
        <x:v>REVIEW</x:v>
      </x:c>
      <x:c r="L97" s="6" t="str">
        <x:f t="shared" si="5"/>
        <x:v>OK</x:v>
      </x:c>
      <x:c r="M97" s="6" t="str">
        <x:f>IF('Product Review'!U102="","MISSING","FOUND")</x:f>
        <x:v>FOUND</x:v>
      </x:c>
      <x:c r="N97" s="6" t="s">
        <x:v>43</x:v>
      </x:c>
    </x:row>
    <x:row r="98" ht="29.25">
      <x:c r="A98" s="6" t="s">
        <x:v>282</x:v>
      </x:c>
      <x:c r="B98" s="9" t="str">
        <x:f>"196188049273"</x:f>
        <x:v>196188049273</x:v>
      </x:c>
      <x:c r="C98" s="6" t="s">
        <x:v>283</x:v>
      </x:c>
      <x:c r="D98" s="6" t="s">
        <x:v>262</x:v>
      </x:c>
      <x:c r="E98" s="6" t="s">
        <x:v>52</x:v>
      </x:c>
      <x:c r="F98" s="6" t="s">
        <x:v>58</x:v>
      </x:c>
      <x:c r="G98" s="8">
        <x:v>90</x:v>
      </x:c>
      <x:c r="H98" s="7">
        <x:v>90</x:v>
      </x:c>
      <x:c r="I98" s="8">
        <x:v>179</x:v>
      </x:c>
      <x:c r="J98" s="7">
        <x:v>179</x:v>
      </x:c>
      <x:c r="K98" s="6" t="str">
        <x:f t="shared" ref="K98:K129" si="6">IF(H98&lt;=0,"MISSING","REVIEW")</x:f>
        <x:v>REVIEW</x:v>
      </x:c>
      <x:c r="L98" s="6" t="str">
        <x:f t="shared" ref="L98:L129" si="7">IF(OR(J98&lt;=0,J98&gt;100000),"CHECK","OK")</x:f>
        <x:v>OK</x:v>
      </x:c>
      <x:c r="M98" s="6" t="str">
        <x:f>IF('Product Review'!U103="","MISSING","FOUND")</x:f>
        <x:v>FOUND</x:v>
      </x:c>
      <x:c r="N98" s="6" t="s">
        <x:v>88</x:v>
      </x:c>
    </x:row>
    <x:row r="99" ht="29.25">
      <x:c r="A99" s="6" t="s">
        <x:v>284</x:v>
      </x:c>
      <x:c r="B99" s="9" t="str">
        <x:f>"196188046074"</x:f>
        <x:v>196188046074</x:v>
      </x:c>
      <x:c r="C99" s="6" t="s">
        <x:v>285</x:v>
      </x:c>
      <x:c r="D99" s="6" t="s">
        <x:v>262</x:v>
      </x:c>
      <x:c r="E99" s="6" t="s">
        <x:v>52</x:v>
      </x:c>
      <x:c r="F99" s="6" t="s">
        <x:v>58</x:v>
      </x:c>
      <x:c r="G99" s="8">
        <x:v>90</x:v>
      </x:c>
      <x:c r="H99" s="7">
        <x:v>90</x:v>
      </x:c>
      <x:c r="I99" s="8">
        <x:v>179</x:v>
      </x:c>
      <x:c r="J99" s="7">
        <x:v>179</x:v>
      </x:c>
      <x:c r="K99" s="6" t="str">
        <x:f t="shared" si="6"/>
        <x:v>REVIEW</x:v>
      </x:c>
      <x:c r="L99" s="6" t="str">
        <x:f t="shared" si="7"/>
        <x:v>OK</x:v>
      </x:c>
      <x:c r="M99" s="6" t="str">
        <x:f>IF('Product Review'!U104="","MISSING","FOUND")</x:f>
        <x:v>FOUND</x:v>
      </x:c>
      <x:c r="N99" s="6" t="s">
        <x:v>88</x:v>
      </x:c>
    </x:row>
    <x:row r="100" ht="29.25">
      <x:c r="A100" s="6" t="s">
        <x:v>286</x:v>
      </x:c>
      <x:c r="B100" s="9" t="str">
        <x:f>"196188048948"</x:f>
        <x:v>196188048948</x:v>
      </x:c>
      <x:c r="C100" s="6" t="s">
        <x:v>287</x:v>
      </x:c>
      <x:c r="D100" s="6" t="s">
        <x:v>262</x:v>
      </x:c>
      <x:c r="E100" s="6" t="s">
        <x:v>52</x:v>
      </x:c>
      <x:c r="F100" s="6" t="s">
        <x:v>58</x:v>
      </x:c>
      <x:c r="G100" s="8">
        <x:v>90</x:v>
      </x:c>
      <x:c r="H100" s="7">
        <x:v>90</x:v>
      </x:c>
      <x:c r="I100" s="8">
        <x:v>179</x:v>
      </x:c>
      <x:c r="J100" s="7">
        <x:v>179</x:v>
      </x:c>
      <x:c r="K100" s="6" t="str">
        <x:f t="shared" si="6"/>
        <x:v>REVIEW</x:v>
      </x:c>
      <x:c r="L100" s="6" t="str">
        <x:f t="shared" si="7"/>
        <x:v>OK</x:v>
      </x:c>
      <x:c r="M100" s="6" t="str">
        <x:f>IF('Product Review'!U105="","MISSING","FOUND")</x:f>
        <x:v>FOUND</x:v>
      </x:c>
      <x:c r="N100" s="6"/>
    </x:row>
    <x:row r="101" ht="29.25">
      <x:c r="A101" s="6" t="s">
        <x:v>288</x:v>
      </x:c>
      <x:c r="B101" s="9" t="str">
        <x:f>"196188042779"</x:f>
        <x:v>196188042779</x:v>
      </x:c>
      <x:c r="C101" s="6" t="s">
        <x:v>289</x:v>
      </x:c>
      <x:c r="D101" s="6" t="s">
        <x:v>262</x:v>
      </x:c>
      <x:c r="E101" s="6" t="s">
        <x:v>52</x:v>
      </x:c>
      <x:c r="F101" s="6" t="s">
        <x:v>58</x:v>
      </x:c>
      <x:c r="G101" s="8">
        <x:v>90</x:v>
      </x:c>
      <x:c r="H101" s="7">
        <x:v>90</x:v>
      </x:c>
      <x:c r="I101" s="8">
        <x:v>179</x:v>
      </x:c>
      <x:c r="J101" s="7">
        <x:v>179</x:v>
      </x:c>
      <x:c r="K101" s="6" t="str">
        <x:f t="shared" si="6"/>
        <x:v>REVIEW</x:v>
      </x:c>
      <x:c r="L101" s="6" t="str">
        <x:f t="shared" si="7"/>
        <x:v>OK</x:v>
      </x:c>
      <x:c r="M101" s="6" t="str">
        <x:f>IF('Product Review'!U106="","MISSING","FOUND")</x:f>
        <x:v>FOUND</x:v>
      </x:c>
      <x:c r="N101" s="6" t="s">
        <x:v>88</x:v>
      </x:c>
    </x:row>
    <x:row r="102" ht="15">
      <x:c r="A102" s="6" t="s">
        <x:v>290</x:v>
      </x:c>
      <x:c r="B102" s="9" t="str">
        <x:f>"302949478033"</x:f>
        <x:v>302949478033</x:v>
      </x:c>
      <x:c r="C102" s="6" t="s">
        <x:v>291</x:v>
      </x:c>
      <x:c r="D102" s="6" t="s">
        <x:v>37</x:v>
      </x:c>
      <x:c r="E102" s="6" t="s">
        <x:v>52</x:v>
      </x:c>
      <x:c r="F102" s="6" t="s">
        <x:v>58</x:v>
      </x:c>
      <x:c r="G102" s="8">
        <x:v>10</x:v>
      </x:c>
      <x:c r="H102" s="7">
        <x:v>15</x:v>
      </x:c>
      <x:c r="I102" s="8">
        <x:v>69</x:v>
      </x:c>
      <x:c r="J102" s="7">
        <x:v>69</x:v>
      </x:c>
      <x:c r="K102" s="6" t="str">
        <x:f t="shared" si="6"/>
        <x:v>REVIEW</x:v>
      </x:c>
      <x:c r="L102" s="6" t="str">
        <x:f t="shared" si="7"/>
        <x:v>OK</x:v>
      </x:c>
      <x:c r="M102" s="6" t="str">
        <x:f>IF('Product Review'!U107="","MISSING","FOUND")</x:f>
        <x:v>FOUND</x:v>
      </x:c>
      <x:c r="N102" s="6" t="s">
        <x:v>54</x:v>
      </x:c>
    </x:row>
    <x:row r="103" s="23" customFormat="1" ht="15">
      <x:c r="A103" s="19" t="s">
        <x:v>292</x:v>
      </x:c>
      <x:c r="B103" s="20" t="str">
        <x:f>"384483204910"</x:f>
        <x:v>384483204910</x:v>
      </x:c>
      <x:c r="C103" s="19" t="s">
        <x:v>293</x:v>
      </x:c>
      <x:c r="D103" s="19" t="s">
        <x:v>37</x:v>
      </x:c>
      <x:c r="E103" s="19" t="s">
        <x:v>52</x:v>
      </x:c>
      <x:c r="F103" s="19" t="s">
        <x:v>58</x:v>
      </x:c>
      <x:c r="G103" s="21">
        <x:v>20</x:v>
      </x:c>
      <x:c r="H103" s="22">
        <x:v>20</x:v>
      </x:c>
      <x:c r="I103" s="21">
        <x:v>69</x:v>
      </x:c>
      <x:c r="J103" s="22">
        <x:v>69</x:v>
      </x:c>
      <x:c r="K103" s="19" t="str">
        <x:f t="shared" si="6">"EXCLUDED"</x:f>
        <x:v>EXCLUDED</x:v>
      </x:c>
      <x:c r="L103" s="19" t="str">
        <x:f t="shared" si="7">"EXCLUDED"</x:f>
        <x:v>EXCLUDED</x:v>
      </x:c>
      <x:c r="M103" s="19" t="str">
        <x:f>IF('Product Review'!U108="","MISSING","FOUND")</x:f>
        <x:v>FOUND</x:v>
      </x:c>
      <x:c r="N103" s="19" t="str">
        <x:v>USER EXCLUSION: red-marked item; do not import.</x:v>
      </x:c>
    </x:row>
    <x:row r="104" s="23" customFormat="1" ht="15">
      <x:c r="A104" s="19" t="s">
        <x:v>294</x:v>
      </x:c>
      <x:c r="B104" s="20" t="str">
        <x:f>"6941592742128"</x:f>
        <x:v>6941592742128</x:v>
      </x:c>
      <x:c r="C104" s="19" t="s">
        <x:v>295</x:v>
      </x:c>
      <x:c r="D104" s="19" t="s">
        <x:v>37</x:v>
      </x:c>
      <x:c r="E104" s="19" t="s">
        <x:v>52</x:v>
      </x:c>
      <x:c r="F104" s="19" t="s">
        <x:v>58</x:v>
      </x:c>
      <x:c r="G104" s="21">
        <x:v>10</x:v>
      </x:c>
      <x:c r="H104" s="22">
        <x:v>10</x:v>
      </x:c>
      <x:c r="I104" s="21">
        <x:v>69</x:v>
      </x:c>
      <x:c r="J104" s="22">
        <x:v>69</x:v>
      </x:c>
      <x:c r="K104" s="19" t="str">
        <x:f t="shared" si="6">"EXCLUDED"</x:f>
        <x:v>EXCLUDED</x:v>
      </x:c>
      <x:c r="L104" s="19" t="str">
        <x:f t="shared" si="7">"EXCLUDED"</x:f>
        <x:v>EXCLUDED</x:v>
      </x:c>
      <x:c r="M104" s="19" t="str">
        <x:f>IF('Product Review'!U109="","MISSING","FOUND")</x:f>
        <x:v>FOUND</x:v>
      </x:c>
      <x:c r="N104" s="19" t="str">
        <x:v>Source stock 1 is reference only; POS starts at 0. USER EXCLUSION: red-marked item; do not import.</x:v>
      </x:c>
    </x:row>
    <x:row r="105" ht="15">
      <x:c r="A105" s="6" t="s">
        <x:v>296</x:v>
      </x:c>
      <x:c r="B105" s="9" t="str">
        <x:f>"TM8-COMP-9198"</x:f>
        <x:v>TM8-COMP-9198</x:v>
      </x:c>
      <x:c r="C105" s="6" t="s">
        <x:v>297</x:v>
      </x:c>
      <x:c r="D105" s="6" t="s">
        <x:v>37</x:v>
      </x:c>
      <x:c r="E105" s="6" t="s">
        <x:v>52</x:v>
      </x:c>
      <x:c r="F105" s="6" t="s">
        <x:v>58</x:v>
      </x:c>
      <x:c r="G105" s="8">
        <x:v>4</x:v>
      </x:c>
      <x:c r="H105" s="7">
        <x:v>4</x:v>
      </x:c>
      <x:c r="I105" s="8">
        <x:v>24.99</x:v>
      </x:c>
      <x:c r="J105" s="7">
        <x:v>24.99</x:v>
      </x:c>
      <x:c r="K105" s="6" t="str">
        <x:f t="shared" si="6"/>
        <x:v>REVIEW</x:v>
      </x:c>
      <x:c r="L105" s="6" t="str">
        <x:f t="shared" si="7"/>
        <x:v>OK</x:v>
      </x:c>
      <x:c r="M105" s="6" t="str">
        <x:f>IF('Product Review'!U110="","MISSING","FOUND")</x:f>
        <x:v>FOUND</x:v>
      </x:c>
      <x:c r="N105" s="6"/>
    </x:row>
    <x:row r="106" ht="15">
      <x:c r="A106" s="6" t="s">
        <x:v>298</x:v>
      </x:c>
      <x:c r="B106" s="9" t="str">
        <x:f>"281783162660"</x:f>
        <x:v>281783162660</x:v>
      </x:c>
      <x:c r="C106" s="6" t="s">
        <x:v>299</x:v>
      </x:c>
      <x:c r="D106" s="6" t="s">
        <x:v>37</x:v>
      </x:c>
      <x:c r="E106" s="6" t="s">
        <x:v>52</x:v>
      </x:c>
      <x:c r="F106" s="6" t="s">
        <x:v>123</x:v>
      </x:c>
      <x:c r="G106" s="8">
        <x:v>5</x:v>
      </x:c>
      <x:c r="H106" s="7">
        <x:v>5</x:v>
      </x:c>
      <x:c r="I106" s="8">
        <x:v>15.99</x:v>
      </x:c>
      <x:c r="J106" s="7">
        <x:v>15.99</x:v>
      </x:c>
      <x:c r="K106" s="6" t="str">
        <x:f t="shared" si="6"/>
        <x:v>REVIEW</x:v>
      </x:c>
      <x:c r="L106" s="6" t="str">
        <x:f t="shared" si="7"/>
        <x:v>OK</x:v>
      </x:c>
      <x:c r="M106" s="6" t="str">
        <x:f>IF('Product Review'!U111="","MISSING","FOUND")</x:f>
        <x:v>FOUND</x:v>
      </x:c>
      <x:c r="N106" s="6"/>
    </x:row>
    <x:row r="107" ht="15">
      <x:c r="A107" s="6" t="s">
        <x:v>300</x:v>
      </x:c>
      <x:c r="B107" s="9" t="str">
        <x:f>"6972989040367"</x:f>
        <x:v>6972989040367</x:v>
      </x:c>
      <x:c r="C107" s="6" t="s">
        <x:v>301</x:v>
      </x:c>
      <x:c r="D107" s="6" t="s">
        <x:v>37</x:v>
      </x:c>
      <x:c r="E107" s="6" t="s">
        <x:v>52</x:v>
      </x:c>
      <x:c r="F107" s="6" t="s">
        <x:v>123</x:v>
      </x:c>
      <x:c r="G107" s="8">
        <x:v>9</x:v>
      </x:c>
      <x:c r="H107" s="7">
        <x:v>9</x:v>
      </x:c>
      <x:c r="I107" s="8">
        <x:v>39.950000000000003</x:v>
      </x:c>
      <x:c r="J107" s="7">
        <x:v>39.950000000000003</x:v>
      </x:c>
      <x:c r="K107" s="6" t="str">
        <x:f t="shared" si="6"/>
        <x:v>REVIEW</x:v>
      </x:c>
      <x:c r="L107" s="6" t="str">
        <x:f t="shared" si="7"/>
        <x:v>OK</x:v>
      </x:c>
      <x:c r="M107" s="6" t="str">
        <x:f>IF('Product Review'!U112="","MISSING","FOUND")</x:f>
        <x:v>FOUND</x:v>
      </x:c>
      <x:c r="N107" s="6" t="s">
        <x:v>43</x:v>
      </x:c>
    </x:row>
    <x:row r="108" ht="29.25">
      <x:c r="A108" s="6" t="s">
        <x:v>302</x:v>
      </x:c>
      <x:c r="B108" s="9" t="str">
        <x:f>"6972989041326"</x:f>
        <x:v>6972989041326</x:v>
      </x:c>
      <x:c r="C108" s="6" t="s">
        <x:v>303</x:v>
      </x:c>
      <x:c r="D108" s="6" t="s">
        <x:v>37</x:v>
      </x:c>
      <x:c r="E108" s="6" t="s">
        <x:v>52</x:v>
      </x:c>
      <x:c r="F108" s="6" t="s">
        <x:v>123</x:v>
      </x:c>
      <x:c r="G108" s="8">
        <x:v>17</x:v>
      </x:c>
      <x:c r="H108" s="7">
        <x:v>17</x:v>
      </x:c>
      <x:c r="I108" s="8">
        <x:v>39.950000000000003</x:v>
      </x:c>
      <x:c r="J108" s="7">
        <x:v>39.950000000000003</x:v>
      </x:c>
      <x:c r="K108" s="6" t="str">
        <x:f t="shared" si="6"/>
        <x:v>REVIEW</x:v>
      </x:c>
      <x:c r="L108" s="6" t="str">
        <x:f t="shared" si="7"/>
        <x:v>OK</x:v>
      </x:c>
      <x:c r="M108" s="6" t="str">
        <x:f>IF('Product Review'!U113="","MISSING","FOUND")</x:f>
        <x:v>FOUND</x:v>
      </x:c>
      <x:c r="N108" s="6" t="s">
        <x:v>88</x:v>
      </x:c>
    </x:row>
    <x:row r="109" ht="15">
      <x:c r="A109" s="6" t="s">
        <x:v>304</x:v>
      </x:c>
      <x:c r="B109" s="9" t="str">
        <x:f>"9166454"</x:f>
        <x:v>9166454</x:v>
      </x:c>
      <x:c r="C109" s="6" t="s">
        <x:v>305</x:v>
      </x:c>
      <x:c r="D109" s="6" t="s">
        <x:v>122</x:v>
      </x:c>
      <x:c r="E109" s="6" t="s">
        <x:v>52</x:v>
      </x:c>
      <x:c r="F109" s="6" t="s">
        <x:v>123</x:v>
      </x:c>
      <x:c r="G109" s="8">
        <x:v>7</x:v>
      </x:c>
      <x:c r="H109" s="7">
        <x:v>7</x:v>
      </x:c>
      <x:c r="I109" s="8">
        <x:v>25</x:v>
      </x:c>
      <x:c r="J109" s="7">
        <x:v>25</x:v>
      </x:c>
      <x:c r="K109" s="6" t="str">
        <x:f t="shared" si="6"/>
        <x:v>REVIEW</x:v>
      </x:c>
      <x:c r="L109" s="6" t="str">
        <x:f t="shared" si="7"/>
        <x:v>OK</x:v>
      </x:c>
      <x:c r="M109" s="6" t="str">
        <x:f>IF('Product Review'!U114="","MISSING","FOUND")</x:f>
        <x:v>FOUND</x:v>
      </x:c>
      <x:c r="N109" s="6" t="s">
        <x:v>69</x:v>
      </x:c>
    </x:row>
    <x:row r="110" s="23" customFormat="1" ht="29.25">
      <x:c r="A110" s="19" t="s">
        <x:v>306</x:v>
      </x:c>
      <x:c r="B110" s="20" t="str">
        <x:f>"6935364088897"</x:f>
        <x:v>6935364088897</x:v>
      </x:c>
      <x:c r="C110" s="19" t="s">
        <x:v>307</x:v>
      </x:c>
      <x:c r="D110" s="19" t="s">
        <x:v>308</x:v>
      </x:c>
      <x:c r="E110" s="19" t="s">
        <x:v>52</x:v>
      </x:c>
      <x:c r="F110" s="19" t="s">
        <x:v>211</x:v>
      </x:c>
      <x:c r="G110" s="21">
        <x:v>0</x:v>
      </x:c>
      <x:c r="H110" s="22">
        <x:v>0</x:v>
      </x:c>
      <x:c r="I110" s="21">
        <x:v>99</x:v>
      </x:c>
      <x:c r="J110" s="22">
        <x:v>99</x:v>
      </x:c>
      <x:c r="K110" s="19" t="str">
        <x:f t="shared" si="6">"EXCLUDED"</x:f>
        <x:v>EXCLUDED</x:v>
      </x:c>
      <x:c r="L110" s="19" t="str">
        <x:f t="shared" si="7">"EXCLUDED"</x:f>
        <x:v>EXCLUDED</x:v>
      </x:c>
      <x:c r="M110" s="19" t="str">
        <x:f>IF('Product Review'!U115="","MISSING","FOUND")</x:f>
        <x:v>FOUND</x:v>
      </x:c>
      <x:c r="N110" s="19" t="str">
        <x:v>Cost must be entered before import. USER EXCLUSION: red-marked item; do not import.</x:v>
      </x:c>
    </x:row>
    <x:row r="111" s="23" customFormat="1" ht="29.25">
      <x:c r="A111" s="19" t="s">
        <x:v>309</x:v>
      </x:c>
      <x:c r="B111" s="20" t="str">
        <x:f>"6935364050368"</x:f>
        <x:v>6935364050368</x:v>
      </x:c>
      <x:c r="C111" s="19" t="s">
        <x:v>310</x:v>
      </x:c>
      <x:c r="D111" s="19" t="s">
        <x:v>308</x:v>
      </x:c>
      <x:c r="E111" s="19" t="s">
        <x:v>52</x:v>
      </x:c>
      <x:c r="F111" s="19" t="s">
        <x:v>211</x:v>
      </x:c>
      <x:c r="G111" s="21">
        <x:v>0</x:v>
      </x:c>
      <x:c r="H111" s="22">
        <x:v>0</x:v>
      </x:c>
      <x:c r="I111" s="21">
        <x:v>55</x:v>
      </x:c>
      <x:c r="J111" s="22">
        <x:v>55</x:v>
      </x:c>
      <x:c r="K111" s="19" t="str">
        <x:f t="shared" si="6">"EXCLUDED"</x:f>
        <x:v>EXCLUDED</x:v>
      </x:c>
      <x:c r="L111" s="19" t="str">
        <x:f t="shared" si="7">"EXCLUDED"</x:f>
        <x:v>EXCLUDED</x:v>
      </x:c>
      <x:c r="M111" s="19" t="str">
        <x:f>IF('Product Review'!U116="","MISSING","FOUND")</x:f>
        <x:v>FOUND</x:v>
      </x:c>
      <x:c r="N111" s="19" t="str">
        <x:v>Cost must be entered before import. Source stock 2 is reference only; POS starts at 0. USER EXCLUSION: red-marked item; do not import.</x:v>
      </x:c>
    </x:row>
    <x:row r="112" ht="29.25">
      <x:c r="A112" s="6" t="s">
        <x:v>311</x:v>
      </x:c>
      <x:c r="B112" s="9" t="str">
        <x:f>"TM8-COMP-8840"</x:f>
        <x:v>TM8-COMP-8840</x:v>
      </x:c>
      <x:c r="C112" s="6" t="s">
        <x:v>312</x:v>
      </x:c>
      <x:c r="D112" s="6" t="s">
        <x:v>37</x:v>
      </x:c>
      <x:c r="E112" s="6" t="s">
        <x:v>38</x:v>
      </x:c>
      <x:c r="F112" s="6" t="s">
        <x:v>39</x:v>
      </x:c>
      <x:c r="G112" s="8">
        <x:v>0</x:v>
      </x:c>
      <x:c r="H112" s="7">
        <x:v>8</x:v>
      </x:c>
      <x:c r="I112" s="8">
        <x:v>29</x:v>
      </x:c>
      <x:c r="J112" s="7">
        <x:v>29</x:v>
      </x:c>
      <x:c r="K112" s="6" t="str">
        <x:f t="shared" si="6"/>
        <x:v>REVIEW</x:v>
      </x:c>
      <x:c r="L112" s="6" t="str">
        <x:f t="shared" si="7"/>
        <x:v>OK</x:v>
      </x:c>
      <x:c r="M112" s="6" t="str">
        <x:f>IF('Product Review'!U117="","MISSING","FOUND")</x:f>
        <x:v>FOUND</x:v>
      </x:c>
      <x:c r="N112" s="6" t="s">
        <x:v>313</x:v>
      </x:c>
    </x:row>
    <x:row r="113" s="23" customFormat="1" ht="29.25">
      <x:c r="A113" s="19" t="s">
        <x:v>314</x:v>
      </x:c>
      <x:c r="B113" s="20" t="str">
        <x:f>"030215178096"</x:f>
        <x:v>030215178096</x:v>
      </x:c>
      <x:c r="C113" s="19" t="s">
        <x:v>315</x:v>
      </x:c>
      <x:c r="D113" s="19" t="s">
        <x:v>37</x:v>
      </x:c>
      <x:c r="E113" s="19" t="s">
        <x:v>38</x:v>
      </x:c>
      <x:c r="F113" s="19" t="s">
        <x:v>39</x:v>
      </x:c>
      <x:c r="G113" s="21">
        <x:v>0</x:v>
      </x:c>
      <x:c r="H113" s="22">
        <x:v>0</x:v>
      </x:c>
      <x:c r="I113" s="21">
        <x:v>35</x:v>
      </x:c>
      <x:c r="J113" s="22">
        <x:v>35</x:v>
      </x:c>
      <x:c r="K113" s="19" t="str">
        <x:f t="shared" si="6">"EXCLUDED"</x:f>
        <x:v>EXCLUDED</x:v>
      </x:c>
      <x:c r="L113" s="19" t="str">
        <x:f t="shared" si="7">"EXCLUDED"</x:f>
        <x:v>EXCLUDED</x:v>
      </x:c>
      <x:c r="M113" s="19" t="str">
        <x:f>IF('Product Review'!U118="","MISSING","FOUND")</x:f>
        <x:v>FOUND</x:v>
      </x:c>
      <x:c r="N113" s="19" t="str">
        <x:v>Cost must be entered before import. Source stock 2 is reference only; POS starts at 0. USER EXCLUSION: red-marked item; do not import.</x:v>
      </x:c>
    </x:row>
    <x:row r="114" s="23" customFormat="1" ht="29.25">
      <x:c r="A114" s="19" t="s">
        <x:v>316</x:v>
      </x:c>
      <x:c r="B114" s="20" t="str">
        <x:f>"459668800598"</x:f>
        <x:v>459668800598</x:v>
      </x:c>
      <x:c r="C114" s="19" t="s">
        <x:v>317</x:v>
      </x:c>
      <x:c r="D114" s="19" t="s">
        <x:v>37</x:v>
      </x:c>
      <x:c r="E114" s="19" t="s">
        <x:v>38</x:v>
      </x:c>
      <x:c r="F114" s="19" t="s">
        <x:v>39</x:v>
      </x:c>
      <x:c r="G114" s="21">
        <x:v>0</x:v>
      </x:c>
      <x:c r="H114" s="22">
        <x:v>0</x:v>
      </x:c>
      <x:c r="I114" s="21">
        <x:v>35</x:v>
      </x:c>
      <x:c r="J114" s="22">
        <x:v>35</x:v>
      </x:c>
      <x:c r="K114" s="19" t="str">
        <x:f t="shared" si="6">"EXCLUDED"</x:f>
        <x:v>EXCLUDED</x:v>
      </x:c>
      <x:c r="L114" s="19" t="str">
        <x:f t="shared" si="7">"EXCLUDED"</x:f>
        <x:v>EXCLUDED</x:v>
      </x:c>
      <x:c r="M114" s="19" t="str">
        <x:f>IF('Product Review'!U119="","MISSING","FOUND")</x:f>
        <x:v>FOUND</x:v>
      </x:c>
      <x:c r="N114" s="19" t="str">
        <x:v>Cost must be entered before import. Source stock 1 is reference only; POS starts at 0. USER EXCLUSION: red-marked item; do not import.</x:v>
      </x:c>
    </x:row>
    <x:row r="115" s="23" customFormat="1" ht="29.25">
      <x:c r="A115" s="19" t="s">
        <x:v>318</x:v>
      </x:c>
      <x:c r="B115" s="20" t="str">
        <x:f>"057586534054"</x:f>
        <x:v>057586534054</x:v>
      </x:c>
      <x:c r="C115" s="19" t="s">
        <x:v>319</x:v>
      </x:c>
      <x:c r="D115" s="19" t="s">
        <x:v>37</x:v>
      </x:c>
      <x:c r="E115" s="19" t="s">
        <x:v>38</x:v>
      </x:c>
      <x:c r="F115" s="19" t="s">
        <x:v>39</x:v>
      </x:c>
      <x:c r="G115" s="21">
        <x:v>0</x:v>
      </x:c>
      <x:c r="H115" s="22">
        <x:v>0</x:v>
      </x:c>
      <x:c r="I115" s="21">
        <x:v>25</x:v>
      </x:c>
      <x:c r="J115" s="22">
        <x:v>25</x:v>
      </x:c>
      <x:c r="K115" s="19" t="str">
        <x:f t="shared" si="6">"EXCLUDED"</x:f>
        <x:v>EXCLUDED</x:v>
      </x:c>
      <x:c r="L115" s="19" t="str">
        <x:f t="shared" si="7">"EXCLUDED"</x:f>
        <x:v>EXCLUDED</x:v>
      </x:c>
      <x:c r="M115" s="19" t="str">
        <x:f>IF('Product Review'!U120="","MISSING","FOUND")</x:f>
        <x:v>FOUND</x:v>
      </x:c>
      <x:c r="N115" s="19" t="str">
        <x:v>Cost must be entered before import. Source stock 7 is reference only; POS starts at 0. USER EXCLUSION: red-marked item; do not import.</x:v>
      </x:c>
    </x:row>
    <x:row r="116" ht="29.25">
      <x:c r="A116" s="6" t="s">
        <x:v>320</x:v>
      </x:c>
      <x:c r="B116" s="9" t="str">
        <x:f>"838286574782"</x:f>
        <x:v>838286574782</x:v>
      </x:c>
      <x:c r="C116" s="6" t="s">
        <x:v>321</x:v>
      </x:c>
      <x:c r="D116" s="6" t="s">
        <x:v>37</x:v>
      </x:c>
      <x:c r="E116" s="6" t="s">
        <x:v>38</x:v>
      </x:c>
      <x:c r="F116" s="6" t="s">
        <x:v>39</x:v>
      </x:c>
      <x:c r="G116" s="8">
        <x:v>0</x:v>
      </x:c>
      <x:c r="H116" s="7">
        <x:v>3.8</x:v>
      </x:c>
      <x:c r="I116" s="8">
        <x:v>15</x:v>
      </x:c>
      <x:c r="J116" s="7">
        <x:v>15</x:v>
      </x:c>
      <x:c r="K116" s="6" t="str">
        <x:f t="shared" si="6"/>
        <x:v>REVIEW</x:v>
      </x:c>
      <x:c r="L116" s="6" t="str">
        <x:f t="shared" si="7"/>
        <x:v>OK</x:v>
      </x:c>
      <x:c r="M116" s="6" t="str">
        <x:f>IF('Product Review'!U121="","MISSING","FOUND")</x:f>
        <x:v>FOUND</x:v>
      </x:c>
      <x:c r="N116" s="6" t="s">
        <x:v>322</x:v>
      </x:c>
    </x:row>
    <x:row r="117" ht="29.25">
      <x:c r="A117" s="6" t="s">
        <x:v>323</x:v>
      </x:c>
      <x:c r="B117" s="9" t="str">
        <x:f>"6970344732841"</x:f>
        <x:v>6970344732841</x:v>
      </x:c>
      <x:c r="C117" s="6" t="s">
        <x:v>324</x:v>
      </x:c>
      <x:c r="D117" s="6" t="s">
        <x:v>136</x:v>
      </x:c>
      <x:c r="E117" s="6" t="s">
        <x:v>67</x:v>
      </x:c>
      <x:c r="F117" s="6" t="s">
        <x:v>325</x:v>
      </x:c>
      <x:c r="G117" s="8">
        <x:v>0</x:v>
      </x:c>
      <x:c r="H117" s="7">
        <x:v>20</x:v>
      </x:c>
      <x:c r="I117" s="8">
        <x:v>49.99</x:v>
      </x:c>
      <x:c r="J117" s="7">
        <x:v>49.99</x:v>
      </x:c>
      <x:c r="K117" s="6" t="str">
        <x:f t="shared" si="6"/>
        <x:v>REVIEW</x:v>
      </x:c>
      <x:c r="L117" s="6" t="str">
        <x:f t="shared" si="7"/>
        <x:v>OK</x:v>
      </x:c>
      <x:c r="M117" s="6" t="str">
        <x:f>IF('Product Review'!U122="","MISSING","FOUND")</x:f>
        <x:v>FOUND</x:v>
      </x:c>
      <x:c r="N117" s="6" t="s">
        <x:v>326</x:v>
      </x:c>
    </x:row>
    <x:row r="118" ht="29.25">
      <x:c r="A118" s="6" t="s">
        <x:v>327</x:v>
      </x:c>
      <x:c r="B118" s="9" t="str">
        <x:f>"155422166039"</x:f>
        <x:v>155422166039</x:v>
      </x:c>
      <x:c r="C118" s="6" t="s">
        <x:v>328</x:v>
      </x:c>
      <x:c r="D118" s="6" t="s">
        <x:v>37</x:v>
      </x:c>
      <x:c r="E118" s="6" t="s">
        <x:v>52</x:v>
      </x:c>
      <x:c r="F118" s="6" t="s">
        <x:v>58</x:v>
      </x:c>
      <x:c r="G118" s="8">
        <x:v>0</x:v>
      </x:c>
      <x:c r="H118" s="7">
        <x:v>3</x:v>
      </x:c>
      <x:c r="I118" s="8">
        <x:v>15</x:v>
      </x:c>
      <x:c r="J118" s="7">
        <x:v>15</x:v>
      </x:c>
      <x:c r="K118" s="6" t="str">
        <x:f t="shared" si="6"/>
        <x:v>REVIEW</x:v>
      </x:c>
      <x:c r="L118" s="6" t="str">
        <x:f t="shared" si="7"/>
        <x:v>OK</x:v>
      </x:c>
      <x:c r="M118" s="6" t="str">
        <x:f>IF('Product Review'!U123="","MISSING","FOUND")</x:f>
        <x:v>FOUND</x:v>
      </x:c>
      <x:c r="N118" s="6" t="s">
        <x:v>329</x:v>
      </x:c>
    </x:row>
    <x:row r="119" ht="29.25">
      <x:c r="A119" s="6" t="s">
        <x:v>330</x:v>
      </x:c>
      <x:c r="B119" s="9" t="str">
        <x:f>"KB1356MT072000064"</x:f>
        <x:v>KB1356MT072000064</x:v>
      </x:c>
      <x:c r="C119" s="6" t="s">
        <x:v>331</x:v>
      </x:c>
      <x:c r="D119" s="6" t="s">
        <x:v>136</x:v>
      </x:c>
      <x:c r="E119" s="6" t="s">
        <x:v>52</x:v>
      </x:c>
      <x:c r="F119" s="6" t="s">
        <x:v>58</x:v>
      </x:c>
      <x:c r="G119" s="8">
        <x:v>0</x:v>
      </x:c>
      <x:c r="H119" s="7">
        <x:v>8</x:v>
      </x:c>
      <x:c r="I119" s="8">
        <x:v>24.99</x:v>
      </x:c>
      <x:c r="J119" s="7">
        <x:v>24.99</x:v>
      </x:c>
      <x:c r="K119" s="6" t="str">
        <x:f t="shared" si="6"/>
        <x:v>REVIEW</x:v>
      </x:c>
      <x:c r="L119" s="6" t="str">
        <x:f t="shared" si="7"/>
        <x:v>OK</x:v>
      </x:c>
      <x:c r="M119" s="6" t="str">
        <x:f>IF('Product Review'!U124="","MISSING","FOUND")</x:f>
        <x:v>FOUND</x:v>
      </x:c>
      <x:c r="N119" s="6" t="s">
        <x:v>332</x:v>
      </x:c>
    </x:row>
    <x:row r="120" ht="15">
      <x:c r="A120" s="6" t="s">
        <x:v>333</x:v>
      </x:c>
      <x:c r="B120" s="9" t="str">
        <x:f>"6954851295891"</x:f>
        <x:v>6954851295891</x:v>
      </x:c>
      <x:c r="C120" s="6" t="s">
        <x:v>334</x:v>
      </x:c>
      <x:c r="D120" s="6" t="s">
        <x:v>37</x:v>
      </x:c>
      <x:c r="E120" s="6" t="s">
        <x:v>52</x:v>
      </x:c>
      <x:c r="F120" s="6" t="s">
        <x:v>72</x:v>
      </x:c>
      <x:c r="G120" s="8">
        <x:v>33.5</x:v>
      </x:c>
      <x:c r="H120" s="7">
        <x:v>33.5</x:v>
      </x:c>
      <x:c r="I120" s="8">
        <x:v>79</x:v>
      </x:c>
      <x:c r="J120" s="7">
        <x:v>79</x:v>
      </x:c>
      <x:c r="K120" s="6" t="str">
        <x:f t="shared" si="6"/>
        <x:v>REVIEW</x:v>
      </x:c>
      <x:c r="L120" s="6" t="str">
        <x:f t="shared" si="7"/>
        <x:v>OK</x:v>
      </x:c>
      <x:c r="M120" s="6" t="str">
        <x:f>IF('Product Review'!U125="","MISSING","FOUND")</x:f>
        <x:v>FOUND</x:v>
      </x:c>
      <x:c r="N120" s="6"/>
    </x:row>
    <x:row r="121" ht="15">
      <x:c r="A121" s="6" t="s">
        <x:v>335</x:v>
      </x:c>
      <x:c r="B121" s="9" t="str">
        <x:f>"6954851252191"</x:f>
        <x:v>6954851252191</x:v>
      </x:c>
      <x:c r="C121" s="6" t="s">
        <x:v>336</x:v>
      </x:c>
      <x:c r="D121" s="6" t="s">
        <x:v>37</x:v>
      </x:c>
      <x:c r="E121" s="6" t="s">
        <x:v>52</x:v>
      </x:c>
      <x:c r="F121" s="6" t="s">
        <x:v>72</x:v>
      </x:c>
      <x:c r="G121" s="8">
        <x:v>18</x:v>
      </x:c>
      <x:c r="H121" s="7">
        <x:v>18</x:v>
      </x:c>
      <x:c r="I121" s="8">
        <x:v>39</x:v>
      </x:c>
      <x:c r="J121" s="7">
        <x:v>39</x:v>
      </x:c>
      <x:c r="K121" s="6" t="str">
        <x:f t="shared" si="6"/>
        <x:v>REVIEW</x:v>
      </x:c>
      <x:c r="L121" s="6" t="str">
        <x:f t="shared" si="7"/>
        <x:v>OK</x:v>
      </x:c>
      <x:c r="M121" s="6" t="str">
        <x:f>IF('Product Review'!U126="","MISSING","FOUND")</x:f>
        <x:v>FOUND</x:v>
      </x:c>
      <x:c r="N121" s="6" t="s">
        <x:v>263</x:v>
      </x:c>
    </x:row>
    <x:row r="122" ht="15">
      <x:c r="A122" s="6" t="s">
        <x:v>337</x:v>
      </x:c>
      <x:c r="B122" s="9" t="str">
        <x:f>"6954851252092"</x:f>
        <x:v>6954851252092</x:v>
      </x:c>
      <x:c r="C122" s="6" t="s">
        <x:v>338</x:v>
      </x:c>
      <x:c r="D122" s="6" t="s">
        <x:v>37</x:v>
      </x:c>
      <x:c r="E122" s="6" t="s">
        <x:v>52</x:v>
      </x:c>
      <x:c r="F122" s="6" t="s">
        <x:v>72</x:v>
      </x:c>
      <x:c r="G122" s="8">
        <x:v>6.38</x:v>
      </x:c>
      <x:c r="H122" s="7">
        <x:v>6.38</x:v>
      </x:c>
      <x:c r="I122" s="8">
        <x:v>28</x:v>
      </x:c>
      <x:c r="J122" s="7">
        <x:v>28</x:v>
      </x:c>
      <x:c r="K122" s="6" t="str">
        <x:f t="shared" si="6"/>
        <x:v>REVIEW</x:v>
      </x:c>
      <x:c r="L122" s="6" t="str">
        <x:f t="shared" si="7"/>
        <x:v>OK</x:v>
      </x:c>
      <x:c r="M122" s="6" t="str">
        <x:f>IF('Product Review'!U127="","MISSING","FOUND")</x:f>
        <x:v>FOUND</x:v>
      </x:c>
      <x:c r="N122" s="6" t="s">
        <x:v>82</x:v>
      </x:c>
    </x:row>
    <x:row r="123" ht="15">
      <x:c r="A123" s="6" t="s">
        <x:v>339</x:v>
      </x:c>
      <x:c r="B123" s="9" t="str">
        <x:f>"7812488"</x:f>
        <x:v>7812488</x:v>
      </x:c>
      <x:c r="C123" s="6" t="s">
        <x:v>340</x:v>
      </x:c>
      <x:c r="D123" s="6" t="s">
        <x:v>37</x:v>
      </x:c>
      <x:c r="E123" s="6" t="s">
        <x:v>52</x:v>
      </x:c>
      <x:c r="F123" s="6" t="s">
        <x:v>72</x:v>
      </x:c>
      <x:c r="G123" s="8">
        <x:v>4.5</x:v>
      </x:c>
      <x:c r="H123" s="7">
        <x:v>4.5</x:v>
      </x:c>
      <x:c r="I123" s="8">
        <x:v>19</x:v>
      </x:c>
      <x:c r="J123" s="7">
        <x:v>19</x:v>
      </x:c>
      <x:c r="K123" s="6" t="str">
        <x:f t="shared" si="6"/>
        <x:v>REVIEW</x:v>
      </x:c>
      <x:c r="L123" s="6" t="str">
        <x:f t="shared" si="7"/>
        <x:v>OK</x:v>
      </x:c>
      <x:c r="M123" s="6" t="str">
        <x:f>IF('Product Review'!U128="","MISSING","FOUND")</x:f>
        <x:v>FOUND</x:v>
      </x:c>
      <x:c r="N123" s="6"/>
    </x:row>
    <x:row r="124" ht="29.25">
      <x:c r="A124" s="6" t="s">
        <x:v>341</x:v>
      </x:c>
      <x:c r="B124" s="9" t="str">
        <x:f>"6970344731646"</x:f>
        <x:v>6970344731646</x:v>
      </x:c>
      <x:c r="C124" s="6" t="s">
        <x:v>342</x:v>
      </x:c>
      <x:c r="D124" s="6" t="s">
        <x:v>37</x:v>
      </x:c>
      <x:c r="E124" s="6" t="s">
        <x:v>52</x:v>
      </x:c>
      <x:c r="F124" s="6" t="s">
        <x:v>58</x:v>
      </x:c>
      <x:c r="G124" s="8">
        <x:v>0</x:v>
      </x:c>
      <x:c r="H124" s="7">
        <x:v>19.84</x:v>
      </x:c>
      <x:c r="I124" s="8">
        <x:v>29.99</x:v>
      </x:c>
      <x:c r="J124" s="7">
        <x:v>29.99</x:v>
      </x:c>
      <x:c r="K124" s="6" t="str">
        <x:f t="shared" si="6"/>
        <x:v>REVIEW</x:v>
      </x:c>
      <x:c r="L124" s="6" t="str">
        <x:f t="shared" si="7"/>
        <x:v>OK</x:v>
      </x:c>
      <x:c r="M124" s="6" t="str">
        <x:f>IF('Product Review'!U129="","MISSING","FOUND")</x:f>
        <x:v>FOUND</x:v>
      </x:c>
      <x:c r="N124" s="6" t="s">
        <x:v>343</x:v>
      </x:c>
    </x:row>
    <x:row r="125" ht="15">
      <x:c r="A125" s="6" t="s">
        <x:v>344</x:v>
      </x:c>
      <x:c r="B125" s="9" t="str">
        <x:f>"6972174159461"</x:f>
        <x:v>6972174159461</x:v>
      </x:c>
      <x:c r="C125" s="6" t="s">
        <x:v>345</x:v>
      </x:c>
      <x:c r="D125" s="6" t="s">
        <x:v>37</x:v>
      </x:c>
      <x:c r="E125" s="6" t="s">
        <x:v>67</x:v>
      </x:c>
      <x:c r="F125" s="6" t="s">
        <x:v>94</x:v>
      </x:c>
      <x:c r="G125" s="8">
        <x:v>0</x:v>
      </x:c>
      <x:c r="H125" s="7">
        <x:v>20</x:v>
      </x:c>
      <x:c r="I125" s="8">
        <x:v>129</x:v>
      </x:c>
      <x:c r="J125" s="7">
        <x:v>129</x:v>
      </x:c>
      <x:c r="K125" s="6" t="str">
        <x:f t="shared" si="6"/>
        <x:v>REVIEW</x:v>
      </x:c>
      <x:c r="L125" s="6" t="str">
        <x:f t="shared" si="7"/>
        <x:v>OK</x:v>
      </x:c>
      <x:c r="M125" s="6" t="str">
        <x:f>IF('Product Review'!U130="","MISSING","FOUND")</x:f>
        <x:v>FOUND</x:v>
      </x:c>
      <x:c r="N125" s="6" t="s">
        <x:v>218</x:v>
      </x:c>
    </x:row>
    <x:row r="126" ht="29.25">
      <x:c r="A126" s="6" t="s">
        <x:v>346</x:v>
      </x:c>
      <x:c r="B126" s="9" t="str">
        <x:f>"6972174159454"</x:f>
        <x:v>6972174159454</x:v>
      </x:c>
      <x:c r="C126" s="6" t="s">
        <x:v>347</x:v>
      </x:c>
      <x:c r="D126" s="6" t="s">
        <x:v>37</x:v>
      </x:c>
      <x:c r="E126" s="6" t="s">
        <x:v>67</x:v>
      </x:c>
      <x:c r="F126" s="6" t="s">
        <x:v>94</x:v>
      </x:c>
      <x:c r="G126" s="8">
        <x:v>0</x:v>
      </x:c>
      <x:c r="H126" s="7">
        <x:v>20</x:v>
      </x:c>
      <x:c r="I126" s="8">
        <x:v>129</x:v>
      </x:c>
      <x:c r="J126" s="7">
        <x:v>129</x:v>
      </x:c>
      <x:c r="K126" s="6" t="str">
        <x:f t="shared" si="6"/>
        <x:v>REVIEW</x:v>
      </x:c>
      <x:c r="L126" s="6" t="str">
        <x:f t="shared" si="7"/>
        <x:v>OK</x:v>
      </x:c>
      <x:c r="M126" s="6" t="str">
        <x:f>IF('Product Review'!U131="","MISSING","FOUND")</x:f>
        <x:v>FOUND</x:v>
      </x:c>
      <x:c r="N126" s="6" t="s">
        <x:v>348</x:v>
      </x:c>
    </x:row>
    <x:row r="127" s="23" customFormat="1" ht="29.25">
      <x:c r="A127" s="19" t="s">
        <x:v>349</x:v>
      </x:c>
      <x:c r="B127" s="20" t="str">
        <x:f>"6935364050573"</x:f>
        <x:v>6935364050573</x:v>
      </x:c>
      <x:c r="C127" s="19" t="s">
        <x:v>350</x:v>
      </x:c>
      <x:c r="D127" s="19" t="s">
        <x:v>308</x:v>
      </x:c>
      <x:c r="E127" s="19" t="s">
        <x:v>52</x:v>
      </x:c>
      <x:c r="F127" s="19" t="s">
        <x:v>211</x:v>
      </x:c>
      <x:c r="G127" s="21">
        <x:v>0</x:v>
      </x:c>
      <x:c r="H127" s="22">
        <x:v>0</x:v>
      </x:c>
      <x:c r="I127" s="21">
        <x:v>55</x:v>
      </x:c>
      <x:c r="J127" s="22">
        <x:v>55</x:v>
      </x:c>
      <x:c r="K127" s="19" t="str">
        <x:f t="shared" si="6">"EXCLUDED"</x:f>
        <x:v>EXCLUDED</x:v>
      </x:c>
      <x:c r="L127" s="19" t="str">
        <x:f t="shared" si="7">"EXCLUDED"</x:f>
        <x:v>EXCLUDED</x:v>
      </x:c>
      <x:c r="M127" s="19" t="str">
        <x:f>IF('Product Review'!U132="","MISSING","FOUND")</x:f>
        <x:v>FOUND</x:v>
      </x:c>
      <x:c r="N127" s="19" t="str">
        <x:v>Cost must be entered before import. Source stock 1 is reference only; POS starts at 0. USER EXCLUSION: red-marked item; do not import.</x:v>
      </x:c>
    </x:row>
    <x:row r="128" s="23" customFormat="1" ht="29.25">
      <x:c r="A128" s="19" t="s">
        <x:v>351</x:v>
      </x:c>
      <x:c r="B128" s="20" t="str">
        <x:f>"6845174"</x:f>
        <x:v>6845174</x:v>
      </x:c>
      <x:c r="C128" s="19" t="s">
        <x:v>352</x:v>
      </x:c>
      <x:c r="D128" s="19" t="s">
        <x:v>308</x:v>
      </x:c>
      <x:c r="E128" s="19" t="s">
        <x:v>52</x:v>
      </x:c>
      <x:c r="F128" s="19" t="s">
        <x:v>211</x:v>
      </x:c>
      <x:c r="G128" s="21">
        <x:v>0</x:v>
      </x:c>
      <x:c r="H128" s="22">
        <x:v>0</x:v>
      </x:c>
      <x:c r="I128" s="21">
        <x:v>45</x:v>
      </x:c>
      <x:c r="J128" s="22">
        <x:v>45</x:v>
      </x:c>
      <x:c r="K128" s="19" t="str">
        <x:f t="shared" si="6">"EXCLUDED"</x:f>
        <x:v>EXCLUDED</x:v>
      </x:c>
      <x:c r="L128" s="19" t="str">
        <x:f t="shared" si="7">"EXCLUDED"</x:f>
        <x:v>EXCLUDED</x:v>
      </x:c>
      <x:c r="M128" s="19" t="str">
        <x:f>IF('Product Review'!U133="","MISSING","FOUND")</x:f>
        <x:v>FOUND</x:v>
      </x:c>
      <x:c r="N128" s="19" t="str">
        <x:v>Cost must be entered before import. Source stock -1 is reference only; POS starts at 0. USER EXCLUSION: red-marked item; do not import.</x:v>
      </x:c>
    </x:row>
    <x:row r="129" s="23" customFormat="1" ht="29.25">
      <x:c r="A129" s="19" t="s">
        <x:v>353</x:v>
      </x:c>
      <x:c r="B129" s="20" t="str">
        <x:f>"2901353532461"</x:f>
        <x:v>2901353532461</x:v>
      </x:c>
      <x:c r="C129" s="19" t="s">
        <x:v>354</x:v>
      </x:c>
      <x:c r="D129" s="19" t="s">
        <x:v>37</x:v>
      </x:c>
      <x:c r="E129" s="19" t="s">
        <x:v>52</x:v>
      </x:c>
      <x:c r="F129" s="19" t="s">
        <x:v>63</x:v>
      </x:c>
      <x:c r="G129" s="21">
        <x:v>0</x:v>
      </x:c>
      <x:c r="H129" s="22">
        <x:v>0</x:v>
      </x:c>
      <x:c r="I129" s="21">
        <x:v>35</x:v>
      </x:c>
      <x:c r="J129" s="22">
        <x:v>35</x:v>
      </x:c>
      <x:c r="K129" s="19" t="str">
        <x:f t="shared" si="6">"EXCLUDED"</x:f>
        <x:v>EXCLUDED</x:v>
      </x:c>
      <x:c r="L129" s="19" t="str">
        <x:f t="shared" si="7">"EXCLUDED"</x:f>
        <x:v>EXCLUDED</x:v>
      </x:c>
      <x:c r="M129" s="19" t="str">
        <x:f>IF('Product Review'!U134="","MISSING","FOUND")</x:f>
        <x:v>FOUND</x:v>
      </x:c>
      <x:c r="N129" s="19" t="str">
        <x:v>Cost must be entered before import. Source stock 3 is reference only; POS starts at 0. USER EXCLUSION: red-marked item; do not import.</x:v>
      </x:c>
    </x:row>
    <x:row r="130" ht="29.25">
      <x:c r="A130" s="6" t="s">
        <x:v>355</x:v>
      </x:c>
      <x:c r="B130" s="9" t="str">
        <x:f>"593450563718"</x:f>
        <x:v>593450563718</x:v>
      </x:c>
      <x:c r="C130" s="6" t="s">
        <x:v>356</x:v>
      </x:c>
      <x:c r="D130" s="6" t="s">
        <x:v>37</x:v>
      </x:c>
      <x:c r="E130" s="6" t="s">
        <x:v>52</x:v>
      </x:c>
      <x:c r="F130" s="6" t="s">
        <x:v>63</x:v>
      </x:c>
      <x:c r="G130" s="8">
        <x:v>0</x:v>
      </x:c>
      <x:c r="H130" s="7">
        <x:v>15</x:v>
      </x:c>
      <x:c r="I130" s="8">
        <x:v>55</x:v>
      </x:c>
      <x:c r="J130" s="7">
        <x:v>55</x:v>
      </x:c>
      <x:c r="K130" s="6" t="str">
        <x:f t="shared" ref="K130:K161" si="8">IF(H130&lt;=0,"MISSING","REVIEW")</x:f>
        <x:v>REVIEW</x:v>
      </x:c>
      <x:c r="L130" s="6" t="str">
        <x:f t="shared" ref="L130:L161" si="9">IF(OR(J130&lt;=0,J130&gt;100000),"CHECK","OK")</x:f>
        <x:v>OK</x:v>
      </x:c>
      <x:c r="M130" s="6" t="str">
        <x:f>IF('Product Review'!U135="","MISSING","FOUND")</x:f>
        <x:v>FOUND</x:v>
      </x:c>
      <x:c r="N130" s="6" t="s">
        <x:v>357</x:v>
      </x:c>
    </x:row>
    <x:row r="131" ht="15">
      <x:c r="A131" s="6" t="s">
        <x:v>358</x:v>
      </x:c>
      <x:c r="B131" s="9" t="str">
        <x:f>"89421783370"</x:f>
        <x:v>89421783370</x:v>
      </x:c>
      <x:c r="C131" s="6" t="s">
        <x:v>359</x:v>
      </x:c>
      <x:c r="D131" s="6" t="s">
        <x:v>37</x:v>
      </x:c>
      <x:c r="E131" s="6" t="s">
        <x:v>38</x:v>
      </x:c>
      <x:c r="F131" s="6" t="s">
        <x:v>360</x:v>
      </x:c>
      <x:c r="G131" s="8">
        <x:v>2</x:v>
      </x:c>
      <x:c r="H131" s="7">
        <x:v>2</x:v>
      </x:c>
      <x:c r="I131" s="8">
        <x:v>19.989999999999998</x:v>
      </x:c>
      <x:c r="J131" s="7">
        <x:v>19.989999999999998</x:v>
      </x:c>
      <x:c r="K131" s="6" t="str">
        <x:f t="shared" si="8"/>
        <x:v>REVIEW</x:v>
      </x:c>
      <x:c r="L131" s="6" t="str">
        <x:f t="shared" si="9"/>
        <x:v>OK</x:v>
      </x:c>
      <x:c r="M131" s="6" t="str">
        <x:f>IF('Product Review'!U136="","MISSING","FOUND")</x:f>
        <x:v>FOUND</x:v>
      </x:c>
      <x:c r="N131" s="6" t="s">
        <x:v>43</x:v>
      </x:c>
    </x:row>
    <x:row r="132" ht="29.25">
      <x:c r="A132" s="6" t="s">
        <x:v>361</x:v>
      </x:c>
      <x:c r="B132" s="9" t="str">
        <x:f>"6970344732476"</x:f>
        <x:v>6970344732476</x:v>
      </x:c>
      <x:c r="C132" s="6" t="s">
        <x:v>362</x:v>
      </x:c>
      <x:c r="D132" s="6" t="s">
        <x:v>136</x:v>
      </x:c>
      <x:c r="E132" s="6" t="s">
        <x:v>52</x:v>
      </x:c>
      <x:c r="F132" s="6" t="s">
        <x:v>58</x:v>
      </x:c>
      <x:c r="G132" s="8">
        <x:v>0</x:v>
      </x:c>
      <x:c r="H132" s="7">
        <x:v>7.76</x:v>
      </x:c>
      <x:c r="I132" s="8">
        <x:v>24.99</x:v>
      </x:c>
      <x:c r="J132" s="7">
        <x:v>24.99</x:v>
      </x:c>
      <x:c r="K132" s="6" t="str">
        <x:f t="shared" si="8"/>
        <x:v>REVIEW</x:v>
      </x:c>
      <x:c r="L132" s="6" t="str">
        <x:f t="shared" si="9"/>
        <x:v>OK</x:v>
      </x:c>
      <x:c r="M132" s="6" t="str">
        <x:f>IF('Product Review'!U137="","MISSING","FOUND")</x:f>
        <x:v>FOUND</x:v>
      </x:c>
      <x:c r="N132" s="6" t="s">
        <x:v>357</x:v>
      </x:c>
    </x:row>
    <x:row r="133" ht="29.25">
      <x:c r="A133" s="6" t="s">
        <x:v>363</x:v>
      </x:c>
      <x:c r="B133" s="9" t="str">
        <x:f>"011739479791"</x:f>
        <x:v>011739479791</x:v>
      </x:c>
      <x:c r="C133" s="6" t="s">
        <x:v>364</x:v>
      </x:c>
      <x:c r="D133" s="6" t="s">
        <x:v>37</x:v>
      </x:c>
      <x:c r="E133" s="6" t="s">
        <x:v>38</x:v>
      </x:c>
      <x:c r="F133" s="6" t="s">
        <x:v>39</x:v>
      </x:c>
      <x:c r="G133" s="8">
        <x:v>0</x:v>
      </x:c>
      <x:c r="H133" s="7">
        <x:v>5</x:v>
      </x:c>
      <x:c r="I133" s="8">
        <x:v>15</x:v>
      </x:c>
      <x:c r="J133" s="7">
        <x:v>15</x:v>
      </x:c>
      <x:c r="K133" s="6" t="str">
        <x:f t="shared" si="8"/>
        <x:v>REVIEW</x:v>
      </x:c>
      <x:c r="L133" s="6" t="str">
        <x:f t="shared" si="9"/>
        <x:v>OK</x:v>
      </x:c>
      <x:c r="M133" s="6" t="str">
        <x:f>IF('Product Review'!U138="","MISSING","FOUND")</x:f>
        <x:v>FOUND</x:v>
      </x:c>
      <x:c r="N133" s="6" t="s">
        <x:v>357</x:v>
      </x:c>
    </x:row>
    <x:row r="134" ht="29.25">
      <x:c r="A134" s="6" t="s">
        <x:v>365</x:v>
      </x:c>
      <x:c r="B134" s="9" t="str">
        <x:f>"584665051299"</x:f>
        <x:v>584665051299</x:v>
      </x:c>
      <x:c r="C134" s="6" t="s">
        <x:v>366</x:v>
      </x:c>
      <x:c r="D134" s="6" t="s">
        <x:v>37</x:v>
      </x:c>
      <x:c r="E134" s="6" t="s">
        <x:v>38</x:v>
      </x:c>
      <x:c r="F134" s="6" t="s">
        <x:v>367</x:v>
      </x:c>
      <x:c r="G134" s="8">
        <x:v>0</x:v>
      </x:c>
      <x:c r="H134" s="7">
        <x:v>5</x:v>
      </x:c>
      <x:c r="I134" s="8">
        <x:v>20</x:v>
      </x:c>
      <x:c r="J134" s="7">
        <x:v>20</x:v>
      </x:c>
      <x:c r="K134" s="6" t="str">
        <x:f t="shared" si="8"/>
        <x:v>REVIEW</x:v>
      </x:c>
      <x:c r="L134" s="6" t="str">
        <x:f t="shared" si="9"/>
        <x:v>OK</x:v>
      </x:c>
      <x:c r="M134" s="6" t="str">
        <x:f>IF('Product Review'!U139="","MISSING","FOUND")</x:f>
        <x:v>FOUND</x:v>
      </x:c>
      <x:c r="N134" s="6" t="s">
        <x:v>322</x:v>
      </x:c>
    </x:row>
    <x:row r="135" ht="29.25">
      <x:c r="A135" s="6" t="s">
        <x:v>368</x:v>
      </x:c>
      <x:c r="B135" s="9" t="str">
        <x:f>"313231346411"</x:f>
        <x:v>313231346411</x:v>
      </x:c>
      <x:c r="C135" s="6" t="s">
        <x:v>369</x:v>
      </x:c>
      <x:c r="D135" s="6" t="s">
        <x:v>37</x:v>
      </x:c>
      <x:c r="E135" s="6" t="s">
        <x:v>38</x:v>
      </x:c>
      <x:c r="F135" s="6" t="s">
        <x:v>39</x:v>
      </x:c>
      <x:c r="G135" s="8">
        <x:v>0</x:v>
      </x:c>
      <x:c r="H135" s="7">
        <x:v>5</x:v>
      </x:c>
      <x:c r="I135" s="8">
        <x:v>15</x:v>
      </x:c>
      <x:c r="J135" s="7">
        <x:v>15</x:v>
      </x:c>
      <x:c r="K135" s="6" t="str">
        <x:f t="shared" si="8"/>
        <x:v>REVIEW</x:v>
      </x:c>
      <x:c r="L135" s="6" t="str">
        <x:f t="shared" si="9"/>
        <x:v>OK</x:v>
      </x:c>
      <x:c r="M135" s="6" t="str">
        <x:f>IF('Product Review'!U140="","MISSING","FOUND")</x:f>
        <x:v>FOUND</x:v>
      </x:c>
      <x:c r="N135" s="6" t="s">
        <x:v>326</x:v>
      </x:c>
    </x:row>
    <x:row r="136" ht="29.25">
      <x:c r="A136" s="6" t="s">
        <x:v>370</x:v>
      </x:c>
      <x:c r="B136" s="9" t="str">
        <x:f>"993835555152"</x:f>
        <x:v>993835555152</x:v>
      </x:c>
      <x:c r="C136" s="6" t="s">
        <x:v>371</x:v>
      </x:c>
      <x:c r="D136" s="6" t="s">
        <x:v>37</x:v>
      </x:c>
      <x:c r="E136" s="6" t="s">
        <x:v>38</x:v>
      </x:c>
      <x:c r="F136" s="6" t="s">
        <x:v>39</x:v>
      </x:c>
      <x:c r="G136" s="8">
        <x:v>0</x:v>
      </x:c>
      <x:c r="H136" s="7">
        <x:v>8</x:v>
      </x:c>
      <x:c r="I136" s="8">
        <x:v>30</x:v>
      </x:c>
      <x:c r="J136" s="7">
        <x:v>30</x:v>
      </x:c>
      <x:c r="K136" s="6" t="str">
        <x:f t="shared" si="8"/>
        <x:v>REVIEW</x:v>
      </x:c>
      <x:c r="L136" s="6" t="str">
        <x:f t="shared" si="9"/>
        <x:v>OK</x:v>
      </x:c>
      <x:c r="M136" s="6" t="str">
        <x:f>IF('Product Review'!U141="","MISSING","FOUND")</x:f>
        <x:v>FOUND</x:v>
      </x:c>
      <x:c r="N136" s="6" t="s">
        <x:v>322</x:v>
      </x:c>
    </x:row>
    <x:row r="137" ht="29.25">
      <x:c r="A137" s="6" t="s">
        <x:v>372</x:v>
      </x:c>
      <x:c r="B137" s="9" t="str">
        <x:f>"154975388936"</x:f>
        <x:v>154975388936</x:v>
      </x:c>
      <x:c r="C137" s="6" t="s">
        <x:v>373</x:v>
      </x:c>
      <x:c r="D137" s="6" t="s">
        <x:v>37</x:v>
      </x:c>
      <x:c r="E137" s="6" t="s">
        <x:v>38</x:v>
      </x:c>
      <x:c r="F137" s="6" t="s">
        <x:v>39</x:v>
      </x:c>
      <x:c r="G137" s="8">
        <x:v>0</x:v>
      </x:c>
      <x:c r="H137" s="7">
        <x:v>5</x:v>
      </x:c>
      <x:c r="I137" s="8">
        <x:v>30</x:v>
      </x:c>
      <x:c r="J137" s="7">
        <x:v>30</x:v>
      </x:c>
      <x:c r="K137" s="6" t="str">
        <x:f t="shared" si="8"/>
        <x:v>REVIEW</x:v>
      </x:c>
      <x:c r="L137" s="6" t="str">
        <x:f t="shared" si="9"/>
        <x:v>OK</x:v>
      </x:c>
      <x:c r="M137" s="6" t="str">
        <x:f>IF('Product Review'!U142="","MISSING","FOUND")</x:f>
        <x:v>FOUND</x:v>
      </x:c>
      <x:c r="N137" s="6" t="s">
        <x:v>357</x:v>
      </x:c>
    </x:row>
    <x:row r="138" ht="15">
      <x:c r="A138" s="6" t="s">
        <x:v>374</x:v>
      </x:c>
      <x:c r="B138" s="9" t="str">
        <x:f>"762992046694"</x:f>
        <x:v>762992046694</x:v>
      </x:c>
      <x:c r="C138" s="6" t="s">
        <x:v>375</x:v>
      </x:c>
      <x:c r="D138" s="6" t="s">
        <x:v>37</x:v>
      </x:c>
      <x:c r="E138" s="6" t="s">
        <x:v>38</x:v>
      </x:c>
      <x:c r="F138" s="6" t="s">
        <x:v>39</x:v>
      </x:c>
      <x:c r="G138" s="8">
        <x:v>0</x:v>
      </x:c>
      <x:c r="H138" s="7">
        <x:v>5</x:v>
      </x:c>
      <x:c r="I138" s="8">
        <x:v>20</x:v>
      </x:c>
      <x:c r="J138" s="7">
        <x:v>20</x:v>
      </x:c>
      <x:c r="K138" s="6" t="str">
        <x:f t="shared" si="8"/>
        <x:v>REVIEW</x:v>
      </x:c>
      <x:c r="L138" s="6" t="str">
        <x:f t="shared" si="9"/>
        <x:v>OK</x:v>
      </x:c>
      <x:c r="M138" s="6" t="str">
        <x:f>IF('Product Review'!U143="","MISSING","FOUND")</x:f>
        <x:v>FOUND</x:v>
      </x:c>
      <x:c r="N138" s="6" t="s">
        <x:v>218</x:v>
      </x:c>
    </x:row>
    <x:row r="139" s="23" customFormat="1" ht="29.25">
      <x:c r="A139" s="19" t="s">
        <x:v>376</x:v>
      </x:c>
      <x:c r="B139" s="20" t="str">
        <x:f>"826584423956"</x:f>
        <x:v>826584423956</x:v>
      </x:c>
      <x:c r="C139" s="19" t="s">
        <x:v>377</x:v>
      </x:c>
      <x:c r="D139" s="19" t="s">
        <x:v>37</x:v>
      </x:c>
      <x:c r="E139" s="19" t="s">
        <x:v>38</x:v>
      </x:c>
      <x:c r="F139" s="19" t="s">
        <x:v>39</x:v>
      </x:c>
      <x:c r="G139" s="21">
        <x:v>0</x:v>
      </x:c>
      <x:c r="H139" s="22">
        <x:v>0</x:v>
      </x:c>
      <x:c r="I139" s="21">
        <x:v>30</x:v>
      </x:c>
      <x:c r="J139" s="22">
        <x:v>30</x:v>
      </x:c>
      <x:c r="K139" s="19" t="str">
        <x:f t="shared" si="8">"EXCLUDED"</x:f>
        <x:v>EXCLUDED</x:v>
      </x:c>
      <x:c r="L139" s="19" t="str">
        <x:f t="shared" si="9">"EXCLUDED"</x:f>
        <x:v>EXCLUDED</x:v>
      </x:c>
      <x:c r="M139" s="19" t="str">
        <x:f>IF('Product Review'!U144="","MISSING","FOUND")</x:f>
        <x:v>FOUND</x:v>
      </x:c>
      <x:c r="N139" s="19" t="str">
        <x:v>Cost must be entered before import. Source stock 7 is reference only; POS starts at 0. USER EXCLUSION: red-marked item; do not import.</x:v>
      </x:c>
    </x:row>
    <x:row r="140" ht="15">
      <x:c r="A140" s="6" t="s">
        <x:v>378</x:v>
      </x:c>
      <x:c r="B140" s="9" t="str">
        <x:f>"122836009092"</x:f>
        <x:v>122836009092</x:v>
      </x:c>
      <x:c r="C140" s="6" t="s">
        <x:v>379</x:v>
      </x:c>
      <x:c r="D140" s="6" t="s">
        <x:v>37</x:v>
      </x:c>
      <x:c r="E140" s="6" t="s">
        <x:v>38</x:v>
      </x:c>
      <x:c r="F140" s="6" t="s">
        <x:v>380</x:v>
      </x:c>
      <x:c r="G140" s="8">
        <x:v>5.5</x:v>
      </x:c>
      <x:c r="H140" s="7">
        <x:v>5.5</x:v>
      </x:c>
      <x:c r="I140" s="8">
        <x:v>30</x:v>
      </x:c>
      <x:c r="J140" s="7">
        <x:v>30</x:v>
      </x:c>
      <x:c r="K140" s="6" t="str">
        <x:f t="shared" si="8"/>
        <x:v>REVIEW</x:v>
      </x:c>
      <x:c r="L140" s="6" t="str">
        <x:f t="shared" si="9"/>
        <x:v>OK</x:v>
      </x:c>
      <x:c r="M140" s="6" t="str">
        <x:f>IF('Product Review'!U145="","MISSING","FOUND")</x:f>
        <x:v>FOUND</x:v>
      </x:c>
      <x:c r="N140" s="6" t="s">
        <x:v>40</x:v>
      </x:c>
    </x:row>
    <x:row r="141" ht="15">
      <x:c r="A141" s="6" t="s">
        <x:v>381</x:v>
      </x:c>
      <x:c r="B141" s="9" t="str">
        <x:f>"294179874573"</x:f>
        <x:v>294179874573</x:v>
      </x:c>
      <x:c r="C141" s="6" t="s">
        <x:v>382</x:v>
      </x:c>
      <x:c r="D141" s="6" t="s">
        <x:v>37</x:v>
      </x:c>
      <x:c r="E141" s="6" t="s">
        <x:v>38</x:v>
      </x:c>
      <x:c r="F141" s="6" t="s">
        <x:v>380</x:v>
      </x:c>
      <x:c r="G141" s="8">
        <x:v>4.5</x:v>
      </x:c>
      <x:c r="H141" s="7">
        <x:v>4.5</x:v>
      </x:c>
      <x:c r="I141" s="8">
        <x:v>20</x:v>
      </x:c>
      <x:c r="J141" s="7">
        <x:v>20</x:v>
      </x:c>
      <x:c r="K141" s="6" t="str">
        <x:f t="shared" si="8"/>
        <x:v>REVIEW</x:v>
      </x:c>
      <x:c r="L141" s="6" t="str">
        <x:f t="shared" si="9"/>
        <x:v>OK</x:v>
      </x:c>
      <x:c r="M141" s="6" t="str">
        <x:f>IF('Product Review'!U146="","MISSING","FOUND")</x:f>
        <x:v>FOUND</x:v>
      </x:c>
      <x:c r="N141" s="6" t="s">
        <x:v>103</x:v>
      </x:c>
    </x:row>
    <x:row r="142" ht="15">
      <x:c r="A142" s="6" t="s">
        <x:v>383</x:v>
      </x:c>
      <x:c r="B142" s="9" t="str">
        <x:f>"001532223639"</x:f>
        <x:v>001532223639</x:v>
      </x:c>
      <x:c r="C142" s="6" t="s">
        <x:v>384</x:v>
      </x:c>
      <x:c r="D142" s="6" t="s">
        <x:v>37</x:v>
      </x:c>
      <x:c r="E142" s="6" t="s">
        <x:v>38</x:v>
      </x:c>
      <x:c r="F142" s="6" t="s">
        <x:v>380</x:v>
      </x:c>
      <x:c r="G142" s="8">
        <x:v>3</x:v>
      </x:c>
      <x:c r="H142" s="7">
        <x:v>3</x:v>
      </x:c>
      <x:c r="I142" s="8">
        <x:v>15</x:v>
      </x:c>
      <x:c r="J142" s="7">
        <x:v>15</x:v>
      </x:c>
      <x:c r="K142" s="6" t="str">
        <x:f t="shared" si="8"/>
        <x:v>REVIEW</x:v>
      </x:c>
      <x:c r="L142" s="6" t="str">
        <x:f t="shared" si="9"/>
        <x:v>OK</x:v>
      </x:c>
      <x:c r="M142" s="6" t="str">
        <x:f>IF('Product Review'!U147="","MISSING","FOUND")</x:f>
        <x:v>FOUND</x:v>
      </x:c>
      <x:c r="N142" s="6" t="s">
        <x:v>103</x:v>
      </x:c>
    </x:row>
    <x:row r="143" ht="15">
      <x:c r="A143" s="6" t="s">
        <x:v>385</x:v>
      </x:c>
      <x:c r="B143" s="9" t="str">
        <x:f>"32540161528"</x:f>
        <x:v>32540161528</x:v>
      </x:c>
      <x:c r="C143" s="6" t="s">
        <x:v>386</x:v>
      </x:c>
      <x:c r="D143" s="6" t="s">
        <x:v>37</x:v>
      </x:c>
      <x:c r="E143" s="6" t="s">
        <x:v>38</x:v>
      </x:c>
      <x:c r="F143" s="6" t="s">
        <x:v>380</x:v>
      </x:c>
      <x:c r="G143" s="8">
        <x:v>1.8</x:v>
      </x:c>
      <x:c r="H143" s="7">
        <x:v>1.8</x:v>
      </x:c>
      <x:c r="I143" s="8">
        <x:v>10</x:v>
      </x:c>
      <x:c r="J143" s="7">
        <x:v>10</x:v>
      </x:c>
      <x:c r="K143" s="6" t="str">
        <x:f t="shared" si="8"/>
        <x:v>REVIEW</x:v>
      </x:c>
      <x:c r="L143" s="6" t="str">
        <x:f t="shared" si="9"/>
        <x:v>OK</x:v>
      </x:c>
      <x:c r="M143" s="6" t="str">
        <x:f>IF('Product Review'!U148="","MISSING","FOUND")</x:f>
        <x:v>FOUND</x:v>
      </x:c>
      <x:c r="N143" s="6" t="s">
        <x:v>43</x:v>
      </x:c>
    </x:row>
    <x:row r="144" ht="29.25">
      <x:c r="A144" s="6" t="s">
        <x:v>387</x:v>
      </x:c>
      <x:c r="B144" s="9" t="str">
        <x:f>"497716085689"</x:f>
        <x:v>497716085689</x:v>
      </x:c>
      <x:c r="C144" s="6" t="s">
        <x:v>388</x:v>
      </x:c>
      <x:c r="D144" s="6" t="s">
        <x:v>37</x:v>
      </x:c>
      <x:c r="E144" s="6" t="s">
        <x:v>38</x:v>
      </x:c>
      <x:c r="F144" s="6" t="s">
        <x:v>39</x:v>
      </x:c>
      <x:c r="G144" s="8">
        <x:v>0</x:v>
      </x:c>
      <x:c r="H144" s="7">
        <x:v>3.5</x:v>
      </x:c>
      <x:c r="I144" s="8">
        <x:v>15</x:v>
      </x:c>
      <x:c r="J144" s="7">
        <x:v>15</x:v>
      </x:c>
      <x:c r="K144" s="6" t="str">
        <x:f t="shared" si="8"/>
        <x:v>REVIEW</x:v>
      </x:c>
      <x:c r="L144" s="6" t="str">
        <x:f t="shared" si="9"/>
        <x:v>OK</x:v>
      </x:c>
      <x:c r="M144" s="6" t="str">
        <x:f>IF('Product Review'!U149="","MISSING","FOUND")</x:f>
        <x:v>FOUND</x:v>
      </x:c>
      <x:c r="N144" s="6" t="s">
        <x:v>389</x:v>
      </x:c>
    </x:row>
    <x:row r="145" ht="29.25">
      <x:c r="A145" s="6" t="s">
        <x:v>390</x:v>
      </x:c>
      <x:c r="B145" s="9" t="str">
        <x:f>"397089842967"</x:f>
        <x:v>397089842967</x:v>
      </x:c>
      <x:c r="C145" s="6" t="s">
        <x:v>391</x:v>
      </x:c>
      <x:c r="D145" s="6" t="s">
        <x:v>37</x:v>
      </x:c>
      <x:c r="E145" s="6" t="s">
        <x:v>38</x:v>
      </x:c>
      <x:c r="F145" s="6" t="s">
        <x:v>39</x:v>
      </x:c>
      <x:c r="G145" s="8">
        <x:v>0</x:v>
      </x:c>
      <x:c r="H145" s="7">
        <x:v>3.5</x:v>
      </x:c>
      <x:c r="I145" s="8">
        <x:v>15</x:v>
      </x:c>
      <x:c r="J145" s="7">
        <x:v>15</x:v>
      </x:c>
      <x:c r="K145" s="6" t="str">
        <x:f t="shared" si="8"/>
        <x:v>REVIEW</x:v>
      </x:c>
      <x:c r="L145" s="6" t="str">
        <x:f t="shared" si="9"/>
        <x:v>OK</x:v>
      </x:c>
      <x:c r="M145" s="6" t="str">
        <x:f>IF('Product Review'!U150="","MISSING","FOUND")</x:f>
        <x:v>FOUND</x:v>
      </x:c>
      <x:c r="N145" s="6" t="s">
        <x:v>392</x:v>
      </x:c>
    </x:row>
    <x:row r="146" ht="29.25">
      <x:c r="A146" s="6" t="s">
        <x:v>393</x:v>
      </x:c>
      <x:c r="B146" s="9" t="str">
        <x:f>"468709432902"</x:f>
        <x:v>468709432902</x:v>
      </x:c>
      <x:c r="C146" s="6" t="s">
        <x:v>394</x:v>
      </x:c>
      <x:c r="D146" s="6" t="s">
        <x:v>37</x:v>
      </x:c>
      <x:c r="E146" s="6" t="s">
        <x:v>38</x:v>
      </x:c>
      <x:c r="F146" s="6" t="s">
        <x:v>39</x:v>
      </x:c>
      <x:c r="G146" s="8">
        <x:v>0</x:v>
      </x:c>
      <x:c r="H146" s="7">
        <x:v>3.5</x:v>
      </x:c>
      <x:c r="I146" s="8">
        <x:v>15</x:v>
      </x:c>
      <x:c r="J146" s="7">
        <x:v>15</x:v>
      </x:c>
      <x:c r="K146" s="6" t="str">
        <x:f t="shared" si="8"/>
        <x:v>REVIEW</x:v>
      </x:c>
      <x:c r="L146" s="6" t="str">
        <x:f t="shared" si="9"/>
        <x:v>OK</x:v>
      </x:c>
      <x:c r="M146" s="6" t="str">
        <x:f>IF('Product Review'!U151="","MISSING","FOUND")</x:f>
        <x:v>FOUND</x:v>
      </x:c>
      <x:c r="N146" s="6" t="s">
        <x:v>326</x:v>
      </x:c>
    </x:row>
    <x:row r="147" ht="15">
      <x:c r="A147" s="6" t="s">
        <x:v>395</x:v>
      </x:c>
      <x:c r="B147" s="9" t="str">
        <x:f>"565124307508"</x:f>
        <x:v>565124307508</x:v>
      </x:c>
      <x:c r="C147" s="6" t="s">
        <x:v>396</x:v>
      </x:c>
      <x:c r="D147" s="6" t="s">
        <x:v>37</x:v>
      </x:c>
      <x:c r="E147" s="6" t="s">
        <x:v>38</x:v>
      </x:c>
      <x:c r="F147" s="6" t="s">
        <x:v>39</x:v>
      </x:c>
      <x:c r="G147" s="8">
        <x:v>0</x:v>
      </x:c>
      <x:c r="H147" s="7">
        <x:v>5</x:v>
      </x:c>
      <x:c r="I147" s="8">
        <x:v>15</x:v>
      </x:c>
      <x:c r="J147" s="7">
        <x:v>15</x:v>
      </x:c>
      <x:c r="K147" s="6" t="str">
        <x:f t="shared" si="8"/>
        <x:v>REVIEW</x:v>
      </x:c>
      <x:c r="L147" s="6" t="str">
        <x:f t="shared" si="9"/>
        <x:v>OK</x:v>
      </x:c>
      <x:c r="M147" s="6" t="str">
        <x:f>IF('Product Review'!U152="","MISSING","FOUND")</x:f>
        <x:v>FOUND</x:v>
      </x:c>
      <x:c r="N147" s="6" t="s">
        <x:v>218</x:v>
      </x:c>
    </x:row>
    <x:row r="148" s="23" customFormat="1" ht="29.25">
      <x:c r="A148" s="19" t="s">
        <x:v>397</x:v>
      </x:c>
      <x:c r="B148" s="20" t="str">
        <x:f>"860085245013"</x:f>
        <x:v>860085245013</x:v>
      </x:c>
      <x:c r="C148" s="19" t="s">
        <x:v>398</x:v>
      </x:c>
      <x:c r="D148" s="19" t="s">
        <x:v>37</x:v>
      </x:c>
      <x:c r="E148" s="19" t="s">
        <x:v>38</x:v>
      </x:c>
      <x:c r="F148" s="19" t="s">
        <x:v>39</x:v>
      </x:c>
      <x:c r="G148" s="21">
        <x:v>0</x:v>
      </x:c>
      <x:c r="H148" s="22">
        <x:v>0</x:v>
      </x:c>
      <x:c r="I148" s="21">
        <x:v>25</x:v>
      </x:c>
      <x:c r="J148" s="22">
        <x:v>25</x:v>
      </x:c>
      <x:c r="K148" s="19" t="str">
        <x:f t="shared" si="8">"EXCLUDED"</x:f>
        <x:v>EXCLUDED</x:v>
      </x:c>
      <x:c r="L148" s="19" t="str">
        <x:f t="shared" si="9">"EXCLUDED"</x:f>
        <x:v>EXCLUDED</x:v>
      </x:c>
      <x:c r="M148" s="19" t="str">
        <x:f>IF('Product Review'!U153="","MISSING","FOUND")</x:f>
        <x:v>FOUND</x:v>
      </x:c>
      <x:c r="N148" s="19" t="str">
        <x:v>Cost must be entered before import. Source stock -1 is reference only; POS starts at 0. USER EXCLUSION: red-marked item; do not import.</x:v>
      </x:c>
    </x:row>
    <x:row r="149" ht="15">
      <x:c r="A149" s="6" t="s">
        <x:v>399</x:v>
      </x:c>
      <x:c r="B149" s="9" t="str">
        <x:f>"981720708660"</x:f>
        <x:v>981720708660</x:v>
      </x:c>
      <x:c r="C149" s="6" t="s">
        <x:v>400</x:v>
      </x:c>
      <x:c r="D149" s="6" t="s">
        <x:v>37</x:v>
      </x:c>
      <x:c r="E149" s="6" t="s">
        <x:v>38</x:v>
      </x:c>
      <x:c r="F149" s="6" t="s">
        <x:v>39</x:v>
      </x:c>
      <x:c r="G149" s="8">
        <x:v>0</x:v>
      </x:c>
      <x:c r="H149" s="7">
        <x:v>5</x:v>
      </x:c>
      <x:c r="I149" s="8">
        <x:v>25</x:v>
      </x:c>
      <x:c r="J149" s="7">
        <x:v>25</x:v>
      </x:c>
      <x:c r="K149" s="6" t="str">
        <x:f t="shared" si="8"/>
        <x:v>REVIEW</x:v>
      </x:c>
      <x:c r="L149" s="6" t="str">
        <x:f t="shared" si="9"/>
        <x:v>OK</x:v>
      </x:c>
      <x:c r="M149" s="6" t="str">
        <x:f>IF('Product Review'!U154="","MISSING","FOUND")</x:f>
        <x:v>FOUND</x:v>
      </x:c>
      <x:c r="N149" s="6" t="s">
        <x:v>218</x:v>
      </x:c>
    </x:row>
    <x:row r="150" ht="29.25">
      <x:c r="A150" s="6" t="s">
        <x:v>401</x:v>
      </x:c>
      <x:c r="B150" s="9" t="str">
        <x:f>"757521758919"</x:f>
        <x:v>757521758919</x:v>
      </x:c>
      <x:c r="C150" s="6" t="s">
        <x:v>402</x:v>
      </x:c>
      <x:c r="D150" s="6" t="s">
        <x:v>37</x:v>
      </x:c>
      <x:c r="E150" s="6" t="s">
        <x:v>38</x:v>
      </x:c>
      <x:c r="F150" s="6" t="s">
        <x:v>39</x:v>
      </x:c>
      <x:c r="G150" s="8">
        <x:v>0</x:v>
      </x:c>
      <x:c r="H150" s="7">
        <x:v>3.5</x:v>
      </x:c>
      <x:c r="I150" s="8">
        <x:v>15</x:v>
      </x:c>
      <x:c r="J150" s="7">
        <x:v>15</x:v>
      </x:c>
      <x:c r="K150" s="6" t="str">
        <x:f t="shared" si="8"/>
        <x:v>REVIEW</x:v>
      </x:c>
      <x:c r="L150" s="6" t="str">
        <x:f t="shared" si="9"/>
        <x:v>OK</x:v>
      </x:c>
      <x:c r="M150" s="6" t="str">
        <x:f>IF('Product Review'!U155="","MISSING","FOUND")</x:f>
        <x:v>FOUND</x:v>
      </x:c>
      <x:c r="N150" s="6" t="s">
        <x:v>403</x:v>
      </x:c>
    </x:row>
    <x:row r="151" ht="15">
      <x:c r="A151" s="6" t="s">
        <x:v>404</x:v>
      </x:c>
      <x:c r="B151" s="9" t="str">
        <x:f>"983741083696"</x:f>
        <x:v>983741083696</x:v>
      </x:c>
      <x:c r="C151" s="6" t="s">
        <x:v>405</x:v>
      </x:c>
      <x:c r="D151" s="6" t="s">
        <x:v>37</x:v>
      </x:c>
      <x:c r="E151" s="6" t="s">
        <x:v>38</x:v>
      </x:c>
      <x:c r="F151" s="6" t="s">
        <x:v>39</x:v>
      </x:c>
      <x:c r="G151" s="8">
        <x:v>0</x:v>
      </x:c>
      <x:c r="H151" s="7">
        <x:v>5</x:v>
      </x:c>
      <x:c r="I151" s="8">
        <x:v>20</x:v>
      </x:c>
      <x:c r="J151" s="7">
        <x:v>20</x:v>
      </x:c>
      <x:c r="K151" s="6" t="str">
        <x:f t="shared" si="8"/>
        <x:v>REVIEW</x:v>
      </x:c>
      <x:c r="L151" s="6" t="str">
        <x:f t="shared" si="9"/>
        <x:v>OK</x:v>
      </x:c>
      <x:c r="M151" s="6" t="str">
        <x:f>IF('Product Review'!U156="","MISSING","FOUND")</x:f>
        <x:v>FOUND</x:v>
      </x:c>
      <x:c r="N151" s="6" t="s">
        <x:v>218</x:v>
      </x:c>
    </x:row>
    <x:row r="152" ht="29.25">
      <x:c r="A152" s="6" t="s">
        <x:v>406</x:v>
      </x:c>
      <x:c r="B152" s="9" t="str">
        <x:f>"221824527775"</x:f>
        <x:v>221824527775</x:v>
      </x:c>
      <x:c r="C152" s="6" t="s">
        <x:v>407</x:v>
      </x:c>
      <x:c r="D152" s="6" t="s">
        <x:v>37</x:v>
      </x:c>
      <x:c r="E152" s="6" t="s">
        <x:v>38</x:v>
      </x:c>
      <x:c r="F152" s="6" t="s">
        <x:v>39</x:v>
      </x:c>
      <x:c r="G152" s="8">
        <x:v>0</x:v>
      </x:c>
      <x:c r="H152" s="7">
        <x:v>3.5</x:v>
      </x:c>
      <x:c r="I152" s="8">
        <x:v>15</x:v>
      </x:c>
      <x:c r="J152" s="7">
        <x:v>15</x:v>
      </x:c>
      <x:c r="K152" s="6" t="str">
        <x:f t="shared" si="8"/>
        <x:v>REVIEW</x:v>
      </x:c>
      <x:c r="L152" s="6" t="str">
        <x:f t="shared" si="9"/>
        <x:v>OK</x:v>
      </x:c>
      <x:c r="M152" s="6" t="str">
        <x:f>IF('Product Review'!U157="","MISSING","FOUND")</x:f>
        <x:v>FOUND</x:v>
      </x:c>
      <x:c r="N152" s="6" t="s">
        <x:v>403</x:v>
      </x:c>
    </x:row>
    <x:row r="153" ht="29.25">
      <x:c r="A153" s="6" t="s">
        <x:v>408</x:v>
      </x:c>
      <x:c r="B153" s="9" t="str">
        <x:f>"213208711412"</x:f>
        <x:v>213208711412</x:v>
      </x:c>
      <x:c r="C153" s="6" t="s">
        <x:v>409</x:v>
      </x:c>
      <x:c r="D153" s="6" t="s">
        <x:v>37</x:v>
      </x:c>
      <x:c r="E153" s="6" t="s">
        <x:v>38</x:v>
      </x:c>
      <x:c r="F153" s="6" t="s">
        <x:v>367</x:v>
      </x:c>
      <x:c r="G153" s="8">
        <x:v>0</x:v>
      </x:c>
      <x:c r="H153" s="7">
        <x:v>3.5</x:v>
      </x:c>
      <x:c r="I153" s="8">
        <x:v>15</x:v>
      </x:c>
      <x:c r="J153" s="7">
        <x:v>15</x:v>
      </x:c>
      <x:c r="K153" s="6" t="str">
        <x:f t="shared" si="8"/>
        <x:v>REVIEW</x:v>
      </x:c>
      <x:c r="L153" s="6" t="str">
        <x:f t="shared" si="9"/>
        <x:v>OK</x:v>
      </x:c>
      <x:c r="M153" s="6" t="str">
        <x:f>IF('Product Review'!U158="","MISSING","FOUND")</x:f>
        <x:v>FOUND</x:v>
      </x:c>
      <x:c r="N153" s="6" t="s">
        <x:v>410</x:v>
      </x:c>
    </x:row>
    <x:row r="154" s="23" customFormat="1" ht="29.25">
      <x:c r="A154" s="19" t="s">
        <x:v>411</x:v>
      </x:c>
      <x:c r="B154" s="20" t="str">
        <x:f>"297535793396"</x:f>
        <x:v>297535793396</x:v>
      </x:c>
      <x:c r="C154" s="19" t="s">
        <x:v>412</x:v>
      </x:c>
      <x:c r="D154" s="19" t="s">
        <x:v>37</x:v>
      </x:c>
      <x:c r="E154" s="19" t="s">
        <x:v>38</x:v>
      </x:c>
      <x:c r="F154" s="19" t="s">
        <x:v>39</x:v>
      </x:c>
      <x:c r="G154" s="21">
        <x:v>0</x:v>
      </x:c>
      <x:c r="H154" s="22">
        <x:v>0</x:v>
      </x:c>
      <x:c r="I154" s="21">
        <x:v>20</x:v>
      </x:c>
      <x:c r="J154" s="22">
        <x:v>20</x:v>
      </x:c>
      <x:c r="K154" s="19" t="str">
        <x:f t="shared" si="8">"EXCLUDED"</x:f>
        <x:v>EXCLUDED</x:v>
      </x:c>
      <x:c r="L154" s="19" t="str">
        <x:f t="shared" si="9">"EXCLUDED"</x:f>
        <x:v>EXCLUDED</x:v>
      </x:c>
      <x:c r="M154" s="19" t="str">
        <x:f>IF('Product Review'!U159="","MISSING","FOUND")</x:f>
        <x:v>FOUND</x:v>
      </x:c>
      <x:c r="N154" s="19" t="str">
        <x:v>Cost must be entered before import. Source stock 1 is reference only; POS starts at 0. USER EXCLUSION: red-marked item; do not import.</x:v>
      </x:c>
    </x:row>
    <x:row r="155" ht="29.25">
      <x:c r="A155" s="6" t="s">
        <x:v>413</x:v>
      </x:c>
      <x:c r="B155" s="9" t="str">
        <x:f>"619659115913"</x:f>
        <x:v>619659115913</x:v>
      </x:c>
      <x:c r="C155" s="6" t="s">
        <x:v>414</x:v>
      </x:c>
      <x:c r="D155" s="6" t="s">
        <x:v>37</x:v>
      </x:c>
      <x:c r="E155" s="6" t="s">
        <x:v>52</x:v>
      </x:c>
      <x:c r="F155" s="6" t="s">
        <x:v>72</x:v>
      </x:c>
      <x:c r="G155" s="8">
        <x:v>0</x:v>
      </x:c>
      <x:c r="H155" s="7">
        <x:v>35</x:v>
      </x:c>
      <x:c r="I155" s="8">
        <x:v>39</x:v>
      </x:c>
      <x:c r="J155" s="7">
        <x:v>39</x:v>
      </x:c>
      <x:c r="K155" s="6" t="str">
        <x:f t="shared" si="8"/>
        <x:v>REVIEW</x:v>
      </x:c>
      <x:c r="L155" s="6" t="str">
        <x:f t="shared" si="9"/>
        <x:v>OK</x:v>
      </x:c>
      <x:c r="M155" s="6" t="str">
        <x:f>IF('Product Review'!U160="","MISSING","FOUND")</x:f>
        <x:v>FOUND</x:v>
      </x:c>
      <x:c r="N155" s="6" t="s">
        <x:v>410</x:v>
      </x:c>
    </x:row>
    <x:row r="156" ht="29.25">
      <x:c r="A156" s="6" t="s">
        <x:v>415</x:v>
      </x:c>
      <x:c r="B156" s="9" t="str">
        <x:f>"619659115906"</x:f>
        <x:v>619659115906</x:v>
      </x:c>
      <x:c r="C156" s="6" t="s">
        <x:v>416</x:v>
      </x:c>
      <x:c r="D156" s="6" t="s">
        <x:v>37</x:v>
      </x:c>
      <x:c r="E156" s="6" t="s">
        <x:v>52</x:v>
      </x:c>
      <x:c r="F156" s="6" t="s">
        <x:v>72</x:v>
      </x:c>
      <x:c r="G156" s="8">
        <x:v>0</x:v>
      </x:c>
      <x:c r="H156" s="7">
        <x:v>25</x:v>
      </x:c>
      <x:c r="I156" s="8">
        <x:v>28</x:v>
      </x:c>
      <x:c r="J156" s="7">
        <x:v>28</x:v>
      </x:c>
      <x:c r="K156" s="6" t="str">
        <x:f t="shared" si="8"/>
        <x:v>REVIEW</x:v>
      </x:c>
      <x:c r="L156" s="6" t="str">
        <x:f t="shared" si="9"/>
        <x:v>OK</x:v>
      </x:c>
      <x:c r="M156" s="6" t="str">
        <x:f>IF('Product Review'!U161="","MISSING","FOUND")</x:f>
        <x:v>FOUND</x:v>
      </x:c>
      <x:c r="N156" s="6" t="s">
        <x:v>410</x:v>
      </x:c>
    </x:row>
    <x:row r="157" ht="29.25">
      <x:c r="A157" s="6" t="s">
        <x:v>417</x:v>
      </x:c>
      <x:c r="B157" s="9" t="str">
        <x:f>"619659102166"</x:f>
        <x:v>619659102166</x:v>
      </x:c>
      <x:c r="C157" s="6" t="s">
        <x:v>418</x:v>
      </x:c>
      <x:c r="D157" s="6" t="s">
        <x:v>37</x:v>
      </x:c>
      <x:c r="E157" s="6" t="s">
        <x:v>52</x:v>
      </x:c>
      <x:c r="F157" s="6" t="s">
        <x:v>72</x:v>
      </x:c>
      <x:c r="G157" s="8">
        <x:v>0</x:v>
      </x:c>
      <x:c r="H157" s="7">
        <x:v>15</x:v>
      </x:c>
      <x:c r="I157" s="8">
        <x:v>19</x:v>
      </x:c>
      <x:c r="J157" s="7">
        <x:v>19</x:v>
      </x:c>
      <x:c r="K157" s="6" t="str">
        <x:f t="shared" si="8"/>
        <x:v>REVIEW</x:v>
      </x:c>
      <x:c r="L157" s="6" t="str">
        <x:f t="shared" si="9"/>
        <x:v>OK</x:v>
      </x:c>
      <x:c r="M157" s="6" t="str">
        <x:f>IF('Product Review'!U162="","MISSING","FOUND")</x:f>
        <x:v>FOUND</x:v>
      </x:c>
      <x:c r="N157" s="6" t="s">
        <x:v>322</x:v>
      </x:c>
    </x:row>
    <x:row r="158" ht="15">
      <x:c r="A158" s="6" t="s">
        <x:v>419</x:v>
      </x:c>
      <x:c r="B158" s="9" t="str">
        <x:f>"658817"</x:f>
        <x:v>658817</x:v>
      </x:c>
      <x:c r="C158" s="6" t="s">
        <x:v>420</x:v>
      </x:c>
      <x:c r="D158" s="6" t="s">
        <x:v>37</x:v>
      </x:c>
      <x:c r="E158" s="6" t="s">
        <x:v>52</x:v>
      </x:c>
      <x:c r="F158" s="6" t="s">
        <x:v>72</x:v>
      </x:c>
      <x:c r="G158" s="8">
        <x:v>0</x:v>
      </x:c>
      <x:c r="H158" s="7">
        <x:v>12</x:v>
      </x:c>
      <x:c r="I158" s="8">
        <x:v>15</x:v>
      </x:c>
      <x:c r="J158" s="7">
        <x:v>15</x:v>
      </x:c>
      <x:c r="K158" s="6" t="str">
        <x:f t="shared" si="8"/>
        <x:v>REVIEW</x:v>
      </x:c>
      <x:c r="L158" s="6" t="str">
        <x:f t="shared" si="9"/>
        <x:v>OK</x:v>
      </x:c>
      <x:c r="M158" s="6" t="str">
        <x:f>IF('Product Review'!U163="","MISSING","FOUND")</x:f>
        <x:v>FOUND</x:v>
      </x:c>
      <x:c r="N158" s="6" t="s">
        <x:v>218</x:v>
      </x:c>
    </x:row>
    <x:row r="159" ht="15">
      <x:c r="A159" s="6" t="s">
        <x:v>421</x:v>
      </x:c>
      <x:c r="B159" s="9" t="str">
        <x:f>"658716"</x:f>
        <x:v>658716</x:v>
      </x:c>
      <x:c r="C159" s="6" t="s">
        <x:v>422</x:v>
      </x:c>
      <x:c r="D159" s="6" t="s">
        <x:v>37</x:v>
      </x:c>
      <x:c r="E159" s="6" t="s">
        <x:v>52</x:v>
      </x:c>
      <x:c r="F159" s="6" t="s">
        <x:v>72</x:v>
      </x:c>
      <x:c r="G159" s="8">
        <x:v>39</x:v>
      </x:c>
      <x:c r="H159" s="7">
        <x:v>39</x:v>
      </x:c>
      <x:c r="I159" s="8">
        <x:v>49</x:v>
      </x:c>
      <x:c r="J159" s="7">
        <x:v>49</x:v>
      </x:c>
      <x:c r="K159" s="6" t="str">
        <x:f t="shared" si="8"/>
        <x:v>REVIEW</x:v>
      </x:c>
      <x:c r="L159" s="6" t="str">
        <x:f t="shared" si="9"/>
        <x:v>OK</x:v>
      </x:c>
      <x:c r="M159" s="6" t="str">
        <x:f>IF('Product Review'!U164="","MISSING","FOUND")</x:f>
        <x:v>FOUND</x:v>
      </x:c>
      <x:c r="N159" s="6" t="s">
        <x:v>82</x:v>
      </x:c>
    </x:row>
    <x:row r="160" ht="15">
      <x:c r="A160" s="6" t="s">
        <x:v>423</x:v>
      </x:c>
      <x:c r="B160" s="9" t="str">
        <x:f>"658615"</x:f>
        <x:v>658615</x:v>
      </x:c>
      <x:c r="C160" s="6" t="s">
        <x:v>424</x:v>
      </x:c>
      <x:c r="D160" s="6" t="s">
        <x:v>37</x:v>
      </x:c>
      <x:c r="E160" s="6" t="s">
        <x:v>52</x:v>
      </x:c>
      <x:c r="F160" s="6" t="s">
        <x:v>72</x:v>
      </x:c>
      <x:c r="G160" s="8">
        <x:v>28</x:v>
      </x:c>
      <x:c r="H160" s="7">
        <x:v>28</x:v>
      </x:c>
      <x:c r="I160" s="8">
        <x:v>38</x:v>
      </x:c>
      <x:c r="J160" s="7">
        <x:v>38</x:v>
      </x:c>
      <x:c r="K160" s="6" t="str">
        <x:f t="shared" si="8"/>
        <x:v>REVIEW</x:v>
      </x:c>
      <x:c r="L160" s="6" t="str">
        <x:f t="shared" si="9"/>
        <x:v>OK</x:v>
      </x:c>
      <x:c r="M160" s="6" t="str">
        <x:f>IF('Product Review'!U165="","MISSING","FOUND")</x:f>
        <x:v>FOUND</x:v>
      </x:c>
      <x:c r="N160" s="6" t="s">
        <x:v>88</x:v>
      </x:c>
    </x:row>
    <x:row r="161" ht="15">
      <x:c r="A161" s="6" t="s">
        <x:v>425</x:v>
      </x:c>
      <x:c r="B161" s="9" t="str">
        <x:f>"658514"</x:f>
        <x:v>658514</x:v>
      </x:c>
      <x:c r="C161" s="6" t="s">
        <x:v>426</x:v>
      </x:c>
      <x:c r="D161" s="6" t="s">
        <x:v>37</x:v>
      </x:c>
      <x:c r="E161" s="6" t="s">
        <x:v>52</x:v>
      </x:c>
      <x:c r="F161" s="6" t="s">
        <x:v>72</x:v>
      </x:c>
      <x:c r="G161" s="8">
        <x:v>0</x:v>
      </x:c>
      <x:c r="H161" s="7">
        <x:v>15</x:v>
      </x:c>
      <x:c r="I161" s="8">
        <x:v>19</x:v>
      </x:c>
      <x:c r="J161" s="7">
        <x:v>19</x:v>
      </x:c>
      <x:c r="K161" s="6" t="str">
        <x:f t="shared" si="8"/>
        <x:v>REVIEW</x:v>
      </x:c>
      <x:c r="L161" s="6" t="str">
        <x:f t="shared" si="9"/>
        <x:v>OK</x:v>
      </x:c>
      <x:c r="M161" s="6" t="str">
        <x:f>IF('Product Review'!U166="","MISSING","FOUND")</x:f>
        <x:v>FOUND</x:v>
      </x:c>
      <x:c r="N161" s="6" t="s">
        <x:v>218</x:v>
      </x:c>
    </x:row>
    <x:row r="162" ht="15">
      <x:c r="A162" s="6" t="s">
        <x:v>427</x:v>
      </x:c>
      <x:c r="B162" s="9" t="str">
        <x:f>"658413"</x:f>
        <x:v>658413</x:v>
      </x:c>
      <x:c r="C162" s="6" t="s">
        <x:v>428</x:v>
      </x:c>
      <x:c r="D162" s="6" t="s">
        <x:v>37</x:v>
      </x:c>
      <x:c r="E162" s="6" t="s">
        <x:v>52</x:v>
      </x:c>
      <x:c r="F162" s="6" t="s">
        <x:v>72</x:v>
      </x:c>
      <x:c r="G162" s="8">
        <x:v>0</x:v>
      </x:c>
      <x:c r="H162" s="7">
        <x:v>12</x:v>
      </x:c>
      <x:c r="I162" s="8">
        <x:v>15</x:v>
      </x:c>
      <x:c r="J162" s="7">
        <x:v>15</x:v>
      </x:c>
      <x:c r="K162" s="6" t="str">
        <x:f t="shared" ref="K162:K179" si="10">IF(H162&lt;=0,"MISSING","REVIEW")</x:f>
        <x:v>REVIEW</x:v>
      </x:c>
      <x:c r="L162" s="6" t="str">
        <x:f t="shared" ref="L162:L179" si="11">IF(OR(J162&lt;=0,J162&gt;100000),"CHECK","OK")</x:f>
        <x:v>OK</x:v>
      </x:c>
      <x:c r="M162" s="6" t="str">
        <x:f>IF('Product Review'!U167="","MISSING","FOUND")</x:f>
        <x:v>FOUND</x:v>
      </x:c>
      <x:c r="N162" s="6" t="s">
        <x:v>218</x:v>
      </x:c>
    </x:row>
    <x:row r="163" ht="15">
      <x:c r="A163" s="6" t="s">
        <x:v>429</x:v>
      </x:c>
      <x:c r="B163" s="9" t="str">
        <x:f>"TM8-COMP-6497"</x:f>
        <x:v>TM8-COMP-6497</x:v>
      </x:c>
      <x:c r="C163" s="6" t="s">
        <x:v>430</x:v>
      </x:c>
      <x:c r="D163" s="6" t="s">
        <x:v>136</x:v>
      </x:c>
      <x:c r="E163" s="6" t="s">
        <x:v>52</x:v>
      </x:c>
      <x:c r="F163" s="6" t="s">
        <x:v>58</x:v>
      </x:c>
      <x:c r="G163" s="8">
        <x:v>7.76</x:v>
      </x:c>
      <x:c r="H163" s="7">
        <x:v>7.76</x:v>
      </x:c>
      <x:c r="I163" s="8">
        <x:v>24.99</x:v>
      </x:c>
      <x:c r="J163" s="7">
        <x:v>24.99</x:v>
      </x:c>
      <x:c r="K163" s="6" t="str">
        <x:f t="shared" si="10"/>
        <x:v>REVIEW</x:v>
      </x:c>
      <x:c r="L163" s="6" t="str">
        <x:f t="shared" si="11"/>
        <x:v>OK</x:v>
      </x:c>
      <x:c r="M163" s="6" t="str">
        <x:f>IF('Product Review'!U168="","MISSING","FOUND")</x:f>
        <x:v>FOUND</x:v>
      </x:c>
      <x:c r="N163" s="6" t="s">
        <x:v>431</x:v>
      </x:c>
    </x:row>
    <x:row r="164" ht="15">
      <x:c r="A164" s="6" t="s">
        <x:v>432</x:v>
      </x:c>
      <x:c r="B164" s="9" t="str">
        <x:f>"6970344732575"</x:f>
        <x:v>6970344732575</x:v>
      </x:c>
      <x:c r="C164" s="6" t="s">
        <x:v>433</x:v>
      </x:c>
      <x:c r="D164" s="6" t="s">
        <x:v>136</x:v>
      </x:c>
      <x:c r="E164" s="6" t="s">
        <x:v>52</x:v>
      </x:c>
      <x:c r="F164" s="6" t="s">
        <x:v>58</x:v>
      </x:c>
      <x:c r="G164" s="8">
        <x:v>13.2</x:v>
      </x:c>
      <x:c r="H164" s="7">
        <x:v>13.2</x:v>
      </x:c>
      <x:c r="I164" s="8">
        <x:v>19.989999999999998</x:v>
      </x:c>
      <x:c r="J164" s="7">
        <x:v>19.989999999999998</x:v>
      </x:c>
      <x:c r="K164" s="6" t="str">
        <x:f t="shared" si="10"/>
        <x:v>REVIEW</x:v>
      </x:c>
      <x:c r="L164" s="6" t="str">
        <x:f t="shared" si="11"/>
        <x:v>OK</x:v>
      </x:c>
      <x:c r="M164" s="6" t="str">
        <x:f>IF('Product Review'!U169="","MISSING","FOUND")</x:f>
        <x:v>FOUND</x:v>
      </x:c>
      <x:c r="N164" s="6" t="s">
        <x:v>434</x:v>
      </x:c>
    </x:row>
    <x:row r="165" ht="15">
      <x:c r="A165" s="6" t="s">
        <x:v>435</x:v>
      </x:c>
      <x:c r="B165" s="9" t="str">
        <x:f>"6970344731691"</x:f>
        <x:v>6970344731691</x:v>
      </x:c>
      <x:c r="C165" s="6" t="s">
        <x:v>436</x:v>
      </x:c>
      <x:c r="D165" s="6" t="s">
        <x:v>37</x:v>
      </x:c>
      <x:c r="E165" s="6" t="s">
        <x:v>52</x:v>
      </x:c>
      <x:c r="F165" s="6" t="s">
        <x:v>58</x:v>
      </x:c>
      <x:c r="G165" s="8">
        <x:v>19.84</x:v>
      </x:c>
      <x:c r="H165" s="7">
        <x:v>19.84</x:v>
      </x:c>
      <x:c r="I165" s="8">
        <x:v>29.99</x:v>
      </x:c>
      <x:c r="J165" s="7">
        <x:v>29.99</x:v>
      </x:c>
      <x:c r="K165" s="6" t="str">
        <x:f t="shared" si="10"/>
        <x:v>REVIEW</x:v>
      </x:c>
      <x:c r="L165" s="6" t="str">
        <x:f t="shared" si="11"/>
        <x:v>OK</x:v>
      </x:c>
      <x:c r="M165" s="6" t="str">
        <x:f>IF('Product Review'!U170="","MISSING","FOUND")</x:f>
        <x:v>FOUND</x:v>
      </x:c>
      <x:c r="N165" s="6"/>
    </x:row>
    <x:row r="166" ht="15">
      <x:c r="A166" s="6" t="s">
        <x:v>437</x:v>
      </x:c>
      <x:c r="B166" s="9" t="str">
        <x:f>"6970344732520"</x:f>
        <x:v>6970344732520</x:v>
      </x:c>
      <x:c r="C166" s="6" t="s">
        <x:v>438</x:v>
      </x:c>
      <x:c r="D166" s="6" t="s">
        <x:v>136</x:v>
      </x:c>
      <x:c r="E166" s="6" t="s">
        <x:v>52</x:v>
      </x:c>
      <x:c r="F166" s="6" t="s">
        <x:v>58</x:v>
      </x:c>
      <x:c r="G166" s="8">
        <x:v>6.12</x:v>
      </x:c>
      <x:c r="H166" s="7">
        <x:v>6.12</x:v>
      </x:c>
      <x:c r="I166" s="8">
        <x:v>15.99</x:v>
      </x:c>
      <x:c r="J166" s="7">
        <x:v>15.99</x:v>
      </x:c>
      <x:c r="K166" s="6" t="str">
        <x:f t="shared" si="10"/>
        <x:v>REVIEW</x:v>
      </x:c>
      <x:c r="L166" s="6" t="str">
        <x:f t="shared" si="11"/>
        <x:v>OK</x:v>
      </x:c>
      <x:c r="M166" s="6" t="str">
        <x:f>IF('Product Review'!U171="","MISSING","FOUND")</x:f>
        <x:v>FOUND</x:v>
      </x:c>
      <x:c r="N166" s="6" t="s">
        <x:v>263</x:v>
      </x:c>
    </x:row>
    <x:row r="167" ht="15">
      <x:c r="A167" s="6" t="s">
        <x:v>439</x:v>
      </x:c>
      <x:c r="B167" s="9" t="str">
        <x:f>"6970344732209"</x:f>
        <x:v>6970344732209</x:v>
      </x:c>
      <x:c r="C167" s="6" t="s">
        <x:v>440</x:v>
      </x:c>
      <x:c r="D167" s="6" t="s">
        <x:v>136</x:v>
      </x:c>
      <x:c r="E167" s="6" t="s">
        <x:v>52</x:v>
      </x:c>
      <x:c r="F167" s="6" t="s">
        <x:v>58</x:v>
      </x:c>
      <x:c r="G167" s="8">
        <x:v>18.16</x:v>
      </x:c>
      <x:c r="H167" s="7">
        <x:v>18.16</x:v>
      </x:c>
      <x:c r="I167" s="8">
        <x:v>54.99</x:v>
      </x:c>
      <x:c r="J167" s="7">
        <x:v>54.99</x:v>
      </x:c>
      <x:c r="K167" s="6" t="str">
        <x:f t="shared" si="10"/>
        <x:v>REVIEW</x:v>
      </x:c>
      <x:c r="L167" s="6" t="str">
        <x:f t="shared" si="11"/>
        <x:v>OK</x:v>
      </x:c>
      <x:c r="M167" s="6" t="str">
        <x:f>IF('Product Review'!U172="","MISSING","FOUND")</x:f>
        <x:v>FOUND</x:v>
      </x:c>
      <x:c r="N167" s="6" t="s">
        <x:v>441</x:v>
      </x:c>
    </x:row>
    <x:row r="168" ht="15">
      <x:c r="A168" s="6" t="s">
        <x:v>442</x:v>
      </x:c>
      <x:c r="B168" s="9" t="str">
        <x:f>"6970344731974"</x:f>
        <x:v>6970344731974</x:v>
      </x:c>
      <x:c r="C168" s="6" t="s">
        <x:v>443</x:v>
      </x:c>
      <x:c r="D168" s="6" t="s">
        <x:v>136</x:v>
      </x:c>
      <x:c r="E168" s="6" t="s">
        <x:v>52</x:v>
      </x:c>
      <x:c r="F168" s="6" t="s">
        <x:v>58</x:v>
      </x:c>
      <x:c r="G168" s="8">
        <x:v>24.4</x:v>
      </x:c>
      <x:c r="H168" s="7">
        <x:v>24.4</x:v>
      </x:c>
      <x:c r="I168" s="8">
        <x:v>59.99</x:v>
      </x:c>
      <x:c r="J168" s="7">
        <x:v>59.99</x:v>
      </x:c>
      <x:c r="K168" s="6" t="str">
        <x:f t="shared" si="10"/>
        <x:v>REVIEW</x:v>
      </x:c>
      <x:c r="L168" s="6" t="str">
        <x:f t="shared" si="11"/>
        <x:v>OK</x:v>
      </x:c>
      <x:c r="M168" s="6" t="str">
        <x:f>IF('Product Review'!U173="","MISSING","FOUND")</x:f>
        <x:v>FOUND</x:v>
      </x:c>
      <x:c r="N168" s="6" t="s">
        <x:v>444</x:v>
      </x:c>
    </x:row>
    <x:row r="169" ht="15">
      <x:c r="A169" s="6" t="s">
        <x:v>445</x:v>
      </x:c>
      <x:c r="B169" s="9" t="str">
        <x:f>"6970344731295"</x:f>
        <x:v>6970344731295</x:v>
      </x:c>
      <x:c r="C169" s="6" t="s">
        <x:v>446</x:v>
      </x:c>
      <x:c r="D169" s="6" t="s">
        <x:v>136</x:v>
      </x:c>
      <x:c r="E169" s="6" t="s">
        <x:v>52</x:v>
      </x:c>
      <x:c r="F169" s="6" t="s">
        <x:v>58</x:v>
      </x:c>
      <x:c r="G169" s="8">
        <x:v>95.36</x:v>
      </x:c>
      <x:c r="H169" s="7">
        <x:v>95.36</x:v>
      </x:c>
      <x:c r="I169" s="8">
        <x:v>219</x:v>
      </x:c>
      <x:c r="J169" s="7">
        <x:v>219</x:v>
      </x:c>
      <x:c r="K169" s="6" t="str">
        <x:f t="shared" si="10"/>
        <x:v>REVIEW</x:v>
      </x:c>
      <x:c r="L169" s="6" t="str">
        <x:f t="shared" si="11"/>
        <x:v>OK</x:v>
      </x:c>
      <x:c r="M169" s="6" t="str">
        <x:f>IF('Product Review'!U174="","MISSING","FOUND")</x:f>
        <x:v>FOUND</x:v>
      </x:c>
      <x:c r="N169" s="6" t="s">
        <x:v>54</x:v>
      </x:c>
    </x:row>
    <x:row r="170" ht="15">
      <x:c r="A170" s="6" t="s">
        <x:v>447</x:v>
      </x:c>
      <x:c r="B170" s="9" t="str">
        <x:f>"6970344731561"</x:f>
        <x:v>6970344731561</x:v>
      </x:c>
      <x:c r="C170" s="6" t="s">
        <x:v>448</x:v>
      </x:c>
      <x:c r="D170" s="6" t="s">
        <x:v>136</x:v>
      </x:c>
      <x:c r="E170" s="6" t="s">
        <x:v>67</x:v>
      </x:c>
      <x:c r="F170" s="6" t="s">
        <x:v>91</x:v>
      </x:c>
      <x:c r="G170" s="8">
        <x:v>32.94</x:v>
      </x:c>
      <x:c r="H170" s="7">
        <x:v>32.94</x:v>
      </x:c>
      <x:c r="I170" s="8">
        <x:v>79.989999999999995</x:v>
      </x:c>
      <x:c r="J170" s="7">
        <x:v>79.989999999999995</x:v>
      </x:c>
      <x:c r="K170" s="6" t="str">
        <x:f t="shared" si="10"/>
        <x:v>REVIEW</x:v>
      </x:c>
      <x:c r="L170" s="6" t="str">
        <x:f t="shared" si="11"/>
        <x:v>OK</x:v>
      </x:c>
      <x:c r="M170" s="6" t="str">
        <x:f>IF('Product Review'!U175="","MISSING","FOUND")</x:f>
        <x:v>FOUND</x:v>
      </x:c>
      <x:c r="N170" s="6" t="s">
        <x:v>431</x:v>
      </x:c>
    </x:row>
    <x:row r="171" ht="15">
      <x:c r="A171" s="6" t="s">
        <x:v>449</x:v>
      </x:c>
      <x:c r="B171" s="9" t="str">
        <x:f>"6970344731363"</x:f>
        <x:v>6970344731363</x:v>
      </x:c>
      <x:c r="C171" s="6" t="s">
        <x:v>450</x:v>
      </x:c>
      <x:c r="D171" s="6" t="s">
        <x:v>136</x:v>
      </x:c>
      <x:c r="E171" s="6" t="s">
        <x:v>67</x:v>
      </x:c>
      <x:c r="F171" s="6" t="s">
        <x:v>91</x:v>
      </x:c>
      <x:c r="G171" s="8">
        <x:v>19.8</x:v>
      </x:c>
      <x:c r="H171" s="7">
        <x:v>19.8</x:v>
      </x:c>
      <x:c r="I171" s="8">
        <x:v>49.99</x:v>
      </x:c>
      <x:c r="J171" s="7">
        <x:v>49.99</x:v>
      </x:c>
      <x:c r="K171" s="6" t="str">
        <x:f t="shared" si="10"/>
        <x:v>REVIEW</x:v>
      </x:c>
      <x:c r="L171" s="6" t="str">
        <x:f t="shared" si="11"/>
        <x:v>OK</x:v>
      </x:c>
      <x:c r="M171" s="6" t="str">
        <x:f>IF('Product Review'!U176="","MISSING","FOUND")</x:f>
        <x:v>FOUND</x:v>
      </x:c>
      <x:c r="N171" s="6" t="s">
        <x:v>103</x:v>
      </x:c>
    </x:row>
    <x:row r="172" ht="15">
      <x:c r="A172" s="6" t="s">
        <x:v>451</x:v>
      </x:c>
      <x:c r="B172" s="9" t="str">
        <x:f>"328691755727"</x:f>
        <x:v>328691755727</x:v>
      </x:c>
      <x:c r="C172" s="6" t="s">
        <x:v>452</x:v>
      </x:c>
      <x:c r="D172" s="6" t="s">
        <x:v>37</x:v>
      </x:c>
      <x:c r="E172" s="6" t="s">
        <x:v>52</x:v>
      </x:c>
      <x:c r="F172" s="6" t="s">
        <x:v>453</x:v>
      </x:c>
      <x:c r="G172" s="8">
        <x:v>5</x:v>
      </x:c>
      <x:c r="H172" s="7">
        <x:v>5</x:v>
      </x:c>
      <x:c r="I172" s="8">
        <x:v>30</x:v>
      </x:c>
      <x:c r="J172" s="7">
        <x:v>30</x:v>
      </x:c>
      <x:c r="K172" s="6" t="str">
        <x:f t="shared" si="10"/>
        <x:v>REVIEW</x:v>
      </x:c>
      <x:c r="L172" s="6" t="str">
        <x:f t="shared" si="11"/>
        <x:v>OK</x:v>
      </x:c>
      <x:c r="M172" s="6" t="str">
        <x:f>IF('Product Review'!U177="","MISSING","FOUND")</x:f>
        <x:v>FOUND</x:v>
      </x:c>
      <x:c r="N172" s="6" t="s">
        <x:v>454</x:v>
      </x:c>
    </x:row>
    <x:row r="173" ht="15">
      <x:c r="A173" s="6" t="s">
        <x:v>455</x:v>
      </x:c>
      <x:c r="B173" s="9" t="str">
        <x:f>"550472159749"</x:f>
        <x:v>550472159749</x:v>
      </x:c>
      <x:c r="C173" s="6" t="s">
        <x:v>456</x:v>
      </x:c>
      <x:c r="D173" s="6" t="s">
        <x:v>37</x:v>
      </x:c>
      <x:c r="E173" s="6" t="s">
        <x:v>52</x:v>
      </x:c>
      <x:c r="F173" s="6" t="s">
        <x:v>453</x:v>
      </x:c>
      <x:c r="G173" s="8">
        <x:v>5</x:v>
      </x:c>
      <x:c r="H173" s="7">
        <x:v>5</x:v>
      </x:c>
      <x:c r="I173" s="8">
        <x:v>30</x:v>
      </x:c>
      <x:c r="J173" s="7">
        <x:v>30</x:v>
      </x:c>
      <x:c r="K173" s="6" t="str">
        <x:f t="shared" si="10"/>
        <x:v>REVIEW</x:v>
      </x:c>
      <x:c r="L173" s="6" t="str">
        <x:f t="shared" si="11"/>
        <x:v>OK</x:v>
      </x:c>
      <x:c r="M173" s="6" t="str">
        <x:f>IF('Product Review'!U178="","MISSING","FOUND")</x:f>
        <x:v>FOUND</x:v>
      </x:c>
      <x:c r="N173" s="6" t="s">
        <x:v>454</x:v>
      </x:c>
    </x:row>
    <x:row r="174" ht="15">
      <x:c r="A174" s="6" t="s">
        <x:v>457</x:v>
      </x:c>
      <x:c r="B174" s="9" t="str">
        <x:f>"914283473324"</x:f>
        <x:v>914283473324</x:v>
      </x:c>
      <x:c r="C174" s="6" t="s">
        <x:v>458</x:v>
      </x:c>
      <x:c r="D174" s="6" t="s">
        <x:v>37</x:v>
      </x:c>
      <x:c r="E174" s="6" t="s">
        <x:v>52</x:v>
      </x:c>
      <x:c r="F174" s="6" t="s">
        <x:v>453</x:v>
      </x:c>
      <x:c r="G174" s="8">
        <x:v>5</x:v>
      </x:c>
      <x:c r="H174" s="7">
        <x:v>5</x:v>
      </x:c>
      <x:c r="I174" s="8">
        <x:v>30</x:v>
      </x:c>
      <x:c r="J174" s="7">
        <x:v>30</x:v>
      </x:c>
      <x:c r="K174" s="6" t="str">
        <x:f t="shared" si="10"/>
        <x:v>REVIEW</x:v>
      </x:c>
      <x:c r="L174" s="6" t="str">
        <x:f t="shared" si="11"/>
        <x:v>OK</x:v>
      </x:c>
      <x:c r="M174" s="6" t="str">
        <x:f>IF('Product Review'!U179="","MISSING","FOUND")</x:f>
        <x:v>FOUND</x:v>
      </x:c>
      <x:c r="N174" s="6" t="s">
        <x:v>454</x:v>
      </x:c>
    </x:row>
    <x:row r="175" ht="15">
      <x:c r="A175" s="6" t="s">
        <x:v>459</x:v>
      </x:c>
      <x:c r="B175" s="9" t="str">
        <x:f>"173359217846"</x:f>
        <x:v>173359217846</x:v>
      </x:c>
      <x:c r="C175" s="6" t="s">
        <x:v>460</x:v>
      </x:c>
      <x:c r="D175" s="6" t="s">
        <x:v>37</x:v>
      </x:c>
      <x:c r="E175" s="6" t="s">
        <x:v>52</x:v>
      </x:c>
      <x:c r="F175" s="6" t="s">
        <x:v>453</x:v>
      </x:c>
      <x:c r="G175" s="8">
        <x:v>5</x:v>
      </x:c>
      <x:c r="H175" s="7">
        <x:v>5</x:v>
      </x:c>
      <x:c r="I175" s="8">
        <x:v>30</x:v>
      </x:c>
      <x:c r="J175" s="7">
        <x:v>30</x:v>
      </x:c>
      <x:c r="K175" s="6" t="str">
        <x:f t="shared" si="10"/>
        <x:v>REVIEW</x:v>
      </x:c>
      <x:c r="L175" s="6" t="str">
        <x:f t="shared" si="11"/>
        <x:v>OK</x:v>
      </x:c>
      <x:c r="M175" s="6" t="str">
        <x:f>IF('Product Review'!U180="","MISSING","FOUND")</x:f>
        <x:v>FOUND</x:v>
      </x:c>
      <x:c r="N175" s="6" t="s">
        <x:v>454</x:v>
      </x:c>
    </x:row>
    <x:row r="176" ht="29.25">
      <x:c r="A176" s="6" t="s">
        <x:v>461</x:v>
      </x:c>
      <x:c r="B176" s="9" t="str">
        <x:f>"320984572653"</x:f>
        <x:v>320984572653</x:v>
      </x:c>
      <x:c r="C176" s="6" t="s">
        <x:v>462</x:v>
      </x:c>
      <x:c r="D176" s="6" t="s">
        <x:v>37</x:v>
      </x:c>
      <x:c r="E176" s="6" t="s">
        <x:v>52</x:v>
      </x:c>
      <x:c r="F176" s="6" t="s">
        <x:v>453</x:v>
      </x:c>
      <x:c r="G176" s="8">
        <x:v>5</x:v>
      </x:c>
      <x:c r="H176" s="7">
        <x:v>5</x:v>
      </x:c>
      <x:c r="I176" s="8">
        <x:v>30</x:v>
      </x:c>
      <x:c r="J176" s="7">
        <x:v>30</x:v>
      </x:c>
      <x:c r="K176" s="6" t="str">
        <x:f t="shared" si="10"/>
        <x:v>REVIEW</x:v>
      </x:c>
      <x:c r="L176" s="6" t="str">
        <x:f t="shared" si="11"/>
        <x:v>OK</x:v>
      </x:c>
      <x:c r="M176" s="6" t="str">
        <x:f>IF('Product Review'!U181="","MISSING","FOUND")</x:f>
        <x:v>FOUND</x:v>
      </x:c>
      <x:c r="N176" s="6" t="s">
        <x:v>463</x:v>
      </x:c>
    </x:row>
    <x:row r="177" ht="29.25">
      <x:c r="A177" s="6" t="s">
        <x:v>464</x:v>
      </x:c>
      <x:c r="B177" s="9" t="str">
        <x:f>"022541446321"</x:f>
        <x:v>022541446321</x:v>
      </x:c>
      <x:c r="C177" s="6" t="s">
        <x:v>465</x:v>
      </x:c>
      <x:c r="D177" s="6" t="s">
        <x:v>37</x:v>
      </x:c>
      <x:c r="E177" s="6" t="s">
        <x:v>52</x:v>
      </x:c>
      <x:c r="F177" s="6" t="s">
        <x:v>453</x:v>
      </x:c>
      <x:c r="G177" s="8">
        <x:v>5</x:v>
      </x:c>
      <x:c r="H177" s="7">
        <x:v>5</x:v>
      </x:c>
      <x:c r="I177" s="8">
        <x:v>30</x:v>
      </x:c>
      <x:c r="J177" s="7">
        <x:v>30</x:v>
      </x:c>
      <x:c r="K177" s="6" t="str">
        <x:f t="shared" si="10"/>
        <x:v>REVIEW</x:v>
      </x:c>
      <x:c r="L177" s="6" t="str">
        <x:f t="shared" si="11"/>
        <x:v>OK</x:v>
      </x:c>
      <x:c r="M177" s="6" t="str">
        <x:f>IF('Product Review'!U182="","MISSING","FOUND")</x:f>
        <x:v>FOUND</x:v>
      </x:c>
      <x:c r="N177" s="6" t="s">
        <x:v>466</x:v>
      </x:c>
    </x:row>
    <x:row r="178" ht="43.5">
      <x:c r="A178" s="6" t="s">
        <x:v>467</x:v>
      </x:c>
      <x:c r="B178" s="9" t="str">
        <x:f>"504486006018"</x:f>
        <x:v>504486006018</x:v>
      </x:c>
      <x:c r="C178" s="6" t="s">
        <x:v>468</x:v>
      </x:c>
      <x:c r="D178" s="6" t="s">
        <x:v>37</x:v>
      </x:c>
      <x:c r="E178" s="6" t="s">
        <x:v>52</x:v>
      </x:c>
      <x:c r="F178" s="6" t="s">
        <x:v>453</x:v>
      </x:c>
      <x:c r="G178" s="8">
        <x:v>0</x:v>
      </x:c>
      <x:c r="H178" s="7">
        <x:v>5</x:v>
      </x:c>
      <x:c r="I178" s="8">
        <x:v>30</x:v>
      </x:c>
      <x:c r="J178" s="7">
        <x:v>30</x:v>
      </x:c>
      <x:c r="K178" s="6" t="str">
        <x:f t="shared" si="10"/>
        <x:v>REVIEW</x:v>
      </x:c>
      <x:c r="L178" s="6" t="str">
        <x:f t="shared" si="11"/>
        <x:v>OK</x:v>
      </x:c>
      <x:c r="M178" s="6" t="str">
        <x:f>IF('Product Review'!U183="","MISSING","FOUND")</x:f>
        <x:v>FOUND</x:v>
      </x:c>
      <x:c r="N178" s="6" t="s">
        <x:v>469</x:v>
      </x:c>
    </x:row>
    <x:row r="179" ht="29.25">
      <x:c r="A179" s="6" t="s">
        <x:v>470</x:v>
      </x:c>
      <x:c r="B179" s="9" t="str">
        <x:f>"651918577018"</x:f>
        <x:v>651918577018</x:v>
      </x:c>
      <x:c r="C179" s="6" t="s">
        <x:v>471</x:v>
      </x:c>
      <x:c r="D179" s="6" t="s">
        <x:v>37</x:v>
      </x:c>
      <x:c r="E179" s="6" t="s">
        <x:v>52</x:v>
      </x:c>
      <x:c r="F179" s="6" t="s">
        <x:v>453</x:v>
      </x:c>
      <x:c r="G179" s="8">
        <x:v>5</x:v>
      </x:c>
      <x:c r="H179" s="7">
        <x:v>5</x:v>
      </x:c>
      <x:c r="I179" s="8">
        <x:v>30</x:v>
      </x:c>
      <x:c r="J179" s="7">
        <x:v>30</x:v>
      </x:c>
      <x:c r="K179" s="6" t="str">
        <x:f t="shared" si="10"/>
        <x:v>REVIEW</x:v>
      </x:c>
      <x:c r="L179" s="6" t="str">
        <x:f t="shared" si="11"/>
        <x:v>OK</x:v>
      </x:c>
      <x:c r="M179" s="6" t="str">
        <x:f>IF('Product Review'!U184="","MISSING","FOUND")</x:f>
        <x:v>FOUND</x:v>
      </x:c>
      <x:c r="N179" s="6" t="s">
        <x:v>472</x:v>
      </x:c>
    </x:row>
  </x:sheetData>
  <x:conditionalFormatting sqref="K2:K179">
    <x:cfRule type="containsText" dxfId="8" priority="1" operator="containsText" text="MISSING"/>
  </x:conditionalFormatting>
  <x:conditionalFormatting sqref="L2:L179">
    <x:cfRule type="containsText" dxfId="7" priority="2" operator="containsText" text="CHECK"/>
  </x:conditionalFormatting>
  <x:conditionalFormatting sqref="M2:M179">
    <x:cfRule type="containsText" dxfId="6" priority="3" operator="containsText" text="MISSING"/>
  </x:conditionalFormatting>
  <x:pageMargins left="0.7" right="0.7" top="0.75" bottom="0.75" header="0.3" footer="0.3"/>
  <x:tableParts count="1">
    <x:tablePart xmlns:r="http://schemas.openxmlformats.org/officeDocument/2006/relationships" r:id="R91de0fa2b40448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4" width="18" customWidth="1"/>
    <x:col min="5" max="7" width="26" customWidth="1"/>
    <x:col min="8" max="9" width="38" customWidth="1"/>
    <x:col min="10" max="10" width="18" customWidth="1"/>
    <x:col min="11" max="13" width="24" customWidth="1"/>
    <x:col min="14" max="19" width="16" customWidth="1"/>
    <x:col min="20" max="20" width="20" customWidth="1"/>
    <x:col min="21" max="21" width="48" customWidth="1"/>
    <x:col min="22" max="25" width="18" customWidth="1"/>
    <x:col min="26" max="26" width="54" customWidth="1"/>
  </x:cols>
  <x:sheetData>
    <x:row r="1" ht="45">
      <x:c r="A1" s="5" t="s">
        <x:v>21</x:v>
      </x:c>
      <x:c r="B1" s="5" t="s">
        <x:v>473</x:v>
      </x:c>
      <x:c r="C1" s="5" t="s">
        <x:v>474</x:v>
      </x:c>
      <x:c r="D1" s="5" t="s">
        <x:v>475</x:v>
      </x:c>
      <x:c r="E1" s="5" t="s">
        <x:v>476</x:v>
      </x:c>
      <x:c r="F1" s="5" t="s">
        <x:v>25</x:v>
      </x:c>
      <x:c r="G1" s="5" t="s">
        <x:v>26</x:v>
      </x:c>
      <x:c r="H1" s="5" t="s">
        <x:v>477</x:v>
      </x:c>
      <x:c r="I1" s="5" t="s">
        <x:v>23</x:v>
      </x:c>
      <x:c r="J1" s="5" t="s">
        <x:v>24</x:v>
      </x:c>
      <x:c r="K1" s="5" t="s">
        <x:v>478</x:v>
      </x:c>
      <x:c r="L1" s="5" t="s">
        <x:v>22</x:v>
      </x:c>
      <x:c r="M1" s="5" t="s">
        <x:v>479</x:v>
      </x:c>
      <x:c r="N1" s="5" t="s">
        <x:v>27</x:v>
      </x:c>
      <x:c r="O1" s="5" t="s">
        <x:v>480</x:v>
      </x:c>
      <x:c r="P1" s="5" t="s">
        <x:v>31</x:v>
      </x:c>
      <x:c r="Q1" s="5" t="s">
        <x:v>29</x:v>
      </x:c>
      <x:c r="R1" s="5" t="s">
        <x:v>481</x:v>
      </x:c>
      <x:c r="S1" s="5" t="s">
        <x:v>32</x:v>
      </x:c>
      <x:c r="T1" s="5" t="s">
        <x:v>482</x:v>
      </x:c>
      <x:c r="U1" s="5" t="s">
        <x:v>483</x:v>
      </x:c>
      <x:c r="V1" s="5" t="s">
        <x:v>33</x:v>
      </x:c>
      <x:c r="W1" s="5" t="s">
        <x:v>484</x:v>
      </x:c>
      <x:c r="X1" s="5" t="s">
        <x:v>485</x:v>
      </x:c>
      <x:c r="Y1" s="5" t="s">
        <x:v>486</x:v>
      </x:c>
      <x:c r="Z1" s="5" t="s">
        <x:v>487</x:v>
      </x:c>
    </x:row>
    <x:row r="2" ht="29.25">
      <x:c r="A2" s="12" t="s">
        <x:v>35</x:v>
      </x:c>
      <x:c r="B2" s="6" t="str">
        <x:v>IMPORT</x:v>
      </x:c>
      <x:c r="C2" s="6"/>
      <x:c r="D2" s="6"/>
      <x:c r="E2" s="6" t="s">
        <x:v>488</x:v>
      </x:c>
      <x:c r="F2" s="6" t="s">
        <x:v>38</x:v>
      </x:c>
      <x:c r="G2" s="6" t="s">
        <x:v>39</x:v>
      </x:c>
      <x:c r="H2" s="6" t="s">
        <x:v>36</x:v>
      </x:c>
      <x:c r="I2" s="10" t="s">
        <x:v>36</x:v>
      </x:c>
      <x:c r="J2" s="10" t="s">
        <x:v>37</x:v>
      </x:c>
      <x:c r="K2" s="9" t="str">
        <x:f>"112700031780"</x:f>
        <x:v>112700031780</x:v>
      </x:c>
      <x:c r="L2" s="9" t="str">
        <x:f>"112700031780"</x:f>
        <x:v>112700031780</x:v>
      </x:c>
      <x:c r="M2" s="12" t="s">
        <x:v>489</x:v>
      </x:c>
      <x:c r="N2" s="8">
        <x:v>9</x:v>
      </x:c>
      <x:c r="O2" s="11" t="n">
        <x:f>IF(B2="KEEP EXISTING",N2,'Cost Review'!H2)</x:f>
        <x:v>9</x:v>
      </x:c>
      <x:c r="P2" s="8" t="str">
        <x:f t="shared" ref="P2:P33" si="0">IF(B2="EXCLUDE","Excluded",IF(B2="REVIEW MATCH","Review match",IF(B2="KEEP EXISTING","Existing",IF(O2&lt;=0,"MISSING","REVIEW"))))</x:f>
        <x:v>REVIEW</x:v>
      </x:c>
      <x:c r="Q2" s="8">
        <x:v>49.95</x:v>
      </x:c>
      <x:c r="R2" s="11" t="n">
        <x:f>IF(B2="KEEP EXISTING",Q2,'Cost Review'!J2)</x:f>
        <x:v>49.95</x:v>
      </x:c>
      <x:c r="S2" s="6" t="str">
        <x:f t="shared" ref="S2:S33" si="1">IF(B2="EXCLUDE","Excluded",IF(B2="REVIEW MATCH","Review match",IF(B2="KEEP EXISTING","Existing",IF(OR(R2&lt;=0,R2&gt;100000),"CHECK","OK"))))</x:f>
        <x:v>OK</x:v>
      </x:c>
      <x:c r="T2" s="9" t="str">
        <x:f>"112700031780"</x:f>
        <x:v>112700031780</x:v>
      </x:c>
      <x:c r="U2" s="10" t="s">
        <x:v>490</x:v>
      </x:c>
      <x:c r="V2" s="6" t="str">
        <x:f t="shared" ref="V2:V33" si="2">IF(B2="EXCLUDE","Excluded",IF(B2="REVIEW MATCH","Review match",IF(B2="KEEP EXISTING","Existing",IF(U2="","MISSING","FOUND"))))</x:f>
        <x:v>FOUND</x:v>
      </x:c>
      <x:c r="W2" s="9">
        <x:v>10</x:v>
      </x:c>
      <x:c r="X2" s="9">
        <x:v>0</x:v>
      </x:c>
      <x:c r="Y2" s="6" t="str">
        <x:f>IF(B2="EXCLUDE","Excluded by user",IF(B2="REVIEW MATCH","Review current POS match",IF(B2="KEEP EXISTING","Already in POS",IF(O2&lt;=0,"Blocked: cost",IF(OR(R2&lt;=0,R2&gt;100000),"Blocked: retail",IF(U2="","Blocked: image",IF('Summary'!$B$3="APPROVED","READY","Pending approval")))))))</x:f>
        <x:v>Pending approval</x:v>
      </x:c>
      <x:c r="Z2" s="6" t="str">
        <x:v>Source stock 10 is reference only; POS starts at 0.</x:v>
      </x:c>
    </x:row>
    <x:row r="3" ht="29.25">
      <x:c r="A3" s="12" t="s">
        <x:v>41</x:v>
      </x:c>
      <x:c r="B3" s="6" t="str">
        <x:v>IMPORT</x:v>
      </x:c>
      <x:c r="C3" s="6"/>
      <x:c r="D3" s="6"/>
      <x:c r="E3" s="6" t="s">
        <x:v>488</x:v>
      </x:c>
      <x:c r="F3" s="6" t="s">
        <x:v>38</x:v>
      </x:c>
      <x:c r="G3" s="6" t="s">
        <x:v>39</x:v>
      </x:c>
      <x:c r="H3" s="6" t="s">
        <x:v>42</x:v>
      </x:c>
      <x:c r="I3" s="10" t="s">
        <x:v>42</x:v>
      </x:c>
      <x:c r="J3" s="10" t="s">
        <x:v>37</x:v>
      </x:c>
      <x:c r="K3" s="9" t="str">
        <x:f>"112690031778"</x:f>
        <x:v>112690031778</x:v>
      </x:c>
      <x:c r="L3" s="9" t="str">
        <x:f>"112690031778"</x:f>
        <x:v>112690031778</x:v>
      </x:c>
      <x:c r="M3" s="12" t="s">
        <x:v>489</x:v>
      </x:c>
      <x:c r="N3" s="8">
        <x:v>4.5</x:v>
      </x:c>
      <x:c r="O3" s="11" t="n">
        <x:f>IF(B3="KEEP EXISTING",N3,'Cost Review'!H3)</x:f>
        <x:v>4.5</x:v>
      </x:c>
      <x:c r="P3" s="8" t="str">
        <x:f t="shared" si="0">IF(B3="EXCLUDE","Excluded",IF(B3="REVIEW MATCH","Review match",IF(B3="KEEP EXISTING","Existing",IF(O3&lt;=0,"MISSING","REVIEW"))))</x:f>
        <x:v>REVIEW</x:v>
      </x:c>
      <x:c r="Q3" s="8">
        <x:v>29.95</x:v>
      </x:c>
      <x:c r="R3" s="11" t="n">
        <x:f>IF(B3="KEEP EXISTING",Q3,'Cost Review'!J3)</x:f>
        <x:v>29.95</x:v>
      </x:c>
      <x:c r="S3" s="6" t="str">
        <x:f t="shared" si="1">IF(B3="EXCLUDE","Excluded",IF(B3="REVIEW MATCH","Review match",IF(B3="KEEP EXISTING","Existing",IF(OR(R3&lt;=0,R3&gt;100000),"CHECK","OK"))))</x:f>
        <x:v>OK</x:v>
      </x:c>
      <x:c r="T3" s="9" t="str">
        <x:f>"112690031778"</x:f>
        <x:v>112690031778</x:v>
      </x:c>
      <x:c r="U3" s="10" t="s">
        <x:v>491</x:v>
      </x:c>
      <x:c r="V3" s="6" t="str">
        <x:f t="shared" si="2">IF(B3="EXCLUDE","Excluded",IF(B3="REVIEW MATCH","Review match",IF(B3="KEEP EXISTING","Existing",IF(U3="","MISSING","FOUND"))))</x:f>
        <x:v>FOUND</x:v>
      </x:c>
      <x:c r="W3" s="9">
        <x:v>4</x:v>
      </x:c>
      <x:c r="X3" s="9">
        <x:v>0</x:v>
      </x:c>
      <x:c r="Y3" s="6" t="str">
        <x:f>IF(B3="EXCLUDE","Excluded by user",IF(B3="REVIEW MATCH","Review current POS match",IF(B3="KEEP EXISTING","Already in POS",IF(O3&lt;=0,"Blocked: cost",IF(OR(R3&lt;=0,R3&gt;100000),"Blocked: retail",IF(U3="","Blocked: image",IF('Summary'!$B$3="APPROVED","READY","Pending approval")))))))</x:f>
        <x:v>Pending approval</x:v>
      </x:c>
      <x:c r="Z3" s="6" t="str">
        <x:v>Source stock 4 is reference only; POS starts at 0.</x:v>
      </x:c>
    </x:row>
    <x:row r="4" ht="29.25">
      <x:c r="A4" s="12" t="s">
        <x:v>44</x:v>
      </x:c>
      <x:c r="B4" s="6" t="str">
        <x:v>IMPORT</x:v>
      </x:c>
      <x:c r="C4" s="6"/>
      <x:c r="D4" s="6"/>
      <x:c r="E4" s="6" t="s">
        <x:v>488</x:v>
      </x:c>
      <x:c r="F4" s="6" t="s">
        <x:v>38</x:v>
      </x:c>
      <x:c r="G4" s="6" t="s">
        <x:v>39</x:v>
      </x:c>
      <x:c r="H4" s="6" t="s">
        <x:v>45</x:v>
      </x:c>
      <x:c r="I4" s="10" t="s">
        <x:v>45</x:v>
      </x:c>
      <x:c r="J4" s="10" t="s">
        <x:v>37</x:v>
      </x:c>
      <x:c r="K4" s="9" t="str">
        <x:f>"112680031777"</x:f>
        <x:v>112680031777</x:v>
      </x:c>
      <x:c r="L4" s="9" t="str">
        <x:f>"112680031777"</x:f>
        <x:v>112680031777</x:v>
      </x:c>
      <x:c r="M4" s="12" t="s">
        <x:v>489</x:v>
      </x:c>
      <x:c r="N4" s="8">
        <x:v>5.5</x:v>
      </x:c>
      <x:c r="O4" s="11" t="n">
        <x:f>IF(B4="KEEP EXISTING",N4,'Cost Review'!H4)</x:f>
        <x:v>5.5</x:v>
      </x:c>
      <x:c r="P4" s="8" t="str">
        <x:f t="shared" si="0">IF(B4="EXCLUDE","Excluded",IF(B4="REVIEW MATCH","Review match",IF(B4="KEEP EXISTING","Existing",IF(O4&lt;=0,"MISSING","REVIEW"))))</x:f>
        <x:v>REVIEW</x:v>
      </x:c>
      <x:c r="Q4" s="8">
        <x:v>39.99</x:v>
      </x:c>
      <x:c r="R4" s="11" t="n">
        <x:f>IF(B4="KEEP EXISTING",Q4,'Cost Review'!J4)</x:f>
        <x:v>39.99</x:v>
      </x:c>
      <x:c r="S4" s="6" t="str">
        <x:f t="shared" si="1">IF(B4="EXCLUDE","Excluded",IF(B4="REVIEW MATCH","Review match",IF(B4="KEEP EXISTING","Existing",IF(OR(R4&lt;=0,R4&gt;100000),"CHECK","OK"))))</x:f>
        <x:v>OK</x:v>
      </x:c>
      <x:c r="T4" s="9" t="str">
        <x:f>"112680031777"</x:f>
        <x:v>112680031777</x:v>
      </x:c>
      <x:c r="U4" s="10" t="s">
        <x:v>492</x:v>
      </x:c>
      <x:c r="V4" s="6" t="str">
        <x:f t="shared" si="2">IF(B4="EXCLUDE","Excluded",IF(B4="REVIEW MATCH","Review match",IF(B4="KEEP EXISTING","Existing",IF(U4="","MISSING","FOUND"))))</x:f>
        <x:v>FOUND</x:v>
      </x:c>
      <x:c r="W4" s="9">
        <x:v>10</x:v>
      </x:c>
      <x:c r="X4" s="9">
        <x:v>0</x:v>
      </x:c>
      <x:c r="Y4" s="6" t="str">
        <x:f>IF(B4="EXCLUDE","Excluded by user",IF(B4="REVIEW MATCH","Review current POS match",IF(B4="KEEP EXISTING","Already in POS",IF(O4&lt;=0,"Blocked: cost",IF(OR(R4&lt;=0,R4&gt;100000),"Blocked: retail",IF(U4="","Blocked: image",IF('Summary'!$B$3="APPROVED","READY","Pending approval")))))))</x:f>
        <x:v>Pending approval</x:v>
      </x:c>
      <x:c r="Z4" s="6" t="str">
        <x:v>Source stock 10 is reference only; POS starts at 0.</x:v>
      </x:c>
    </x:row>
    <x:row r="5" ht="29.25">
      <x:c r="A5" s="12" t="s">
        <x:v>46</x:v>
      </x:c>
      <x:c r="B5" s="6" t="str">
        <x:v>IMPORT</x:v>
      </x:c>
      <x:c r="C5" s="6"/>
      <x:c r="D5" s="6"/>
      <x:c r="E5" s="6" t="s">
        <x:v>488</x:v>
      </x:c>
      <x:c r="F5" s="6" t="s">
        <x:v>38</x:v>
      </x:c>
      <x:c r="G5" s="6" t="s">
        <x:v>39</x:v>
      </x:c>
      <x:c r="H5" s="6" t="s">
        <x:v>47</x:v>
      </x:c>
      <x:c r="I5" s="10" t="s">
        <x:v>47</x:v>
      </x:c>
      <x:c r="J5" s="10" t="s">
        <x:v>37</x:v>
      </x:c>
      <x:c r="K5" s="9" t="str">
        <x:f>"112670031775"</x:f>
        <x:v>112670031775</x:v>
      </x:c>
      <x:c r="L5" s="9" t="str">
        <x:f>"112670031775"</x:f>
        <x:v>112670031775</x:v>
      </x:c>
      <x:c r="M5" s="12" t="s">
        <x:v>489</x:v>
      </x:c>
      <x:c r="N5" s="8">
        <x:v>4</x:v>
      </x:c>
      <x:c r="O5" s="11" t="n">
        <x:f>IF(B5="KEEP EXISTING",N5,'Cost Review'!H5)</x:f>
        <x:v>4</x:v>
      </x:c>
      <x:c r="P5" s="8" t="str">
        <x:f t="shared" si="0">IF(B5="EXCLUDE","Excluded",IF(B5="REVIEW MATCH","Review match",IF(B5="KEEP EXISTING","Existing",IF(O5&lt;=0,"MISSING","REVIEW"))))</x:f>
        <x:v>REVIEW</x:v>
      </x:c>
      <x:c r="Q5" s="8">
        <x:v>32.99</x:v>
      </x:c>
      <x:c r="R5" s="11" t="n">
        <x:f>IF(B5="KEEP EXISTING",Q5,'Cost Review'!J5)</x:f>
        <x:v>32.99</x:v>
      </x:c>
      <x:c r="S5" s="6" t="str">
        <x:f t="shared" si="1">IF(B5="EXCLUDE","Excluded",IF(B5="REVIEW MATCH","Review match",IF(B5="KEEP EXISTING","Existing",IF(OR(R5&lt;=0,R5&gt;100000),"CHECK","OK"))))</x:f>
        <x:v>OK</x:v>
      </x:c>
      <x:c r="T5" s="9" t="str">
        <x:f>"112670031775"</x:f>
        <x:v>112670031775</x:v>
      </x:c>
      <x:c r="U5" s="10" t="s">
        <x:v>493</x:v>
      </x:c>
      <x:c r="V5" s="6" t="str">
        <x:f t="shared" si="2">IF(B5="EXCLUDE","Excluded",IF(B5="REVIEW MATCH","Review match",IF(B5="KEEP EXISTING","Existing",IF(U5="","MISSING","FOUND"))))</x:f>
        <x:v>FOUND</x:v>
      </x:c>
      <x:c r="W5" s="9">
        <x:v>10</x:v>
      </x:c>
      <x:c r="X5" s="9">
        <x:v>0</x:v>
      </x:c>
      <x:c r="Y5" s="6" t="str">
        <x:f>IF(B5="EXCLUDE","Excluded by user",IF(B5="REVIEW MATCH","Review current POS match",IF(B5="KEEP EXISTING","Already in POS",IF(O5&lt;=0,"Blocked: cost",IF(OR(R5&lt;=0,R5&gt;100000),"Blocked: retail",IF(U5="","Blocked: image",IF('Summary'!$B$3="APPROVED","READY","Pending approval")))))))</x:f>
        <x:v>Pending approval</x:v>
      </x:c>
      <x:c r="Z5" s="6" t="str">
        <x:v>Source stock 10 is reference only; POS starts at 0.</x:v>
      </x:c>
    </x:row>
    <x:row r="6" ht="29.25">
      <x:c r="A6" s="12" t="s">
        <x:v>48</x:v>
      </x:c>
      <x:c r="B6" s="6" t="str">
        <x:v>IMPORT</x:v>
      </x:c>
      <x:c r="C6" s="6"/>
      <x:c r="D6" s="6"/>
      <x:c r="E6" s="6" t="s">
        <x:v>488</x:v>
      </x:c>
      <x:c r="F6" s="6" t="s">
        <x:v>38</x:v>
      </x:c>
      <x:c r="G6" s="6" t="s">
        <x:v>39</x:v>
      </x:c>
      <x:c r="H6" s="6" t="s">
        <x:v>49</x:v>
      </x:c>
      <x:c r="I6" s="10" t="s">
        <x:v>49</x:v>
      </x:c>
      <x:c r="J6" s="10" t="s">
        <x:v>37</x:v>
      </x:c>
      <x:c r="K6" s="9" t="str">
        <x:f>"112660031773"</x:f>
        <x:v>112660031773</x:v>
      </x:c>
      <x:c r="L6" s="9" t="str">
        <x:f>"112660031773"</x:f>
        <x:v>112660031773</x:v>
      </x:c>
      <x:c r="M6" s="12" t="s">
        <x:v>489</x:v>
      </x:c>
      <x:c r="N6" s="8">
        <x:v>2.2000000000000002</x:v>
      </x:c>
      <x:c r="O6" s="11" t="n">
        <x:f>IF(B6="KEEP EXISTING",N6,'Cost Review'!H6)</x:f>
        <x:v>2.2</x:v>
      </x:c>
      <x:c r="P6" s="8" t="str">
        <x:f t="shared" si="0">IF(B6="EXCLUDE","Excluded",IF(B6="REVIEW MATCH","Review match",IF(B6="KEEP EXISTING","Existing",IF(O6&lt;=0,"MISSING","REVIEW"))))</x:f>
        <x:v>REVIEW</x:v>
      </x:c>
      <x:c r="Q6" s="8">
        <x:v>29.99</x:v>
      </x:c>
      <x:c r="R6" s="11" t="n">
        <x:f>IF(B6="KEEP EXISTING",Q6,'Cost Review'!J6)</x:f>
        <x:v>29.99</x:v>
      </x:c>
      <x:c r="S6" s="6" t="str">
        <x:f t="shared" si="1">IF(B6="EXCLUDE","Excluded",IF(B6="REVIEW MATCH","Review match",IF(B6="KEEP EXISTING","Existing",IF(OR(R6&lt;=0,R6&gt;100000),"CHECK","OK"))))</x:f>
        <x:v>OK</x:v>
      </x:c>
      <x:c r="T6" s="9" t="str">
        <x:f>"112660031773"</x:f>
        <x:v>112660031773</x:v>
      </x:c>
      <x:c r="U6" s="10" t="s">
        <x:v>494</x:v>
      </x:c>
      <x:c r="V6" s="6" t="str">
        <x:f t="shared" si="2">IF(B6="EXCLUDE","Excluded",IF(B6="REVIEW MATCH","Review match",IF(B6="KEEP EXISTING","Existing",IF(U6="","MISSING","FOUND"))))</x:f>
        <x:v>FOUND</x:v>
      </x:c>
      <x:c r="W6" s="9">
        <x:v>10</x:v>
      </x:c>
      <x:c r="X6" s="9">
        <x:v>0</x:v>
      </x:c>
      <x:c r="Y6" s="6" t="str">
        <x:f>IF(B6="EXCLUDE","Excluded by user",IF(B6="REVIEW MATCH","Review current POS match",IF(B6="KEEP EXISTING","Already in POS",IF(O6&lt;=0,"Blocked: cost",IF(OR(R6&lt;=0,R6&gt;100000),"Blocked: retail",IF(U6="","Blocked: image",IF('Summary'!$B$3="APPROVED","READY","Pending approval")))))))</x:f>
        <x:v>Pending approval</x:v>
      </x:c>
      <x:c r="Z6" s="6" t="str">
        <x:v>Source stock 10 is reference only; POS starts at 0.</x:v>
      </x:c>
    </x:row>
    <x:row r="7" ht="29.25">
      <x:c r="A7" s="12" t="s">
        <x:v>50</x:v>
      </x:c>
      <x:c r="B7" s="6" t="str">
        <x:v>IMPORT</x:v>
      </x:c>
      <x:c r="C7" s="6"/>
      <x:c r="D7" s="6"/>
      <x:c r="E7" s="6" t="s">
        <x:v>495</x:v>
      </x:c>
      <x:c r="F7" s="6" t="s">
        <x:v>52</x:v>
      </x:c>
      <x:c r="G7" s="6" t="s">
        <x:v>53</x:v>
      </x:c>
      <x:c r="H7" s="6" t="s">
        <x:v>51</x:v>
      </x:c>
      <x:c r="I7" s="10" t="s">
        <x:v>51</x:v>
      </x:c>
      <x:c r="J7" s="10" t="s">
        <x:v>37</x:v>
      </x:c>
      <x:c r="K7" s="9" t="str">
        <x:f>"110731644"</x:f>
        <x:v>110731644</x:v>
      </x:c>
      <x:c r="L7" s="9" t="str">
        <x:f>"110731644"</x:f>
        <x:v>110731644</x:v>
      </x:c>
      <x:c r="M7" s="12" t="s">
        <x:v>489</x:v>
      </x:c>
      <x:c r="N7" s="8">
        <x:v>8</x:v>
      </x:c>
      <x:c r="O7" s="11" t="n">
        <x:f>IF(B7="KEEP EXISTING",N7,'Cost Review'!H7)</x:f>
        <x:v>8</x:v>
      </x:c>
      <x:c r="P7" s="8" t="str">
        <x:f t="shared" si="0">IF(B7="EXCLUDE","Excluded",IF(B7="REVIEW MATCH","Review match",IF(B7="KEEP EXISTING","Existing",IF(O7&lt;=0,"MISSING","REVIEW"))))</x:f>
        <x:v>REVIEW</x:v>
      </x:c>
      <x:c r="Q7" s="8">
        <x:v>45</x:v>
      </x:c>
      <x:c r="R7" s="11" t="n">
        <x:f>IF(B7="KEEP EXISTING",Q7,'Cost Review'!J7)</x:f>
        <x:v>45</x:v>
      </x:c>
      <x:c r="S7" s="6" t="str">
        <x:f t="shared" si="1">IF(B7="EXCLUDE","Excluded",IF(B7="REVIEW MATCH","Review match",IF(B7="KEEP EXISTING","Existing",IF(OR(R7&lt;=0,R7&gt;100000),"CHECK","OK"))))</x:f>
        <x:v>OK</x:v>
      </x:c>
      <x:c r="T7" s="9" t="str">
        <x:f>"110731644"</x:f>
        <x:v>110731644</x:v>
      </x:c>
      <x:c r="U7" s="10" t="s">
        <x:v>496</x:v>
      </x:c>
      <x:c r="V7" s="6" t="str">
        <x:f t="shared" si="2">IF(B7="EXCLUDE","Excluded",IF(B7="REVIEW MATCH","Review match",IF(B7="KEEP EXISTING","Existing",IF(U7="","MISSING","FOUND"))))</x:f>
        <x:v>FOUND</x:v>
      </x:c>
      <x:c r="W7" s="9">
        <x:v>2</x:v>
      </x:c>
      <x:c r="X7" s="9">
        <x:v>0</x:v>
      </x:c>
      <x:c r="Y7" s="6" t="str">
        <x:f>IF(B7="EXCLUDE","Excluded by user",IF(B7="REVIEW MATCH","Review current POS match",IF(B7="KEEP EXISTING","Already in POS",IF(O7&lt;=0,"Blocked: cost",IF(OR(R7&lt;=0,R7&gt;100000),"Blocked: retail",IF(U7="","Blocked: image",IF('Summary'!$B$3="APPROVED","READY","Pending approval")))))))</x:f>
        <x:v>Pending approval</x:v>
      </x:c>
      <x:c r="Z7" s="6" t="str">
        <x:v>Source stock 2 is reference only; POS starts at 0.</x:v>
      </x:c>
    </x:row>
    <x:row r="8" ht="29.25">
      <x:c r="A8" s="12" t="s">
        <x:v>55</x:v>
      </x:c>
      <x:c r="B8" s="6" t="str">
        <x:v>IMPORT</x:v>
      </x:c>
      <x:c r="C8" s="6"/>
      <x:c r="D8" s="6"/>
      <x:c r="E8" s="6" t="s">
        <x:v>497</x:v>
      </x:c>
      <x:c r="F8" s="6" t="s">
        <x:v>52</x:v>
      </x:c>
      <x:c r="G8" s="6" t="s">
        <x:v>58</x:v>
      </x:c>
      <x:c r="H8" s="6" t="s">
        <x:v>56</x:v>
      </x:c>
      <x:c r="I8" s="10" t="s">
        <x:v>56</x:v>
      </x:c>
      <x:c r="J8" s="10" t="s">
        <x:v>57</x:v>
      </x:c>
      <x:c r="K8" s="9" t="str">
        <x:f>"110661636"</x:f>
        <x:v>110661636</x:v>
      </x:c>
      <x:c r="L8" s="9" t="str">
        <x:f>"110661636"</x:f>
        <x:v>110661636</x:v>
      </x:c>
      <x:c r="M8" s="12" t="s">
        <x:v>489</x:v>
      </x:c>
      <x:c r="N8" s="8">
        <x:v>13</x:v>
      </x:c>
      <x:c r="O8" s="11" t="n">
        <x:f>IF(B8="KEEP EXISTING",N8,'Cost Review'!H8)</x:f>
        <x:v>13</x:v>
      </x:c>
      <x:c r="P8" s="8" t="str">
        <x:f t="shared" si="0">IF(B8="EXCLUDE","Excluded",IF(B8="REVIEW MATCH","Review match",IF(B8="KEEP EXISTING","Existing",IF(O8&lt;=0,"MISSING","REVIEW"))))</x:f>
        <x:v>REVIEW</x:v>
      </x:c>
      <x:c r="Q8" s="8">
        <x:v>99</x:v>
      </x:c>
      <x:c r="R8" s="11" t="n">
        <x:f>IF(B8="KEEP EXISTING",Q8,'Cost Review'!J8)</x:f>
        <x:v>99</x:v>
      </x:c>
      <x:c r="S8" s="6" t="str">
        <x:f t="shared" si="1">IF(B8="EXCLUDE","Excluded",IF(B8="REVIEW MATCH","Review match",IF(B8="KEEP EXISTING","Existing",IF(OR(R8&lt;=0,R8&gt;100000),"CHECK","OK"))))</x:f>
        <x:v>OK</x:v>
      </x:c>
      <x:c r="T8" s="9" t="str">
        <x:f>"6971252211657"</x:f>
        <x:v>6971252211657</x:v>
      </x:c>
      <x:c r="U8" s="10" t="s">
        <x:v>498</x:v>
      </x:c>
      <x:c r="V8" s="6" t="str">
        <x:f t="shared" si="2">IF(B8="EXCLUDE","Excluded",IF(B8="REVIEW MATCH","Review match",IF(B8="KEEP EXISTING","Existing",IF(U8="","MISSING","FOUND"))))</x:f>
        <x:v>FOUND</x:v>
      </x:c>
      <x:c r="W8" s="9">
        <x:v>16</x:v>
      </x:c>
      <x:c r="X8" s="9">
        <x:v>0</x:v>
      </x:c>
      <x:c r="Y8" s="6" t="str">
        <x:f>IF(B8="EXCLUDE","Excluded by user",IF(B8="REVIEW MATCH","Review current POS match",IF(B8="KEEP EXISTING","Already in POS",IF(O8&lt;=0,"Blocked: cost",IF(OR(R8&lt;=0,R8&gt;100000),"Blocked: retail",IF(U8="","Blocked: image",IF('Summary'!$B$3="APPROVED","READY","Pending approval")))))))</x:f>
        <x:v>Pending approval</x:v>
      </x:c>
      <x:c r="Z8" s="6" t="str">
        <x:v>Source stock 16 is reference only; POS starts at 0.</x:v>
      </x:c>
    </x:row>
    <x:row r="9" ht="29.25">
      <x:c r="A9" s="12" t="s">
        <x:v>60</x:v>
      </x:c>
      <x:c r="B9" s="6" t="str">
        <x:v>IMPORT</x:v>
      </x:c>
      <x:c r="C9" s="6"/>
      <x:c r="D9" s="6"/>
      <x:c r="E9" s="6" t="s">
        <x:v>499</x:v>
      </x:c>
      <x:c r="F9" s="6" t="s">
        <x:v>52</x:v>
      </x:c>
      <x:c r="G9" s="6" t="s">
        <x:v>63</x:v>
      </x:c>
      <x:c r="H9" s="6" t="s">
        <x:v>61</x:v>
      </x:c>
      <x:c r="I9" s="10" t="s">
        <x:v>61</x:v>
      </x:c>
      <x:c r="J9" s="10" t="s">
        <x:v>62</x:v>
      </x:c>
      <x:c r="K9" s="9" t="str">
        <x:f>"110651635"</x:f>
        <x:v>110651635</x:v>
      </x:c>
      <x:c r="L9" s="9" t="str">
        <x:f>"110651635"</x:f>
        <x:v>110651635</x:v>
      </x:c>
      <x:c r="M9" s="12" t="s">
        <x:v>489</x:v>
      </x:c>
      <x:c r="N9" s="8">
        <x:v>3</x:v>
      </x:c>
      <x:c r="O9" s="11" t="n">
        <x:f>IF(B9="KEEP EXISTING",N9,'Cost Review'!H9)</x:f>
        <x:v>3</x:v>
      </x:c>
      <x:c r="P9" s="8" t="str">
        <x:f t="shared" si="0">IF(B9="EXCLUDE","Excluded",IF(B9="REVIEW MATCH","Review match",IF(B9="KEEP EXISTING","Existing",IF(O9&lt;=0,"MISSING","REVIEW"))))</x:f>
        <x:v>REVIEW</x:v>
      </x:c>
      <x:c r="Q9" s="8">
        <x:v>29.95</x:v>
      </x:c>
      <x:c r="R9" s="11" t="n">
        <x:f>IF(B9="KEEP EXISTING",Q9,'Cost Review'!J9)</x:f>
        <x:v>29.95</x:v>
      </x:c>
      <x:c r="S9" s="6" t="str">
        <x:f t="shared" si="1">IF(B9="EXCLUDE","Excluded",IF(B9="REVIEW MATCH","Review match",IF(B9="KEEP EXISTING","Existing",IF(OR(R9&lt;=0,R9&gt;100000),"CHECK","OK"))))</x:f>
        <x:v>OK</x:v>
      </x:c>
      <x:c r="T9" s="9" t="str">
        <x:f>"6973687247058"</x:f>
        <x:v>6973687247058</x:v>
      </x:c>
      <x:c r="U9" s="10" t="s">
        <x:v>500</x:v>
      </x:c>
      <x:c r="V9" s="6" t="str">
        <x:f t="shared" si="2">IF(B9="EXCLUDE","Excluded",IF(B9="REVIEW MATCH","Review match",IF(B9="KEEP EXISTING","Existing",IF(U9="","MISSING","FOUND"))))</x:f>
        <x:v>FOUND</x:v>
      </x:c>
      <x:c r="W9" s="9">
        <x:v>5</x:v>
      </x:c>
      <x:c r="X9" s="9">
        <x:v>0</x:v>
      </x:c>
      <x:c r="Y9" s="6" t="str">
        <x:f>IF(B9="EXCLUDE","Excluded by user",IF(B9="REVIEW MATCH","Review current POS match",IF(B9="KEEP EXISTING","Already in POS",IF(O9&lt;=0,"Blocked: cost",IF(OR(R9&lt;=0,R9&gt;100000),"Blocked: retail",IF(U9="","Blocked: image",IF('Summary'!$B$3="APPROVED","READY","Pending approval")))))))</x:f>
        <x:v>Pending approval</x:v>
      </x:c>
      <x:c r="Z9" s="6" t="str">
        <x:v>Source stock 5 is reference only; POS starts at 0.</x:v>
      </x:c>
    </x:row>
    <x:row r="10" ht="29.25">
      <x:c r="A10" s="12" t="s">
        <x:v>65</x:v>
      </x:c>
      <x:c r="B10" s="6" t="str">
        <x:v>IMPORT</x:v>
      </x:c>
      <x:c r="C10" s="6"/>
      <x:c r="D10" s="6"/>
      <x:c r="E10" s="6" t="s">
        <x:v>501</x:v>
      </x:c>
      <x:c r="F10" s="6" t="s">
        <x:v>67</x:v>
      </x:c>
      <x:c r="G10" s="6" t="s">
        <x:v>68</x:v>
      </x:c>
      <x:c r="H10" s="6" t="s">
        <x:v>66</x:v>
      </x:c>
      <x:c r="I10" s="10" t="s">
        <x:v>66</x:v>
      </x:c>
      <x:c r="J10" s="10" t="s">
        <x:v>57</x:v>
      </x:c>
      <x:c r="K10" s="9" t="str">
        <x:f>"110641634"</x:f>
        <x:v>110641634</x:v>
      </x:c>
      <x:c r="L10" s="9" t="str">
        <x:f>"110641634"</x:f>
        <x:v>110641634</x:v>
      </x:c>
      <x:c r="M10" s="12" t="s">
        <x:v>489</x:v>
      </x:c>
      <x:c r="N10" s="8">
        <x:v>5.0999999999999996</x:v>
      </x:c>
      <x:c r="O10" s="11" t="n">
        <x:f>IF(B10="KEEP EXISTING",N10,'Cost Review'!H10)</x:f>
        <x:v>5.1</x:v>
      </x:c>
      <x:c r="P10" s="8" t="str">
        <x:f t="shared" si="0">IF(B10="EXCLUDE","Excluded",IF(B10="REVIEW MATCH","Review match",IF(B10="KEEP EXISTING","Existing",IF(O10&lt;=0,"MISSING","REVIEW"))))</x:f>
        <x:v>REVIEW</x:v>
      </x:c>
      <x:c r="Q10" s="8">
        <x:v>39</x:v>
      </x:c>
      <x:c r="R10" s="11" t="n">
        <x:f>IF(B10="KEEP EXISTING",Q10,'Cost Review'!J10)</x:f>
        <x:v>39</x:v>
      </x:c>
      <x:c r="S10" s="6" t="str">
        <x:f t="shared" si="1">IF(B10="EXCLUDE","Excluded",IF(B10="REVIEW MATCH","Review match",IF(B10="KEEP EXISTING","Existing",IF(OR(R10&lt;=0,R10&gt;100000),"CHECK","OK"))))</x:f>
        <x:v>OK</x:v>
      </x:c>
      <x:c r="T10" s="9" t="str">
        <x:f>"6978950240224"</x:f>
        <x:v>6978950240224</x:v>
      </x:c>
      <x:c r="U10" s="10" t="s">
        <x:v>502</x:v>
      </x:c>
      <x:c r="V10" s="6" t="str">
        <x:f t="shared" si="2">IF(B10="EXCLUDE","Excluded",IF(B10="REVIEW MATCH","Review match",IF(B10="KEEP EXISTING","Existing",IF(U10="","MISSING","FOUND"))))</x:f>
        <x:v>FOUND</x:v>
      </x:c>
      <x:c r="W10" s="9">
        <x:v>8</x:v>
      </x:c>
      <x:c r="X10" s="9">
        <x:v>0</x:v>
      </x:c>
      <x:c r="Y10" s="6" t="str">
        <x:f>IF(B10="EXCLUDE","Excluded by user",IF(B10="REVIEW MATCH","Review current POS match",IF(B10="KEEP EXISTING","Already in POS",IF(O10&lt;=0,"Blocked: cost",IF(OR(R10&lt;=0,R10&gt;100000),"Blocked: retail",IF(U10="","Blocked: image",IF('Summary'!$B$3="APPROVED","READY","Pending approval")))))))</x:f>
        <x:v>Pending approval</x:v>
      </x:c>
      <x:c r="Z10" s="6" t="str">
        <x:v>Source stock 8 is reference only; POS starts at 0.</x:v>
      </x:c>
    </x:row>
    <x:row r="11" ht="29.25">
      <x:c r="A11" s="12" t="s">
        <x:v>70</x:v>
      </x:c>
      <x:c r="B11" s="25" t="str">
        <x:v>EXCLUDE</x:v>
      </x:c>
      <x:c r="C11" s="6"/>
      <x:c r="D11" s="6"/>
      <x:c r="E11" s="6" t="s">
        <x:v>503</x:v>
      </x:c>
      <x:c r="F11" s="6" t="s">
        <x:v>52</x:v>
      </x:c>
      <x:c r="G11" s="6" t="s">
        <x:v>72</x:v>
      </x:c>
      <x:c r="H11" s="6" t="s">
        <x:v>71</x:v>
      </x:c>
      <x:c r="I11" s="10" t="s">
        <x:v>71</x:v>
      </x:c>
      <x:c r="J11" s="10" t="s">
        <x:v>62</x:v>
      </x:c>
      <x:c r="K11" s="9" t="str">
        <x:f>"109081522"</x:f>
        <x:v>109081522</x:v>
      </x:c>
      <x:c r="L11" s="9" t="str">
        <x:f>"109081522"</x:f>
        <x:v>109081522</x:v>
      </x:c>
      <x:c r="M11" s="12" t="s">
        <x:v>489</x:v>
      </x:c>
      <x:c r="N11" s="8">
        <x:v>13</x:v>
      </x:c>
      <x:c r="O11" s="11" t="n">
        <x:f>IF(B11="KEEP EXISTING",N11,'Cost Review'!H11)</x:f>
        <x:v>13</x:v>
      </x:c>
      <x:c r="P11" s="8" t="str">
        <x:f t="shared" si="0">IF(B11="EXCLUDE","Excluded",IF(B11="REVIEW MATCH","Review match",IF(B11="KEEP EXISTING","Existing",IF(O11&lt;=0,"MISSING","REVIEW"))))</x:f>
        <x:v>Excluded</x:v>
      </x:c>
      <x:c r="Q11" s="8">
        <x:v>42</x:v>
      </x:c>
      <x:c r="R11" s="11" t="n">
        <x:f>IF(B11="KEEP EXISTING",Q11,'Cost Review'!J11)</x:f>
        <x:v>42</x:v>
      </x:c>
      <x:c r="S11" s="6" t="str">
        <x:f t="shared" si="1">IF(B11="EXCLUDE","Excluded",IF(B11="REVIEW MATCH","Review match",IF(B11="KEEP EXISTING","Existing",IF(OR(R11&lt;=0,R11&gt;100000),"CHECK","OK"))))</x:f>
        <x:v>Excluded</x:v>
      </x:c>
      <x:c r="T11" s="9" t="str">
        <x:f>"6976625334636"</x:f>
        <x:v>6976625334636</x:v>
      </x:c>
      <x:c r="U11" s="10" t="s">
        <x:v>504</x:v>
      </x:c>
      <x:c r="V11" s="6" t="str">
        <x:f t="shared" si="2">IF(B11="EXCLUDE","Excluded",IF(B11="REVIEW MATCH","Review match",IF(B11="KEEP EXISTING","Existing",IF(U11="","MISSING","FOUND"))))</x:f>
        <x:v>Excluded</x:v>
      </x:c>
      <x:c r="W11" s="9">
        <x:v>1</x:v>
      </x:c>
      <x:c r="X11" s="9">
        <x:v>0</x:v>
      </x:c>
      <x:c r="Y11" s="26" t="str">
        <x:f>IF(B11="EXCLUDE","Excluded by user",IF(B11="REVIEW MATCH","Review current POS match",IF(B11="KEEP EXISTING","Already in POS",IF(O11&lt;=0,"Blocked: cost",IF(OR(R11&lt;=0,R11&gt;100000),"Blocked: retail",IF(U11="","Blocked: image",IF('Summary'!$B$3="APPROVED","READY","Pending approval")))))))</x:f>
        <x:v>Excluded by user</x:v>
      </x:c>
      <x:c r="Z11" s="26" t="str">
        <x:v>Source stock 1 is reference only; POS starts at 0. USER EXCLUSION: red-marked item; do not import.</x:v>
      </x:c>
    </x:row>
    <x:row r="12" ht="29.25">
      <x:c r="A12" s="12" t="s">
        <x:v>73</x:v>
      </x:c>
      <x:c r="B12" s="25" t="str">
        <x:v>EXCLUDE</x:v>
      </x:c>
      <x:c r="C12" s="6"/>
      <x:c r="D12" s="6"/>
      <x:c r="E12" s="6" t="s">
        <x:v>503</x:v>
      </x:c>
      <x:c r="F12" s="6" t="s">
        <x:v>52</x:v>
      </x:c>
      <x:c r="G12" s="6" t="s">
        <x:v>72</x:v>
      </x:c>
      <x:c r="H12" s="6" t="s">
        <x:v>74</x:v>
      </x:c>
      <x:c r="I12" s="10" t="s">
        <x:v>74</x:v>
      </x:c>
      <x:c r="J12" s="10" t="s">
        <x:v>62</x:v>
      </x:c>
      <x:c r="K12" s="9" t="str">
        <x:f>"109071521"</x:f>
        <x:v>109071521</x:v>
      </x:c>
      <x:c r="L12" s="9" t="str">
        <x:f>"109071521"</x:f>
        <x:v>109071521</x:v>
      </x:c>
      <x:c r="M12" s="12" t="s">
        <x:v>489</x:v>
      </x:c>
      <x:c r="N12" s="8">
        <x:v>8.1300000000000008</x:v>
      </x:c>
      <x:c r="O12" s="11" t="n">
        <x:f>IF(B12="KEEP EXISTING",N12,'Cost Review'!H12)</x:f>
        <x:v>8.13</x:v>
      </x:c>
      <x:c r="P12" s="8" t="str">
        <x:f t="shared" si="0">IF(B12="EXCLUDE","Excluded",IF(B12="REVIEW MATCH","Review match",IF(B12="KEEP EXISTING","Existing",IF(O12&lt;=0,"MISSING","REVIEW"))))</x:f>
        <x:v>Excluded</x:v>
      </x:c>
      <x:c r="Q12" s="8">
        <x:v>33</x:v>
      </x:c>
      <x:c r="R12" s="11" t="n">
        <x:f>IF(B12="KEEP EXISTING",Q12,'Cost Review'!J12)</x:f>
        <x:v>33</x:v>
      </x:c>
      <x:c r="S12" s="6" t="str">
        <x:f t="shared" si="1">IF(B12="EXCLUDE","Excluded",IF(B12="REVIEW MATCH","Review match",IF(B12="KEEP EXISTING","Existing",IF(OR(R12&lt;=0,R12&gt;100000),"CHECK","OK"))))</x:f>
        <x:v>Excluded</x:v>
      </x:c>
      <x:c r="T12" s="9" t="str">
        <x:f>"6976625334643"</x:f>
        <x:v>6976625334643</x:v>
      </x:c>
      <x:c r="U12" s="10" t="s">
        <x:v>505</x:v>
      </x:c>
      <x:c r="V12" s="6" t="str">
        <x:f t="shared" si="2">IF(B12="EXCLUDE","Excluded",IF(B12="REVIEW MATCH","Review match",IF(B12="KEEP EXISTING","Existing",IF(U12="","MISSING","FOUND"))))</x:f>
        <x:v>Excluded</x:v>
      </x:c>
      <x:c r="W12" s="9">
        <x:v>0</x:v>
      </x:c>
      <x:c r="X12" s="9">
        <x:v>0</x:v>
      </x:c>
      <x:c r="Y12" s="26" t="str">
        <x:f>IF(B12="EXCLUDE","Excluded by user",IF(B12="REVIEW MATCH","Review current POS match",IF(B12="KEEP EXISTING","Already in POS",IF(O12&lt;=0,"Blocked: cost",IF(OR(R12&lt;=0,R12&gt;100000),"Blocked: retail",IF(U12="","Blocked: image",IF('Summary'!$B$3="APPROVED","READY","Pending approval")))))))</x:f>
        <x:v>Excluded by user</x:v>
      </x:c>
      <x:c r="Z12" s="26" t="str">
        <x:v>USER EXCLUSION: red-marked item; do not import.</x:v>
      </x:c>
    </x:row>
    <x:row r="13" ht="43.5">
      <x:c r="A13" s="12" t="s">
        <x:v>75</x:v>
      </x:c>
      <x:c r="B13" s="25" t="str">
        <x:v>EXCLUDE</x:v>
      </x:c>
      <x:c r="C13" s="6"/>
      <x:c r="D13" s="6"/>
      <x:c r="E13" s="6" t="s">
        <x:v>503</x:v>
      </x:c>
      <x:c r="F13" s="6" t="s">
        <x:v>52</x:v>
      </x:c>
      <x:c r="G13" s="6" t="s">
        <x:v>72</x:v>
      </x:c>
      <x:c r="H13" s="6" t="s">
        <x:v>76</x:v>
      </x:c>
      <x:c r="I13" s="10" t="s">
        <x:v>76</x:v>
      </x:c>
      <x:c r="J13" s="10" t="s">
        <x:v>62</x:v>
      </x:c>
      <x:c r="K13" s="9" t="str">
        <x:f>"109051520"</x:f>
        <x:v>109051520</x:v>
      </x:c>
      <x:c r="L13" s="9" t="str">
        <x:f>"109051520"</x:f>
        <x:v>109051520</x:v>
      </x:c>
      <x:c r="M13" s="12" t="s">
        <x:v>489</x:v>
      </x:c>
      <x:c r="N13" s="8">
        <x:v>7.13</x:v>
      </x:c>
      <x:c r="O13" s="11" t="n">
        <x:f>IF(B13="KEEP EXISTING",N13,'Cost Review'!H13)</x:f>
        <x:v>7.13</x:v>
      </x:c>
      <x:c r="P13" s="8" t="str">
        <x:f t="shared" si="0">IF(B13="EXCLUDE","Excluded",IF(B13="REVIEW MATCH","Review match",IF(B13="KEEP EXISTING","Existing",IF(O13&lt;=0,"MISSING","REVIEW"))))</x:f>
        <x:v>Excluded</x:v>
      </x:c>
      <x:c r="Q13" s="8">
        <x:v>25</x:v>
      </x:c>
      <x:c r="R13" s="11" t="n">
        <x:f>IF(B13="KEEP EXISTING",Q13,'Cost Review'!J13)</x:f>
        <x:v>25</x:v>
      </x:c>
      <x:c r="S13" s="6" t="str">
        <x:f t="shared" si="1">IF(B13="EXCLUDE","Excluded",IF(B13="REVIEW MATCH","Review match",IF(B13="KEEP EXISTING","Existing",IF(OR(R13&lt;=0,R13&gt;100000),"CHECK","OK"))))</x:f>
        <x:v>Excluded</x:v>
      </x:c>
      <x:c r="T13" s="9" t="str">
        <x:f>"6976625334650"</x:f>
        <x:v>6976625334650</x:v>
      </x:c>
      <x:c r="U13" s="10" t="s">
        <x:v>506</x:v>
      </x:c>
      <x:c r="V13" s="6" t="str">
        <x:f t="shared" si="2">IF(B13="EXCLUDE","Excluded",IF(B13="REVIEW MATCH","Review match",IF(B13="KEEP EXISTING","Existing",IF(U13="","MISSING","FOUND"))))</x:f>
        <x:v>Excluded</x:v>
      </x:c>
      <x:c r="W13" s="9">
        <x:v>0</x:v>
      </x:c>
      <x:c r="X13" s="9">
        <x:v>0</x:v>
      </x:c>
      <x:c r="Y13" s="26" t="str">
        <x:f>IF(B13="EXCLUDE","Excluded by user",IF(B13="REVIEW MATCH","Review current POS match",IF(B13="KEEP EXISTING","Already in POS",IF(O13&lt;=0,"Blocked: cost",IF(OR(R13&lt;=0,R13&gt;100000),"Blocked: retail",IF(U13="","Blocked: image",IF('Summary'!$B$3="APPROVED","READY","Pending approval")))))))</x:f>
        <x:v>Excluded by user</x:v>
      </x:c>
      <x:c r="Z13" s="26" t="str">
        <x:v>USER EXCLUSION: red-marked item; do not import.</x:v>
      </x:c>
    </x:row>
    <x:row r="14" ht="29.25">
      <x:c r="A14" s="12" t="s">
        <x:v>77</x:v>
      </x:c>
      <x:c r="B14" s="6" t="str">
        <x:v>IMPORT</x:v>
      </x:c>
      <x:c r="C14" s="6"/>
      <x:c r="D14" s="6"/>
      <x:c r="E14" s="6" t="s">
        <x:v>499</x:v>
      </x:c>
      <x:c r="F14" s="6" t="s">
        <x:v>52</x:v>
      </x:c>
      <x:c r="G14" s="6" t="s">
        <x:v>63</x:v>
      </x:c>
      <x:c r="H14" s="6" t="s">
        <x:v>78</x:v>
      </x:c>
      <x:c r="I14" s="10" t="s">
        <x:v>78</x:v>
      </x:c>
      <x:c r="J14" s="10" t="s">
        <x:v>37</x:v>
      </x:c>
      <x:c r="K14" s="9" t="str">
        <x:f>"107751365"</x:f>
        <x:v>107751365</x:v>
      </x:c>
      <x:c r="L14" s="9" t="str">
        <x:f>"107751365"</x:f>
        <x:v>107751365</x:v>
      </x:c>
      <x:c r="M14" s="12" t="s">
        <x:v>489</x:v>
      </x:c>
      <x:c r="N14" s="8">
        <x:v>9.5</x:v>
      </x:c>
      <x:c r="O14" s="11" t="n">
        <x:f>IF(B14="KEEP EXISTING",N14,'Cost Review'!H14)</x:f>
        <x:v>9.5</x:v>
      </x:c>
      <x:c r="P14" s="8" t="str">
        <x:f t="shared" si="0">IF(B14="EXCLUDE","Excluded",IF(B14="REVIEW MATCH","Review match",IF(B14="KEEP EXISTING","Existing",IF(O14&lt;=0,"MISSING","REVIEW"))))</x:f>
        <x:v>REVIEW</x:v>
      </x:c>
      <x:c r="Q14" s="8">
        <x:v>49.95</x:v>
      </x:c>
      <x:c r="R14" s="11" t="n">
        <x:f>IF(B14="KEEP EXISTING",Q14,'Cost Review'!J14)</x:f>
        <x:v>49.95</x:v>
      </x:c>
      <x:c r="S14" s="6" t="str">
        <x:f t="shared" si="1">IF(B14="EXCLUDE","Excluded",IF(B14="REVIEW MATCH","Review match",IF(B14="KEEP EXISTING","Existing",IF(OR(R14&lt;=0,R14&gt;100000),"CHECK","OK"))))</x:f>
        <x:v>OK</x:v>
      </x:c>
      <x:c r="T14" s="9" t="str">
        <x:f>"107751365"</x:f>
        <x:v>107751365</x:v>
      </x:c>
      <x:c r="U14" s="10" t="s">
        <x:v>507</x:v>
      </x:c>
      <x:c r="V14" s="6" t="str">
        <x:f t="shared" si="2">IF(B14="EXCLUDE","Excluded",IF(B14="REVIEW MATCH","Review match",IF(B14="KEEP EXISTING","Existing",IF(U14="","MISSING","FOUND"))))</x:f>
        <x:v>FOUND</x:v>
      </x:c>
      <x:c r="W14" s="9">
        <x:v>0</x:v>
      </x:c>
      <x:c r="X14" s="9">
        <x:v>0</x:v>
      </x:c>
      <x:c r="Y14" s="6" t="str">
        <x:f>IF(B14="EXCLUDE","Excluded by user",IF(B14="REVIEW MATCH","Review current POS match",IF(B14="KEEP EXISTING","Already in POS",IF(O14&lt;=0,"Blocked: cost",IF(OR(R14&lt;=0,R14&gt;100000),"Blocked: retail",IF(U14="","Blocked: image",IF('Summary'!$B$3="APPROVED","READY","Pending approval")))))))</x:f>
        <x:v>Pending approval</x:v>
      </x:c>
      <x:c r="Z14" s="6" t="str"/>
    </x:row>
    <x:row r="15" ht="43.5">
      <x:c r="A15" s="12" t="s">
        <x:v>79</x:v>
      </x:c>
      <x:c r="B15" s="6" t="str">
        <x:v>IMPORT</x:v>
      </x:c>
      <x:c r="C15" s="6"/>
      <x:c r="D15" s="6"/>
      <x:c r="E15" s="6" t="s">
        <x:v>508</x:v>
      </x:c>
      <x:c r="F15" s="6" t="s">
        <x:v>52</x:v>
      </x:c>
      <x:c r="G15" s="6" t="s">
        <x:v>53</x:v>
      </x:c>
      <x:c r="H15" s="6" t="s">
        <x:v>80</x:v>
      </x:c>
      <x:c r="I15" s="10" t="s">
        <x:v>80</x:v>
      </x:c>
      <x:c r="J15" s="10" t="s">
        <x:v>81</x:v>
      </x:c>
      <x:c r="K15" s="9" t="str">
        <x:f>"107511327"</x:f>
        <x:v>107511327</x:v>
      </x:c>
      <x:c r="L15" s="9" t="str">
        <x:f>"107511327"</x:f>
        <x:v>107511327</x:v>
      </x:c>
      <x:c r="M15" s="12" t="s">
        <x:v>489</x:v>
      </x:c>
      <x:c r="N15" s="8">
        <x:v>26</x:v>
      </x:c>
      <x:c r="O15" s="11" t="n">
        <x:f>IF(B15="KEEP EXISTING",N15,'Cost Review'!H15)</x:f>
        <x:v>26</x:v>
      </x:c>
      <x:c r="P15" s="8" t="str">
        <x:f t="shared" si="0">IF(B15="EXCLUDE","Excluded",IF(B15="REVIEW MATCH","Review match",IF(B15="KEEP EXISTING","Existing",IF(O15&lt;=0,"MISSING","REVIEW"))))</x:f>
        <x:v>REVIEW</x:v>
      </x:c>
      <x:c r="Q15" s="8">
        <x:v>59</x:v>
      </x:c>
      <x:c r="R15" s="11" t="n">
        <x:f>IF(B15="KEEP EXISTING",Q15,'Cost Review'!J15)</x:f>
        <x:v>59</x:v>
      </x:c>
      <x:c r="S15" s="6" t="str">
        <x:f t="shared" si="1">IF(B15="EXCLUDE","Excluded",IF(B15="REVIEW MATCH","Review match",IF(B15="KEEP EXISTING","Existing",IF(OR(R15&lt;=0,R15&gt;100000),"CHECK","OK"))))</x:f>
        <x:v>OK</x:v>
      </x:c>
      <x:c r="T15" s="9" t="str">
        <x:f>"107511327"</x:f>
        <x:v>107511327</x:v>
      </x:c>
      <x:c r="U15" s="10" t="s">
        <x:v>509</x:v>
      </x:c>
      <x:c r="V15" s="6" t="str">
        <x:f t="shared" si="2">IF(B15="EXCLUDE","Excluded",IF(B15="REVIEW MATCH","Review match",IF(B15="KEEP EXISTING","Existing",IF(U15="","MISSING","FOUND"))))</x:f>
        <x:v>FOUND</x:v>
      </x:c>
      <x:c r="W15" s="9">
        <x:v>3</x:v>
      </x:c>
      <x:c r="X15" s="9">
        <x:v>0</x:v>
      </x:c>
      <x:c r="Y15" s="6" t="str">
        <x:f>IF(B15="EXCLUDE","Excluded by user",IF(B15="REVIEW MATCH","Review current POS match",IF(B15="KEEP EXISTING","Already in POS",IF(O15&lt;=0,"Blocked: cost",IF(OR(R15&lt;=0,R15&gt;100000),"Blocked: retail",IF(U15="","Blocked: image",IF('Summary'!$B$3="APPROVED","READY","Pending approval")))))))</x:f>
        <x:v>Pending approval</x:v>
      </x:c>
      <x:c r="Z15" s="6" t="str">
        <x:v>Source stock 3 is reference only; POS starts at 0.</x:v>
      </x:c>
    </x:row>
    <x:row r="16" ht="43.5">
      <x:c r="A16" s="12" t="s">
        <x:v>83</x:v>
      </x:c>
      <x:c r="B16" s="6" t="str">
        <x:v>IMPORT</x:v>
      </x:c>
      <x:c r="C16" s="6"/>
      <x:c r="D16" s="6"/>
      <x:c r="E16" s="6" t="s">
        <x:v>510</x:v>
      </x:c>
      <x:c r="F16" s="6" t="s">
        <x:v>86</x:v>
      </x:c>
      <x:c r="G16" s="6" t="s">
        <x:v>87</x:v>
      </x:c>
      <x:c r="H16" s="6" t="s">
        <x:v>84</x:v>
      </x:c>
      <x:c r="I16" s="10" t="s">
        <x:v>84</x:v>
      </x:c>
      <x:c r="J16" s="10" t="s">
        <x:v>85</x:v>
      </x:c>
      <x:c r="K16" s="9" t="str">
        <x:f>"107501326"</x:f>
        <x:v>107501326</x:v>
      </x:c>
      <x:c r="L16" s="9" t="str">
        <x:f>"107501326"</x:f>
        <x:v>107501326</x:v>
      </x:c>
      <x:c r="M16" s="12" t="s">
        <x:v>489</x:v>
      </x:c>
      <x:c r="N16" s="8">
        <x:v>69</x:v>
      </x:c>
      <x:c r="O16" s="11" t="n">
        <x:f>IF(B16="KEEP EXISTING",N16,'Cost Review'!H16)</x:f>
        <x:v>69</x:v>
      </x:c>
      <x:c r="P16" s="8" t="str">
        <x:f t="shared" si="0">IF(B16="EXCLUDE","Excluded",IF(B16="REVIEW MATCH","Review match",IF(B16="KEEP EXISTING","Existing",IF(O16&lt;=0,"MISSING","REVIEW"))))</x:f>
        <x:v>REVIEW</x:v>
      </x:c>
      <x:c r="Q16" s="8">
        <x:v>129</x:v>
      </x:c>
      <x:c r="R16" s="11" t="n">
        <x:f>IF(B16="KEEP EXISTING",Q16,'Cost Review'!J16)</x:f>
        <x:v>129</x:v>
      </x:c>
      <x:c r="S16" s="6" t="str">
        <x:f t="shared" si="1">IF(B16="EXCLUDE","Excluded",IF(B16="REVIEW MATCH","Review match",IF(B16="KEEP EXISTING","Existing",IF(OR(R16&lt;=0,R16&gt;100000),"CHECK","OK"))))</x:f>
        <x:v>OK</x:v>
      </x:c>
      <x:c r="T16" s="9" t="str">
        <x:f>"107501326"</x:f>
        <x:v>107501326</x:v>
      </x:c>
      <x:c r="U16" s="10" t="s">
        <x:v>511</x:v>
      </x:c>
      <x:c r="V16" s="6" t="str">
        <x:f t="shared" si="2">IF(B16="EXCLUDE","Excluded",IF(B16="REVIEW MATCH","Review match",IF(B16="KEEP EXISTING","Existing",IF(U16="","MISSING","FOUND"))))</x:f>
        <x:v>FOUND</x:v>
      </x:c>
      <x:c r="W16" s="9">
        <x:v>1</x:v>
      </x:c>
      <x:c r="X16" s="9">
        <x:v>0</x:v>
      </x:c>
      <x:c r="Y16" s="6" t="str">
        <x:f>IF(B16="EXCLUDE","Excluded by user",IF(B16="REVIEW MATCH","Review current POS match",IF(B16="KEEP EXISTING","Already in POS",IF(O16&lt;=0,"Blocked: cost",IF(OR(R16&lt;=0,R16&gt;100000),"Blocked: retail",IF(U16="","Blocked: image",IF('Summary'!$B$3="APPROVED","READY","Pending approval")))))))</x:f>
        <x:v>Pending approval</x:v>
      </x:c>
      <x:c r="Z16" s="6" t="str">
        <x:v>Source stock 1 is reference only; POS starts at 0.</x:v>
      </x:c>
    </x:row>
    <x:row r="17" ht="29.25">
      <x:c r="A17" s="12" t="s">
        <x:v>89</x:v>
      </x:c>
      <x:c r="B17" s="6" t="str">
        <x:v>IMPORT</x:v>
      </x:c>
      <x:c r="C17" s="6"/>
      <x:c r="D17" s="6"/>
      <x:c r="E17" s="6" t="s">
        <x:v>512</x:v>
      </x:c>
      <x:c r="F17" s="6" t="s">
        <x:v>67</x:v>
      </x:c>
      <x:c r="G17" s="6" t="s">
        <x:v>91</x:v>
      </x:c>
      <x:c r="H17" s="6" t="s">
        <x:v>90</x:v>
      </x:c>
      <x:c r="I17" s="10" t="s">
        <x:v>90</x:v>
      </x:c>
      <x:c r="J17" s="10" t="s">
        <x:v>57</x:v>
      </x:c>
      <x:c r="K17" s="9" t="str">
        <x:f>"107411319"</x:f>
        <x:v>107411319</x:v>
      </x:c>
      <x:c r="L17" s="9" t="str">
        <x:f>"107411319"</x:f>
        <x:v>107411319</x:v>
      </x:c>
      <x:c r="M17" s="12" t="s">
        <x:v>489</x:v>
      </x:c>
      <x:c r="N17" s="8">
        <x:v>8</x:v>
      </x:c>
      <x:c r="O17" s="11" t="n">
        <x:f>IF(B17="KEEP EXISTING",N17,'Cost Review'!H17)</x:f>
        <x:v>8</x:v>
      </x:c>
      <x:c r="P17" s="8" t="str">
        <x:f t="shared" si="0">IF(B17="EXCLUDE","Excluded",IF(B17="REVIEW MATCH","Review match",IF(B17="KEEP EXISTING","Existing",IF(O17&lt;=0,"MISSING","REVIEW"))))</x:f>
        <x:v>REVIEW</x:v>
      </x:c>
      <x:c r="Q17" s="8">
        <x:v>49.95</x:v>
      </x:c>
      <x:c r="R17" s="11" t="n">
        <x:f>IF(B17="KEEP EXISTING",Q17,'Cost Review'!J17)</x:f>
        <x:v>49.95</x:v>
      </x:c>
      <x:c r="S17" s="6" t="str">
        <x:f t="shared" si="1">IF(B17="EXCLUDE","Excluded",IF(B17="REVIEW MATCH","Review match",IF(B17="KEEP EXISTING","Existing",IF(OR(R17&lt;=0,R17&gt;100000),"CHECK","OK"))))</x:f>
        <x:v>OK</x:v>
      </x:c>
      <x:c r="T17" s="9" t="str">
        <x:f>"6971252210346"</x:f>
        <x:v>6971252210346</x:v>
      </x:c>
      <x:c r="U17" s="10" t="s">
        <x:v>513</x:v>
      </x:c>
      <x:c r="V17" s="6" t="str">
        <x:f t="shared" si="2">IF(B17="EXCLUDE","Excluded",IF(B17="REVIEW MATCH","Review match",IF(B17="KEEP EXISTING","Existing",IF(U17="","MISSING","FOUND"))))</x:f>
        <x:v>FOUND</x:v>
      </x:c>
      <x:c r="W17" s="9">
        <x:v>2</x:v>
      </x:c>
      <x:c r="X17" s="9">
        <x:v>0</x:v>
      </x:c>
      <x:c r="Y17" s="6" t="str">
        <x:f>IF(B17="EXCLUDE","Excluded by user",IF(B17="REVIEW MATCH","Review current POS match",IF(B17="KEEP EXISTING","Already in POS",IF(O17&lt;=0,"Blocked: cost",IF(OR(R17&lt;=0,R17&gt;100000),"Blocked: retail",IF(U17="","Blocked: image",IF('Summary'!$B$3="APPROVED","READY","Pending approval")))))))</x:f>
        <x:v>Pending approval</x:v>
      </x:c>
      <x:c r="Z17" s="6" t="str">
        <x:v>Source stock 2 is reference only; POS starts at 0.</x:v>
      </x:c>
    </x:row>
    <x:row r="18" ht="29.25">
      <x:c r="A18" s="12" t="s">
        <x:v>92</x:v>
      </x:c>
      <x:c r="B18" s="6" t="str">
        <x:v>IMPORT</x:v>
      </x:c>
      <x:c r="C18" s="6"/>
      <x:c r="D18" s="6"/>
      <x:c r="E18" s="6" t="s">
        <x:v>512</x:v>
      </x:c>
      <x:c r="F18" s="6" t="s">
        <x:v>67</x:v>
      </x:c>
      <x:c r="G18" s="6" t="s">
        <x:v>94</x:v>
      </x:c>
      <x:c r="H18" s="6" t="s">
        <x:v>93</x:v>
      </x:c>
      <x:c r="I18" s="10" t="s">
        <x:v>93</x:v>
      </x:c>
      <x:c r="J18" s="10" t="s">
        <x:v>57</x:v>
      </x:c>
      <x:c r="K18" s="9" t="str">
        <x:f>"107401318"</x:f>
        <x:v>107401318</x:v>
      </x:c>
      <x:c r="L18" s="9" t="str">
        <x:f>"107401318"</x:f>
        <x:v>107401318</x:v>
      </x:c>
      <x:c r="M18" s="12" t="s">
        <x:v>489</x:v>
      </x:c>
      <x:c r="N18" s="8">
        <x:v>10</x:v>
      </x:c>
      <x:c r="O18" s="11" t="n">
        <x:f>IF(B18="KEEP EXISTING",N18,'Cost Review'!H18)</x:f>
        <x:v>10</x:v>
      </x:c>
      <x:c r="P18" s="8" t="str">
        <x:f t="shared" si="0">IF(B18="EXCLUDE","Excluded",IF(B18="REVIEW MATCH","Review match",IF(B18="KEEP EXISTING","Existing",IF(O18&lt;=0,"MISSING","REVIEW"))))</x:f>
        <x:v>REVIEW</x:v>
      </x:c>
      <x:c r="Q18" s="8">
        <x:v>69.95</x:v>
      </x:c>
      <x:c r="R18" s="11" t="n">
        <x:f>IF(B18="KEEP EXISTING",Q18,'Cost Review'!J18)</x:f>
        <x:v>69.95</x:v>
      </x:c>
      <x:c r="S18" s="6" t="str">
        <x:f t="shared" si="1">IF(B18="EXCLUDE","Excluded",IF(B18="REVIEW MATCH","Review match",IF(B18="KEEP EXISTING","Existing",IF(OR(R18&lt;=0,R18&gt;100000),"CHECK","OK"))))</x:f>
        <x:v>OK</x:v>
      </x:c>
      <x:c r="T18" s="9" t="str">
        <x:f>"6971252210605"</x:f>
        <x:v>6971252210605</x:v>
      </x:c>
      <x:c r="U18" s="10" t="s">
        <x:v>514</x:v>
      </x:c>
      <x:c r="V18" s="6" t="str">
        <x:f t="shared" si="2">IF(B18="EXCLUDE","Excluded",IF(B18="REVIEW MATCH","Review match",IF(B18="KEEP EXISTING","Existing",IF(U18="","MISSING","FOUND"))))</x:f>
        <x:v>FOUND</x:v>
      </x:c>
      <x:c r="W18" s="9">
        <x:v>1</x:v>
      </x:c>
      <x:c r="X18" s="9">
        <x:v>0</x:v>
      </x:c>
      <x:c r="Y18" s="6" t="str">
        <x:f>IF(B18="EXCLUDE","Excluded by user",IF(B18="REVIEW MATCH","Review current POS match",IF(B18="KEEP EXISTING","Already in POS",IF(O18&lt;=0,"Blocked: cost",IF(OR(R18&lt;=0,R18&gt;100000),"Blocked: retail",IF(U18="","Blocked: image",IF('Summary'!$B$3="APPROVED","READY","Pending approval")))))))</x:f>
        <x:v>Pending approval</x:v>
      </x:c>
      <x:c r="Z18" s="6" t="str">
        <x:v>Source stock 1 is reference only; POS starts at 0.</x:v>
      </x:c>
    </x:row>
    <x:row r="19" ht="29.25">
      <x:c r="A19" s="12" t="s">
        <x:v>95</x:v>
      </x:c>
      <x:c r="B19" s="6" t="str">
        <x:v>IMPORT</x:v>
      </x:c>
      <x:c r="C19" s="6"/>
      <x:c r="D19" s="6"/>
      <x:c r="E19" s="6" t="s">
        <x:v>515</x:v>
      </x:c>
      <x:c r="F19" s="6" t="s">
        <x:v>52</x:v>
      </x:c>
      <x:c r="G19" s="6" t="s">
        <x:v>58</x:v>
      </x:c>
      <x:c r="H19" s="6" t="s">
        <x:v>96</x:v>
      </x:c>
      <x:c r="I19" s="10" t="s">
        <x:v>96</x:v>
      </x:c>
      <x:c r="J19" s="10" t="s">
        <x:v>57</x:v>
      </x:c>
      <x:c r="K19" s="9" t="str">
        <x:f>"107391317"</x:f>
        <x:v>107391317</x:v>
      </x:c>
      <x:c r="L19" s="9" t="str">
        <x:f>"107391317"</x:f>
        <x:v>107391317</x:v>
      </x:c>
      <x:c r="M19" s="12" t="s">
        <x:v>489</x:v>
      </x:c>
      <x:c r="N19" s="8">
        <x:v>13</x:v>
      </x:c>
      <x:c r="O19" s="11" t="n">
        <x:f>IF(B19="KEEP EXISTING",N19,'Cost Review'!H19)</x:f>
        <x:v>13</x:v>
      </x:c>
      <x:c r="P19" s="8" t="str">
        <x:f t="shared" si="0">IF(B19="EXCLUDE","Excluded",IF(B19="REVIEW MATCH","Review match",IF(B19="KEEP EXISTING","Existing",IF(O19&lt;=0,"MISSING","REVIEW"))))</x:f>
        <x:v>REVIEW</x:v>
      </x:c>
      <x:c r="Q19" s="8">
        <x:v>99</x:v>
      </x:c>
      <x:c r="R19" s="11" t="n">
        <x:f>IF(B19="KEEP EXISTING",Q19,'Cost Review'!J19)</x:f>
        <x:v>99</x:v>
      </x:c>
      <x:c r="S19" s="6" t="str">
        <x:f t="shared" si="1">IF(B19="EXCLUDE","Excluded",IF(B19="REVIEW MATCH","Review match",IF(B19="KEEP EXISTING","Existing",IF(OR(R19&lt;=0,R19&gt;100000),"CHECK","OK"))))</x:f>
        <x:v>OK</x:v>
      </x:c>
      <x:c r="T19" s="9" t="str">
        <x:f>"6971252211428"</x:f>
        <x:v>6971252211428</x:v>
      </x:c>
      <x:c r="U19" s="10" t="s">
        <x:v>516</x:v>
      </x:c>
      <x:c r="V19" s="6" t="str">
        <x:f t="shared" si="2">IF(B19="EXCLUDE","Excluded",IF(B19="REVIEW MATCH","Review match",IF(B19="KEEP EXISTING","Existing",IF(U19="","MISSING","FOUND"))))</x:f>
        <x:v>FOUND</x:v>
      </x:c>
      <x:c r="W19" s="9">
        <x:v>11</x:v>
      </x:c>
      <x:c r="X19" s="9">
        <x:v>0</x:v>
      </x:c>
      <x:c r="Y19" s="6" t="str">
        <x:f>IF(B19="EXCLUDE","Excluded by user",IF(B19="REVIEW MATCH","Review current POS match",IF(B19="KEEP EXISTING","Already in POS",IF(O19&lt;=0,"Blocked: cost",IF(OR(R19&lt;=0,R19&gt;100000),"Blocked: retail",IF(U19="","Blocked: image",IF('Summary'!$B$3="APPROVED","READY","Pending approval")))))))</x:f>
        <x:v>Pending approval</x:v>
      </x:c>
      <x:c r="Z19" s="6" t="str">
        <x:v>Source stock 11 is reference only; POS starts at 0.</x:v>
      </x:c>
    </x:row>
    <x:row r="20" ht="29.25">
      <x:c r="A20" s="12" t="s">
        <x:v>98</x:v>
      </x:c>
      <x:c r="B20" s="6" t="str">
        <x:v>IMPORT</x:v>
      </x:c>
      <x:c r="C20" s="6"/>
      <x:c r="D20" s="6"/>
      <x:c r="E20" s="6" t="s">
        <x:v>515</x:v>
      </x:c>
      <x:c r="F20" s="6" t="s">
        <x:v>52</x:v>
      </x:c>
      <x:c r="G20" s="6" t="s">
        <x:v>58</x:v>
      </x:c>
      <x:c r="H20" s="6" t="s">
        <x:v>99</x:v>
      </x:c>
      <x:c r="I20" s="10" t="s">
        <x:v>99</x:v>
      </x:c>
      <x:c r="J20" s="10" t="s">
        <x:v>57</x:v>
      </x:c>
      <x:c r="K20" s="9" t="str">
        <x:f>"107381316"</x:f>
        <x:v>107381316</x:v>
      </x:c>
      <x:c r="L20" s="9" t="str">
        <x:f>"107381316"</x:f>
        <x:v>107381316</x:v>
      </x:c>
      <x:c r="M20" s="12" t="s">
        <x:v>489</x:v>
      </x:c>
      <x:c r="N20" s="8">
        <x:v>10</x:v>
      </x:c>
      <x:c r="O20" s="11" t="n">
        <x:f>IF(B20="KEEP EXISTING",N20,'Cost Review'!H20)</x:f>
        <x:v>10</x:v>
      </x:c>
      <x:c r="P20" s="8" t="str">
        <x:f t="shared" si="0">IF(B20="EXCLUDE","Excluded",IF(B20="REVIEW MATCH","Review match",IF(B20="KEEP EXISTING","Existing",IF(O20&lt;=0,"MISSING","REVIEW"))))</x:f>
        <x:v>REVIEW</x:v>
      </x:c>
      <x:c r="Q20" s="8">
        <x:v>69.95</x:v>
      </x:c>
      <x:c r="R20" s="11" t="n">
        <x:f>IF(B20="KEEP EXISTING",Q20,'Cost Review'!J20)</x:f>
        <x:v>69.95</x:v>
      </x:c>
      <x:c r="S20" s="6" t="str">
        <x:f t="shared" si="1">IF(B20="EXCLUDE","Excluded",IF(B20="REVIEW MATCH","Review match",IF(B20="KEEP EXISTING","Existing",IF(OR(R20&lt;=0,R20&gt;100000),"CHECK","OK"))))</x:f>
        <x:v>OK</x:v>
      </x:c>
      <x:c r="T20" s="9" t="str">
        <x:f>"6971252211404"</x:f>
        <x:v>6971252211404</x:v>
      </x:c>
      <x:c r="U20" s="10" t="s">
        <x:v>517</x:v>
      </x:c>
      <x:c r="V20" s="6" t="str">
        <x:f t="shared" si="2">IF(B20="EXCLUDE","Excluded",IF(B20="REVIEW MATCH","Review match",IF(B20="KEEP EXISTING","Existing",IF(U20="","MISSING","FOUND"))))</x:f>
        <x:v>FOUND</x:v>
      </x:c>
      <x:c r="W20" s="9">
        <x:v>7</x:v>
      </x:c>
      <x:c r="X20" s="9">
        <x:v>0</x:v>
      </x:c>
      <x:c r="Y20" s="6" t="str">
        <x:f>IF(B20="EXCLUDE","Excluded by user",IF(B20="REVIEW MATCH","Review current POS match",IF(B20="KEEP EXISTING","Already in POS",IF(O20&lt;=0,"Blocked: cost",IF(OR(R20&lt;=0,R20&gt;100000),"Blocked: retail",IF(U20="","Blocked: image",IF('Summary'!$B$3="APPROVED","READY","Pending approval")))))))</x:f>
        <x:v>Pending approval</x:v>
      </x:c>
      <x:c r="Z20" s="6" t="str">
        <x:v>Source stock 7 is reference only; POS starts at 0.</x:v>
      </x:c>
    </x:row>
    <x:row r="21" ht="29.25">
      <x:c r="A21" s="12" t="s">
        <x:v>101</x:v>
      </x:c>
      <x:c r="B21" s="6" t="str">
        <x:v>IMPORT</x:v>
      </x:c>
      <x:c r="C21" s="6"/>
      <x:c r="D21" s="6"/>
      <x:c r="E21" s="6" t="s">
        <x:v>515</x:v>
      </x:c>
      <x:c r="F21" s="6" t="s">
        <x:v>52</x:v>
      </x:c>
      <x:c r="G21" s="6" t="s">
        <x:v>58</x:v>
      </x:c>
      <x:c r="H21" s="6" t="s">
        <x:v>102</x:v>
      </x:c>
      <x:c r="I21" s="10" t="s">
        <x:v>102</x:v>
      </x:c>
      <x:c r="J21" s="10" t="s">
        <x:v>57</x:v>
      </x:c>
      <x:c r="K21" s="9" t="str">
        <x:f>"107371315"</x:f>
        <x:v>107371315</x:v>
      </x:c>
      <x:c r="L21" s="9" t="str">
        <x:f>"107371315"</x:f>
        <x:v>107371315</x:v>
      </x:c>
      <x:c r="M21" s="12" t="s">
        <x:v>489</x:v>
      </x:c>
      <x:c r="N21" s="8">
        <x:v>4.29</x:v>
      </x:c>
      <x:c r="O21" s="11" t="n">
        <x:f>IF(B21="KEEP EXISTING",N21,'Cost Review'!H21)</x:f>
        <x:v>4.29</x:v>
      </x:c>
      <x:c r="P21" s="8" t="str">
        <x:f t="shared" si="0">IF(B21="EXCLUDE","Excluded",IF(B21="REVIEW MATCH","Review match",IF(B21="KEEP EXISTING","Existing",IF(O21&lt;=0,"MISSING","REVIEW"))))</x:f>
        <x:v>REVIEW</x:v>
      </x:c>
      <x:c r="Q21" s="8">
        <x:v>49.95</x:v>
      </x:c>
      <x:c r="R21" s="11" t="n">
        <x:f>IF(B21="KEEP EXISTING",Q21,'Cost Review'!J21)</x:f>
        <x:v>49.95</x:v>
      </x:c>
      <x:c r="S21" s="6" t="str">
        <x:f t="shared" si="1">IF(B21="EXCLUDE","Excluded",IF(B21="REVIEW MATCH","Review match",IF(B21="KEEP EXISTING","Existing",IF(OR(R21&lt;=0,R21&gt;100000),"CHECK","OK"))))</x:f>
        <x:v>OK</x:v>
      </x:c>
      <x:c r="T21" s="9" t="str">
        <x:f>"6971252210391"</x:f>
        <x:v>6971252210391</x:v>
      </x:c>
      <x:c r="U21" s="10" t="s">
        <x:v>518</x:v>
      </x:c>
      <x:c r="V21" s="6" t="str">
        <x:f t="shared" si="2">IF(B21="EXCLUDE","Excluded",IF(B21="REVIEW MATCH","Review match",IF(B21="KEEP EXISTING","Existing",IF(U21="","MISSING","FOUND"))))</x:f>
        <x:v>FOUND</x:v>
      </x:c>
      <x:c r="W21" s="9">
        <x:v>12</x:v>
      </x:c>
      <x:c r="X21" s="9">
        <x:v>0</x:v>
      </x:c>
      <x:c r="Y21" s="6" t="str">
        <x:f>IF(B21="EXCLUDE","Excluded by user",IF(B21="REVIEW MATCH","Review current POS match",IF(B21="KEEP EXISTING","Already in POS",IF(O21&lt;=0,"Blocked: cost",IF(OR(R21&lt;=0,R21&gt;100000),"Blocked: retail",IF(U21="","Blocked: image",IF('Summary'!$B$3="APPROVED","READY","Pending approval")))))))</x:f>
        <x:v>Pending approval</x:v>
      </x:c>
      <x:c r="Z21" s="6" t="str">
        <x:v>Source stock 12 is reference only; POS starts at 0.</x:v>
      </x:c>
    </x:row>
    <x:row r="22" ht="29.25">
      <x:c r="A22" s="12" t="s">
        <x:v>104</x:v>
      </x:c>
      <x:c r="B22" s="6" t="str">
        <x:v>IMPORT</x:v>
      </x:c>
      <x:c r="C22" s="6"/>
      <x:c r="D22" s="6"/>
      <x:c r="E22" s="6" t="s">
        <x:v>515</x:v>
      </x:c>
      <x:c r="F22" s="6" t="s">
        <x:v>52</x:v>
      </x:c>
      <x:c r="G22" s="6" t="s">
        <x:v>58</x:v>
      </x:c>
      <x:c r="H22" s="6" t="s">
        <x:v>105</x:v>
      </x:c>
      <x:c r="I22" s="10" t="s">
        <x:v>105</x:v>
      </x:c>
      <x:c r="J22" s="10" t="s">
        <x:v>57</x:v>
      </x:c>
      <x:c r="K22" s="9" t="str">
        <x:f>"107361314"</x:f>
        <x:v>107361314</x:v>
      </x:c>
      <x:c r="L22" s="9" t="str">
        <x:f>"107361314"</x:f>
        <x:v>107361314</x:v>
      </x:c>
      <x:c r="M22" s="12" t="s">
        <x:v>489</x:v>
      </x:c>
      <x:c r="N22" s="8">
        <x:v>4.29</x:v>
      </x:c>
      <x:c r="O22" s="11" t="n">
        <x:f>IF(B22="KEEP EXISTING",N22,'Cost Review'!H22)</x:f>
        <x:v>4.29</x:v>
      </x:c>
      <x:c r="P22" s="8" t="str">
        <x:f t="shared" si="0">IF(B22="EXCLUDE","Excluded",IF(B22="REVIEW MATCH","Review match",IF(B22="KEEP EXISTING","Existing",IF(O22&lt;=0,"MISSING","REVIEW"))))</x:f>
        <x:v>REVIEW</x:v>
      </x:c>
      <x:c r="Q22" s="8">
        <x:v>19.989999999999998</x:v>
      </x:c>
      <x:c r="R22" s="11" t="n">
        <x:f>IF(B22="KEEP EXISTING",Q22,'Cost Review'!J22)</x:f>
        <x:v>19.99</x:v>
      </x:c>
      <x:c r="S22" s="6" t="str">
        <x:f t="shared" si="1">IF(B22="EXCLUDE","Excluded",IF(B22="REVIEW MATCH","Review match",IF(B22="KEEP EXISTING","Existing",IF(OR(R22&lt;=0,R22&gt;100000),"CHECK","OK"))))</x:f>
        <x:v>OK</x:v>
      </x:c>
      <x:c r="T22" s="9" t="str">
        <x:f>"6971252211442"</x:f>
        <x:v>6971252211442</x:v>
      </x:c>
      <x:c r="U22" s="10" t="s">
        <x:v>519</x:v>
      </x:c>
      <x:c r="V22" s="6" t="str">
        <x:f t="shared" si="2">IF(B22="EXCLUDE","Excluded",IF(B22="REVIEW MATCH","Review match",IF(B22="KEEP EXISTING","Existing",IF(U22="","MISSING","FOUND"))))</x:f>
        <x:v>FOUND</x:v>
      </x:c>
      <x:c r="W22" s="9">
        <x:v>11</x:v>
      </x:c>
      <x:c r="X22" s="9">
        <x:v>0</x:v>
      </x:c>
      <x:c r="Y22" s="6" t="str">
        <x:f>IF(B22="EXCLUDE","Excluded by user",IF(B22="REVIEW MATCH","Review current POS match",IF(B22="KEEP EXISTING","Already in POS",IF(O22&lt;=0,"Blocked: cost",IF(OR(R22&lt;=0,R22&gt;100000),"Blocked: retail",IF(U22="","Blocked: image",IF('Summary'!$B$3="APPROVED","READY","Pending approval")))))))</x:f>
        <x:v>Pending approval</x:v>
      </x:c>
      <x:c r="Z22" s="6" t="str">
        <x:v>Source stock 11 is reference only; POS starts at 0.</x:v>
      </x:c>
    </x:row>
    <x:row r="23" ht="29.25">
      <x:c r="A23" s="12" t="s">
        <x:v>106</x:v>
      </x:c>
      <x:c r="B23" s="6" t="str">
        <x:v>IMPORT</x:v>
      </x:c>
      <x:c r="C23" s="6"/>
      <x:c r="D23" s="6"/>
      <x:c r="E23" s="6" t="s">
        <x:v>497</x:v>
      </x:c>
      <x:c r="F23" s="6" t="s">
        <x:v>52</x:v>
      </x:c>
      <x:c r="G23" s="6" t="s">
        <x:v>58</x:v>
      </x:c>
      <x:c r="H23" s="6" t="s">
        <x:v>107</x:v>
      </x:c>
      <x:c r="I23" s="10" t="s">
        <x:v>107</x:v>
      </x:c>
      <x:c r="J23" s="10" t="s">
        <x:v>57</x:v>
      </x:c>
      <x:c r="K23" s="9" t="str">
        <x:f>"107351313"</x:f>
        <x:v>107351313</x:v>
      </x:c>
      <x:c r="L23" s="9" t="str">
        <x:f>"107351313"</x:f>
        <x:v>107351313</x:v>
      </x:c>
      <x:c r="M23" s="12" t="s">
        <x:v>489</x:v>
      </x:c>
      <x:c r="N23" s="8">
        <x:v>7.5</x:v>
      </x:c>
      <x:c r="O23" s="11" t="n">
        <x:f>IF(B23="KEEP EXISTING",N23,'Cost Review'!H23)</x:f>
        <x:v>7.5</x:v>
      </x:c>
      <x:c r="P23" s="8" t="str">
        <x:f t="shared" si="0">IF(B23="EXCLUDE","Excluded",IF(B23="REVIEW MATCH","Review match",IF(B23="KEEP EXISTING","Existing",IF(O23&lt;=0,"MISSING","REVIEW"))))</x:f>
        <x:v>REVIEW</x:v>
      </x:c>
      <x:c r="Q23" s="8">
        <x:v>59.99</x:v>
      </x:c>
      <x:c r="R23" s="11" t="n">
        <x:f>IF(B23="KEEP EXISTING",Q23,'Cost Review'!J23)</x:f>
        <x:v>59.99</x:v>
      </x:c>
      <x:c r="S23" s="6" t="str">
        <x:f t="shared" si="1">IF(B23="EXCLUDE","Excluded",IF(B23="REVIEW MATCH","Review match",IF(B23="KEEP EXISTING","Existing",IF(OR(R23&lt;=0,R23&gt;100000),"CHECK","OK"))))</x:f>
        <x:v>OK</x:v>
      </x:c>
      <x:c r="T23" s="9" t="str">
        <x:f>"6971252210179"</x:f>
        <x:v>6971252210179</x:v>
      </x:c>
      <x:c r="U23" s="10" t="s">
        <x:v>520</x:v>
      </x:c>
      <x:c r="V23" s="6" t="str">
        <x:f t="shared" si="2">IF(B23="EXCLUDE","Excluded",IF(B23="REVIEW MATCH","Review match",IF(B23="KEEP EXISTING","Existing",IF(U23="","MISSING","FOUND"))))</x:f>
        <x:v>FOUND</x:v>
      </x:c>
      <x:c r="W23" s="9">
        <x:v>10</x:v>
      </x:c>
      <x:c r="X23" s="9">
        <x:v>0</x:v>
      </x:c>
      <x:c r="Y23" s="6" t="str">
        <x:f>IF(B23="EXCLUDE","Excluded by user",IF(B23="REVIEW MATCH","Review current POS match",IF(B23="KEEP EXISTING","Already in POS",IF(O23&lt;=0,"Blocked: cost",IF(OR(R23&lt;=0,R23&gt;100000),"Blocked: retail",IF(U23="","Blocked: image",IF('Summary'!$B$3="APPROVED","READY","Pending approval")))))))</x:f>
        <x:v>Pending approval</x:v>
      </x:c>
      <x:c r="Z23" s="6" t="str">
        <x:v>Source stock 10 is reference only; POS starts at 0.</x:v>
      </x:c>
    </x:row>
    <x:row r="24" ht="29.25">
      <x:c r="A24" s="12" t="s">
        <x:v>108</x:v>
      </x:c>
      <x:c r="B24" s="6" t="str">
        <x:v>IMPORT</x:v>
      </x:c>
      <x:c r="C24" s="6"/>
      <x:c r="D24" s="6"/>
      <x:c r="E24" s="6" t="s">
        <x:v>497</x:v>
      </x:c>
      <x:c r="F24" s="6" t="s">
        <x:v>52</x:v>
      </x:c>
      <x:c r="G24" s="6" t="s">
        <x:v>58</x:v>
      </x:c>
      <x:c r="H24" s="6" t="s">
        <x:v>109</x:v>
      </x:c>
      <x:c r="I24" s="10" t="s">
        <x:v>109</x:v>
      </x:c>
      <x:c r="J24" s="10" t="s">
        <x:v>57</x:v>
      </x:c>
      <x:c r="K24" s="9" t="str">
        <x:f>"107341312"</x:f>
        <x:v>107341312</x:v>
      </x:c>
      <x:c r="L24" s="9" t="str">
        <x:f>"107341312"</x:f>
        <x:v>107341312</x:v>
      </x:c>
      <x:c r="M24" s="12" t="s">
        <x:v>489</x:v>
      </x:c>
      <x:c r="N24" s="8">
        <x:v>16</x:v>
      </x:c>
      <x:c r="O24" s="11" t="n">
        <x:f>IF(B24="KEEP EXISTING",N24,'Cost Review'!H24)</x:f>
        <x:v>16</x:v>
      </x:c>
      <x:c r="P24" s="8" t="str">
        <x:f t="shared" si="0">IF(B24="EXCLUDE","Excluded",IF(B24="REVIEW MATCH","Review match",IF(B24="KEEP EXISTING","Existing",IF(O24&lt;=0,"MISSING","REVIEW"))))</x:f>
        <x:v>REVIEW</x:v>
      </x:c>
      <x:c r="Q24" s="8">
        <x:v>99.99</x:v>
      </x:c>
      <x:c r="R24" s="11" t="n">
        <x:f>IF(B24="KEEP EXISTING",Q24,'Cost Review'!J24)</x:f>
        <x:v>99.99</x:v>
      </x:c>
      <x:c r="S24" s="6" t="str">
        <x:f t="shared" si="1">IF(B24="EXCLUDE","Excluded",IF(B24="REVIEW MATCH","Review match",IF(B24="KEEP EXISTING","Existing",IF(OR(R24&lt;=0,R24&gt;100000),"CHECK","OK"))))</x:f>
        <x:v>OK</x:v>
      </x:c>
      <x:c r="T24" s="9" t="str">
        <x:f>"6971252210315"</x:f>
        <x:v>6971252210315</x:v>
      </x:c>
      <x:c r="U24" s="10" t="s">
        <x:v>521</x:v>
      </x:c>
      <x:c r="V24" s="6" t="str">
        <x:f t="shared" si="2">IF(B24="EXCLUDE","Excluded",IF(B24="REVIEW MATCH","Review match",IF(B24="KEEP EXISTING","Existing",IF(U24="","MISSING","FOUND"))))</x:f>
        <x:v>FOUND</x:v>
      </x:c>
      <x:c r="W24" s="9">
        <x:v>3</x:v>
      </x:c>
      <x:c r="X24" s="9">
        <x:v>0</x:v>
      </x:c>
      <x:c r="Y24" s="6" t="str">
        <x:f>IF(B24="EXCLUDE","Excluded by user",IF(B24="REVIEW MATCH","Review current POS match",IF(B24="KEEP EXISTING","Already in POS",IF(O24&lt;=0,"Blocked: cost",IF(OR(R24&lt;=0,R24&gt;100000),"Blocked: retail",IF(U24="","Blocked: image",IF('Summary'!$B$3="APPROVED","READY","Pending approval")))))))</x:f>
        <x:v>Pending approval</x:v>
      </x:c>
      <x:c r="Z24" s="6" t="str">
        <x:v>Source stock 3 is reference only; POS starts at 0.</x:v>
      </x:c>
    </x:row>
    <x:row r="25" ht="29.25">
      <x:c r="A25" s="12" t="s">
        <x:v>110</x:v>
      </x:c>
      <x:c r="B25" s="6" t="str">
        <x:v>IMPORT</x:v>
      </x:c>
      <x:c r="C25" s="6"/>
      <x:c r="D25" s="6"/>
      <x:c r="E25" s="6" t="s">
        <x:v>497</x:v>
      </x:c>
      <x:c r="F25" s="6" t="s">
        <x:v>52</x:v>
      </x:c>
      <x:c r="G25" s="6" t="s">
        <x:v>58</x:v>
      </x:c>
      <x:c r="H25" s="6" t="s">
        <x:v>111</x:v>
      </x:c>
      <x:c r="I25" s="10" t="s">
        <x:v>111</x:v>
      </x:c>
      <x:c r="J25" s="10" t="s">
        <x:v>57</x:v>
      </x:c>
      <x:c r="K25" s="9" t="str">
        <x:f>"107331311"</x:f>
        <x:v>107331311</x:v>
      </x:c>
      <x:c r="L25" s="9" t="str">
        <x:f>"107331311"</x:f>
        <x:v>107331311</x:v>
      </x:c>
      <x:c r="M25" s="12" t="s">
        <x:v>489</x:v>
      </x:c>
      <x:c r="N25" s="8">
        <x:v>30</x:v>
      </x:c>
      <x:c r="O25" s="11" t="n">
        <x:f>IF(B25="KEEP EXISTING",N25,'Cost Review'!H25)</x:f>
        <x:v>30</x:v>
      </x:c>
      <x:c r="P25" s="8" t="str">
        <x:f t="shared" si="0">IF(B25="EXCLUDE","Excluded",IF(B25="REVIEW MATCH","Review match",IF(B25="KEEP EXISTING","Existing",IF(O25&lt;=0,"MISSING","REVIEW"))))</x:f>
        <x:v>REVIEW</x:v>
      </x:c>
      <x:c r="Q25" s="8">
        <x:v>149</x:v>
      </x:c>
      <x:c r="R25" s="11" t="n">
        <x:f>IF(B25="KEEP EXISTING",Q25,'Cost Review'!J25)</x:f>
        <x:v>149</x:v>
      </x:c>
      <x:c r="S25" s="6" t="str">
        <x:f t="shared" si="1">IF(B25="EXCLUDE","Excluded",IF(B25="REVIEW MATCH","Review match",IF(B25="KEEP EXISTING","Existing",IF(OR(R25&lt;=0,R25&gt;100000),"CHECK","OK"))))</x:f>
        <x:v>OK</x:v>
      </x:c>
      <x:c r="T25" s="9" t="str">
        <x:f>"6971252210735"</x:f>
        <x:v>6971252210735</x:v>
      </x:c>
      <x:c r="U25" s="10" t="s">
        <x:v>522</x:v>
      </x:c>
      <x:c r="V25" s="6" t="str">
        <x:f t="shared" si="2">IF(B25="EXCLUDE","Excluded",IF(B25="REVIEW MATCH","Review match",IF(B25="KEEP EXISTING","Existing",IF(U25="","MISSING","FOUND"))))</x:f>
        <x:v>FOUND</x:v>
      </x:c>
      <x:c r="W25" s="9">
        <x:v>1</x:v>
      </x:c>
      <x:c r="X25" s="9">
        <x:v>0</x:v>
      </x:c>
      <x:c r="Y25" s="6" t="str">
        <x:f>IF(B25="EXCLUDE","Excluded by user",IF(B25="REVIEW MATCH","Review current POS match",IF(B25="KEEP EXISTING","Already in POS",IF(O25&lt;=0,"Blocked: cost",IF(OR(R25&lt;=0,R25&gt;100000),"Blocked: retail",IF(U25="","Blocked: image",IF('Summary'!$B$3="APPROVED","READY","Pending approval")))))))</x:f>
        <x:v>Pending approval</x:v>
      </x:c>
      <x:c r="Z25" s="6" t="str">
        <x:v>Source stock 1 is reference only; POS starts at 0.</x:v>
      </x:c>
    </x:row>
    <x:row r="26" ht="29.25">
      <x:c r="A26" s="12" t="s">
        <x:v>112</x:v>
      </x:c>
      <x:c r="B26" s="6" t="str">
        <x:v>IMPORT</x:v>
      </x:c>
      <x:c r="C26" s="6"/>
      <x:c r="D26" s="6"/>
      <x:c r="E26" s="6" t="s">
        <x:v>497</x:v>
      </x:c>
      <x:c r="F26" s="6" t="s">
        <x:v>52</x:v>
      </x:c>
      <x:c r="G26" s="6" t="s">
        <x:v>58</x:v>
      </x:c>
      <x:c r="H26" s="6" t="s">
        <x:v>113</x:v>
      </x:c>
      <x:c r="I26" s="10" t="s">
        <x:v>113</x:v>
      </x:c>
      <x:c r="J26" s="10" t="s">
        <x:v>57</x:v>
      </x:c>
      <x:c r="K26" s="9" t="str">
        <x:f>"107321310"</x:f>
        <x:v>107321310</x:v>
      </x:c>
      <x:c r="L26" s="9" t="str">
        <x:f>"107321310"</x:f>
        <x:v>107321310</x:v>
      </x:c>
      <x:c r="M26" s="12" t="s">
        <x:v>489</x:v>
      </x:c>
      <x:c r="N26" s="8">
        <x:v>6.5</x:v>
      </x:c>
      <x:c r="O26" s="11" t="n">
        <x:f>IF(B26="KEEP EXISTING",N26,'Cost Review'!H26)</x:f>
        <x:v>6.5</x:v>
      </x:c>
      <x:c r="P26" s="8" t="str">
        <x:f t="shared" si="0">IF(B26="EXCLUDE","Excluded",IF(B26="REVIEW MATCH","Review match",IF(B26="KEEP EXISTING","Existing",IF(O26&lt;=0,"MISSING","REVIEW"))))</x:f>
        <x:v>REVIEW</x:v>
      </x:c>
      <x:c r="Q26" s="8">
        <x:v>54.99</x:v>
      </x:c>
      <x:c r="R26" s="11" t="n">
        <x:f>IF(B26="KEEP EXISTING",Q26,'Cost Review'!J26)</x:f>
        <x:v>54.99</x:v>
      </x:c>
      <x:c r="S26" s="6" t="str">
        <x:f t="shared" si="1">IF(B26="EXCLUDE","Excluded",IF(B26="REVIEW MATCH","Review match",IF(B26="KEEP EXISTING","Existing",IF(OR(R26&lt;=0,R26&gt;100000),"CHECK","OK"))))</x:f>
        <x:v>OK</x:v>
      </x:c>
      <x:c r="T26" s="9" t="str">
        <x:f>"6971252215495"</x:f>
        <x:v>6971252215495</x:v>
      </x:c>
      <x:c r="U26" s="10" t="s">
        <x:v>523</x:v>
      </x:c>
      <x:c r="V26" s="6" t="str">
        <x:f t="shared" si="2">IF(B26="EXCLUDE","Excluded",IF(B26="REVIEW MATCH","Review match",IF(B26="KEEP EXISTING","Existing",IF(U26="","MISSING","FOUND"))))</x:f>
        <x:v>FOUND</x:v>
      </x:c>
      <x:c r="W26" s="9">
        <x:v>2</x:v>
      </x:c>
      <x:c r="X26" s="9">
        <x:v>0</x:v>
      </x:c>
      <x:c r="Y26" s="6" t="str">
        <x:f>IF(B26="EXCLUDE","Excluded by user",IF(B26="REVIEW MATCH","Review current POS match",IF(B26="KEEP EXISTING","Already in POS",IF(O26&lt;=0,"Blocked: cost",IF(OR(R26&lt;=0,R26&gt;100000),"Blocked: retail",IF(U26="","Blocked: image",IF('Summary'!$B$3="APPROVED","READY","Pending approval")))))))</x:f>
        <x:v>Pending approval</x:v>
      </x:c>
      <x:c r="Z26" s="6" t="str">
        <x:v>Source stock 2 is reference only; POS starts at 0.</x:v>
      </x:c>
    </x:row>
    <x:row r="27" ht="29.25">
      <x:c r="A27" s="12" t="s">
        <x:v>114</x:v>
      </x:c>
      <x:c r="B27" s="6" t="str">
        <x:v>IMPORT</x:v>
      </x:c>
      <x:c r="C27" s="6"/>
      <x:c r="D27" s="6"/>
      <x:c r="E27" s="6" t="s">
        <x:v>497</x:v>
      </x:c>
      <x:c r="F27" s="6" t="s">
        <x:v>52</x:v>
      </x:c>
      <x:c r="G27" s="6" t="s">
        <x:v>58</x:v>
      </x:c>
      <x:c r="H27" s="6" t="s">
        <x:v>115</x:v>
      </x:c>
      <x:c r="I27" s="10" t="s">
        <x:v>115</x:v>
      </x:c>
      <x:c r="J27" s="10" t="s">
        <x:v>57</x:v>
      </x:c>
      <x:c r="K27" s="9" t="str">
        <x:f>"107311309"</x:f>
        <x:v>107311309</x:v>
      </x:c>
      <x:c r="L27" s="9" t="str">
        <x:f>"107311309"</x:f>
        <x:v>107311309</x:v>
      </x:c>
      <x:c r="M27" s="12" t="s">
        <x:v>489</x:v>
      </x:c>
      <x:c r="N27" s="8">
        <x:v>7.5</x:v>
      </x:c>
      <x:c r="O27" s="11" t="n">
        <x:f>IF(B27="KEEP EXISTING",N27,'Cost Review'!H27)</x:f>
        <x:v>7.5</x:v>
      </x:c>
      <x:c r="P27" s="8" t="str">
        <x:f t="shared" si="0">IF(B27="EXCLUDE","Excluded",IF(B27="REVIEW MATCH","Review match",IF(B27="KEEP EXISTING","Existing",IF(O27&lt;=0,"MISSING","REVIEW"))))</x:f>
        <x:v>REVIEW</x:v>
      </x:c>
      <x:c r="Q27" s="8">
        <x:v>29</x:v>
      </x:c>
      <x:c r="R27" s="11" t="n">
        <x:f>IF(B27="KEEP EXISTING",Q27,'Cost Review'!J27)</x:f>
        <x:v>29</x:v>
      </x:c>
      <x:c r="S27" s="6" t="str">
        <x:f t="shared" si="1">IF(B27="EXCLUDE","Excluded",IF(B27="REVIEW MATCH","Review match",IF(B27="KEEP EXISTING","Existing",IF(OR(R27&lt;=0,R27&gt;100000),"CHECK","OK"))))</x:f>
        <x:v>OK</x:v>
      </x:c>
      <x:c r="T27" s="9" t="str">
        <x:f>"6971252210476"</x:f>
        <x:v>6971252210476</x:v>
      </x:c>
      <x:c r="U27" s="10" t="s">
        <x:v>524</x:v>
      </x:c>
      <x:c r="V27" s="6" t="str">
        <x:f t="shared" si="2">IF(B27="EXCLUDE","Excluded",IF(B27="REVIEW MATCH","Review match",IF(B27="KEEP EXISTING","Existing",IF(U27="","MISSING","FOUND"))))</x:f>
        <x:v>FOUND</x:v>
      </x:c>
      <x:c r="W27" s="9">
        <x:v>0</x:v>
      </x:c>
      <x:c r="X27" s="9">
        <x:v>0</x:v>
      </x:c>
      <x:c r="Y27" s="6" t="str">
        <x:f>IF(B27="EXCLUDE","Excluded by user",IF(B27="REVIEW MATCH","Review current POS match",IF(B27="KEEP EXISTING","Already in POS",IF(O27&lt;=0,"Blocked: cost",IF(OR(R27&lt;=0,R27&gt;100000),"Blocked: retail",IF(U27="","Blocked: image",IF('Summary'!$B$3="APPROVED","READY","Pending approval")))))))</x:f>
        <x:v>Pending approval</x:v>
      </x:c>
      <x:c r="Z27" s="6" t="str"/>
    </x:row>
    <x:row r="28" ht="43.5">
      <x:c r="A28" s="12" t="s">
        <x:v>116</x:v>
      </x:c>
      <x:c r="B28" s="25" t="str">
        <x:v>EXCLUDE</x:v>
      </x:c>
      <x:c r="C28" s="6"/>
      <x:c r="D28" s="6"/>
      <x:c r="E28" s="6" t="s">
        <x:v>525</x:v>
      </x:c>
      <x:c r="F28" s="6" t="s">
        <x:v>52</x:v>
      </x:c>
      <x:c r="G28" s="6" t="s">
        <x:v>53</x:v>
      </x:c>
      <x:c r="H28" s="6" t="s">
        <x:v>117</x:v>
      </x:c>
      <x:c r="I28" s="10" t="s">
        <x:v>117</x:v>
      </x:c>
      <x:c r="J28" s="10" t="s">
        <x:v>37</x:v>
      </x:c>
      <x:c r="K28" s="9" t="str">
        <x:f>"107221269"</x:f>
        <x:v>107221269</x:v>
      </x:c>
      <x:c r="L28" s="9" t="str">
        <x:f>"107221269"</x:f>
        <x:v>107221269</x:v>
      </x:c>
      <x:c r="M28" s="12" t="s">
        <x:v>489</x:v>
      </x:c>
      <x:c r="N28" s="8">
        <x:v>70</x:v>
      </x:c>
      <x:c r="O28" s="11" t="n">
        <x:f>IF(B28="KEEP EXISTING",N28,'Cost Review'!H28)</x:f>
        <x:v>70</x:v>
      </x:c>
      <x:c r="P28" s="8" t="str">
        <x:f t="shared" si="0">IF(B28="EXCLUDE","Excluded",IF(B28="REVIEW MATCH","Review match",IF(B28="KEEP EXISTING","Existing",IF(O28&lt;=0,"MISSING","REVIEW"))))</x:f>
        <x:v>Excluded</x:v>
      </x:c>
      <x:c r="Q28" s="8">
        <x:v>99</x:v>
      </x:c>
      <x:c r="R28" s="11" t="n">
        <x:f>IF(B28="KEEP EXISTING",Q28,'Cost Review'!J28)</x:f>
        <x:v>99</x:v>
      </x:c>
      <x:c r="S28" s="6" t="str">
        <x:f t="shared" si="1">IF(B28="EXCLUDE","Excluded",IF(B28="REVIEW MATCH","Review match",IF(B28="KEEP EXISTING","Existing",IF(OR(R28&lt;=0,R28&gt;100000),"CHECK","OK"))))</x:f>
        <x:v>Excluded</x:v>
      </x:c>
      <x:c r="T28" s="9" t="str">
        <x:f>"107221269"</x:f>
        <x:v>107221269</x:v>
      </x:c>
      <x:c r="U28" s="10" t="s">
        <x:v>526</x:v>
      </x:c>
      <x:c r="V28" s="6" t="str">
        <x:f t="shared" si="2">IF(B28="EXCLUDE","Excluded",IF(B28="REVIEW MATCH","Review match",IF(B28="KEEP EXISTING","Existing",IF(U28="","MISSING","FOUND"))))</x:f>
        <x:v>Excluded</x:v>
      </x:c>
      <x:c r="W28" s="9">
        <x:v>0</x:v>
      </x:c>
      <x:c r="X28" s="9">
        <x:v>0</x:v>
      </x:c>
      <x:c r="Y28" s="26" t="str">
        <x:f>IF(B28="EXCLUDE","Excluded by user",IF(B28="REVIEW MATCH","Review current POS match",IF(B28="KEEP EXISTING","Already in POS",IF(O28&lt;=0,"Blocked: cost",IF(OR(R28&lt;=0,R28&gt;100000),"Blocked: retail",IF(U28="","Blocked: image",IF('Summary'!$B$3="APPROVED","READY","Pending approval")))))))</x:f>
        <x:v>Excluded by user</x:v>
      </x:c>
      <x:c r="Z28" s="26" t="str">
        <x:v>USER EXCLUSION: red-marked item; do not import.</x:v>
      </x:c>
    </x:row>
    <x:row r="29" ht="43.5">
      <x:c r="A29" s="12" t="s">
        <x:v>118</x:v>
      </x:c>
      <x:c r="B29" s="25" t="str">
        <x:v>EXCLUDE</x:v>
      </x:c>
      <x:c r="C29" s="6"/>
      <x:c r="D29" s="6"/>
      <x:c r="E29" s="6" t="s">
        <x:v>525</x:v>
      </x:c>
      <x:c r="F29" s="6" t="s">
        <x:v>52</x:v>
      </x:c>
      <x:c r="G29" s="6" t="s">
        <x:v>53</x:v>
      </x:c>
      <x:c r="H29" s="6" t="s">
        <x:v>119</x:v>
      </x:c>
      <x:c r="I29" s="10" t="s">
        <x:v>119</x:v>
      </x:c>
      <x:c r="J29" s="10" t="s">
        <x:v>37</x:v>
      </x:c>
      <x:c r="K29" s="9" t="str">
        <x:f>"107211268"</x:f>
        <x:v>107211268</x:v>
      </x:c>
      <x:c r="L29" s="9" t="str">
        <x:f>"107211268"</x:f>
        <x:v>107211268</x:v>
      </x:c>
      <x:c r="M29" s="12" t="s">
        <x:v>489</x:v>
      </x:c>
      <x:c r="N29" s="8">
        <x:v>70</x:v>
      </x:c>
      <x:c r="O29" s="11" t="n">
        <x:f>IF(B29="KEEP EXISTING",N29,'Cost Review'!H29)</x:f>
        <x:v>70</x:v>
      </x:c>
      <x:c r="P29" s="8" t="str">
        <x:f t="shared" si="0">IF(B29="EXCLUDE","Excluded",IF(B29="REVIEW MATCH","Review match",IF(B29="KEEP EXISTING","Existing",IF(O29&lt;=0,"MISSING","REVIEW"))))</x:f>
        <x:v>Excluded</x:v>
      </x:c>
      <x:c r="Q29" s="8">
        <x:v>129</x:v>
      </x:c>
      <x:c r="R29" s="11" t="n">
        <x:f>IF(B29="KEEP EXISTING",Q29,'Cost Review'!J29)</x:f>
        <x:v>129</x:v>
      </x:c>
      <x:c r="S29" s="6" t="str">
        <x:f t="shared" si="1">IF(B29="EXCLUDE","Excluded",IF(B29="REVIEW MATCH","Review match",IF(B29="KEEP EXISTING","Existing",IF(OR(R29&lt;=0,R29&gt;100000),"CHECK","OK"))))</x:f>
        <x:v>Excluded</x:v>
      </x:c>
      <x:c r="T29" s="9" t="str">
        <x:f>"107211268"</x:f>
        <x:v>107211268</x:v>
      </x:c>
      <x:c r="U29" s="10" t="s">
        <x:v>527</x:v>
      </x:c>
      <x:c r="V29" s="6" t="str">
        <x:f t="shared" si="2">IF(B29="EXCLUDE","Excluded",IF(B29="REVIEW MATCH","Review match",IF(B29="KEEP EXISTING","Existing",IF(U29="","MISSING","FOUND"))))</x:f>
        <x:v>Excluded</x:v>
      </x:c>
      <x:c r="W29" s="9">
        <x:v>0</x:v>
      </x:c>
      <x:c r="X29" s="9">
        <x:v>0</x:v>
      </x:c>
      <x:c r="Y29" s="26" t="str">
        <x:f>IF(B29="EXCLUDE","Excluded by user",IF(B29="REVIEW MATCH","Review current POS match",IF(B29="KEEP EXISTING","Already in POS",IF(O29&lt;=0,"Blocked: cost",IF(OR(R29&lt;=0,R29&gt;100000),"Blocked: retail",IF(U29="","Blocked: image",IF('Summary'!$B$3="APPROVED","READY","Pending approval")))))))</x:f>
        <x:v>Excluded by user</x:v>
      </x:c>
      <x:c r="Z29" s="26" t="str">
        <x:v>USER EXCLUSION: red-marked item; do not import.</x:v>
      </x:c>
    </x:row>
    <x:row r="30" ht="43.5">
      <x:c r="A30" s="12" t="s">
        <x:v>120</x:v>
      </x:c>
      <x:c r="B30" s="6" t="str">
        <x:v>IMPORT</x:v>
      </x:c>
      <x:c r="C30" s="6"/>
      <x:c r="D30" s="6"/>
      <x:c r="E30" s="6" t="s">
        <x:v>528</x:v>
      </x:c>
      <x:c r="F30" s="6" t="s">
        <x:v>52</x:v>
      </x:c>
      <x:c r="G30" s="6" t="s">
        <x:v>123</x:v>
      </x:c>
      <x:c r="H30" s="6" t="s">
        <x:v>121</x:v>
      </x:c>
      <x:c r="I30" s="10" t="s">
        <x:v>121</x:v>
      </x:c>
      <x:c r="J30" s="10" t="s">
        <x:v>122</x:v>
      </x:c>
      <x:c r="K30" s="9" t="str">
        <x:f>"105541110"</x:f>
        <x:v>105541110</x:v>
      </x:c>
      <x:c r="L30" s="9" t="str">
        <x:f>"105541110"</x:f>
        <x:v>105541110</x:v>
      </x:c>
      <x:c r="M30" s="12" t="s">
        <x:v>489</x:v>
      </x:c>
      <x:c r="N30" s="8">
        <x:v>97.62</x:v>
      </x:c>
      <x:c r="O30" s="11" t="n">
        <x:f>IF(B30="KEEP EXISTING",N30,'Cost Review'!H30)</x:f>
        <x:v>97.62</x:v>
      </x:c>
      <x:c r="P30" s="8" t="str">
        <x:f t="shared" si="0">IF(B30="EXCLUDE","Excluded",IF(B30="REVIEW MATCH","Review match",IF(B30="KEEP EXISTING","Existing",IF(O30&lt;=0,"MISSING","REVIEW"))))</x:f>
        <x:v>REVIEW</x:v>
      </x:c>
      <x:c r="Q30" s="8">
        <x:v>139.94999999999999</x:v>
      </x:c>
      <x:c r="R30" s="11" t="n">
        <x:f>IF(B30="KEEP EXISTING",Q30,'Cost Review'!J30)</x:f>
        <x:v>139.95</x:v>
      </x:c>
      <x:c r="S30" s="6" t="str">
        <x:f t="shared" si="1">IF(B30="EXCLUDE","Excluded",IF(B30="REVIEW MATCH","Review match",IF(B30="KEEP EXISTING","Existing",IF(OR(R30&lt;=0,R30&gt;100000),"CHECK","OK"))))</x:f>
        <x:v>OK</x:v>
      </x:c>
      <x:c r="T30" s="9" t="str">
        <x:f>"045496321413"</x:f>
        <x:v>045496321413</x:v>
      </x:c>
      <x:c r="U30" s="10" t="s">
        <x:v>529</x:v>
      </x:c>
      <x:c r="V30" s="6" t="str">
        <x:f t="shared" si="2">IF(B30="EXCLUDE","Excluded",IF(B30="REVIEW MATCH","Review match",IF(B30="KEEP EXISTING","Existing",IF(U30="","MISSING","FOUND"))))</x:f>
        <x:v>FOUND</x:v>
      </x:c>
      <x:c r="W30" s="9">
        <x:v>0</x:v>
      </x:c>
      <x:c r="X30" s="9">
        <x:v>0</x:v>
      </x:c>
      <x:c r="Y30" s="6" t="str">
        <x:f>IF(B30="EXCLUDE","Excluded by user",IF(B30="REVIEW MATCH","Review current POS match",IF(B30="KEEP EXISTING","Already in POS",IF(O30&lt;=0,"Blocked: cost",IF(OR(R30&lt;=0,R30&gt;100000),"Blocked: retail",IF(U30="","Blocked: image",IF('Summary'!$B$3="APPROVED","READY","Pending approval")))))))</x:f>
        <x:v>Pending approval</x:v>
      </x:c>
      <x:c r="Z30" s="6" t="str"/>
    </x:row>
    <x:row r="31" ht="43.5">
      <x:c r="A31" s="12" t="s">
        <x:v>124</x:v>
      </x:c>
      <x:c r="B31" s="6" t="str">
        <x:v>IMPORT</x:v>
      </x:c>
      <x:c r="C31" s="6"/>
      <x:c r="D31" s="6"/>
      <x:c r="E31" s="6" t="s">
        <x:v>528</x:v>
      </x:c>
      <x:c r="F31" s="6" t="s">
        <x:v>52</x:v>
      </x:c>
      <x:c r="G31" s="6" t="s">
        <x:v>123</x:v>
      </x:c>
      <x:c r="H31" s="6" t="s">
        <x:v>125</x:v>
      </x:c>
      <x:c r="I31" s="10" t="s">
        <x:v>125</x:v>
      </x:c>
      <x:c r="J31" s="10" t="s">
        <x:v>122</x:v>
      </x:c>
      <x:c r="K31" s="9" t="str">
        <x:f>"105531109"</x:f>
        <x:v>105531109</x:v>
      </x:c>
      <x:c r="L31" s="9" t="str">
        <x:f>"105531109"</x:f>
        <x:v>105531109</x:v>
      </x:c>
      <x:c r="M31" s="12" t="s">
        <x:v>489</x:v>
      </x:c>
      <x:c r="N31" s="8">
        <x:v>35.28</x:v>
      </x:c>
      <x:c r="O31" s="11" t="n">
        <x:f>IF(B31="KEEP EXISTING",N31,'Cost Review'!H31)</x:f>
        <x:v>35.28</x:v>
      </x:c>
      <x:c r="P31" s="8" t="str">
        <x:f t="shared" si="0">IF(B31="EXCLUDE","Excluded",IF(B31="REVIEW MATCH","Review match",IF(B31="KEEP EXISTING","Existing",IF(O31&lt;=0,"MISSING","REVIEW"))))</x:f>
        <x:v>REVIEW</x:v>
      </x:c>
      <x:c r="Q31" s="8">
        <x:v>54.99</x:v>
      </x:c>
      <x:c r="R31" s="11" t="n">
        <x:f>IF(B31="KEEP EXISTING",Q31,'Cost Review'!J31)</x:f>
        <x:v>54.99</x:v>
      </x:c>
      <x:c r="S31" s="6" t="str">
        <x:f t="shared" si="1">IF(B31="EXCLUDE","Excluded",IF(B31="REVIEW MATCH","Review match",IF(B31="KEEP EXISTING","Existing",IF(OR(R31&lt;=0,R31&gt;100000),"CHECK","OK"))))</x:f>
        <x:v>OK</x:v>
      </x:c>
      <x:c r="T31" s="9" t="str">
        <x:f>"8100050913157"</x:f>
        <x:v>8100050913157</x:v>
      </x:c>
      <x:c r="U31" s="10" t="s">
        <x:v>530</x:v>
      </x:c>
      <x:c r="V31" s="6" t="str">
        <x:f t="shared" si="2">IF(B31="EXCLUDE","Excluded",IF(B31="REVIEW MATCH","Review match",IF(B31="KEEP EXISTING","Existing",IF(U31="","MISSING","FOUND"))))</x:f>
        <x:v>FOUND</x:v>
      </x:c>
      <x:c r="W31" s="9">
        <x:v>0</x:v>
      </x:c>
      <x:c r="X31" s="9">
        <x:v>0</x:v>
      </x:c>
      <x:c r="Y31" s="6" t="str">
        <x:f>IF(B31="EXCLUDE","Excluded by user",IF(B31="REVIEW MATCH","Review current POS match",IF(B31="KEEP EXISTING","Already in POS",IF(O31&lt;=0,"Blocked: cost",IF(OR(R31&lt;=0,R31&gt;100000),"Blocked: retail",IF(U31="","Blocked: image",IF('Summary'!$B$3="APPROVED","READY","Pending approval")))))))</x:f>
        <x:v>Pending approval</x:v>
      </x:c>
      <x:c r="Z31" s="6" t="str"/>
    </x:row>
    <x:row r="32" ht="43.5">
      <x:c r="A32" s="12" t="s">
        <x:v>126</x:v>
      </x:c>
      <x:c r="B32" s="6" t="str">
        <x:v>IMPORT</x:v>
      </x:c>
      <x:c r="C32" s="6"/>
      <x:c r="D32" s="6"/>
      <x:c r="E32" s="6" t="s">
        <x:v>531</x:v>
      </x:c>
      <x:c r="F32" s="6" t="s">
        <x:v>52</x:v>
      </x:c>
      <x:c r="G32" s="6" t="s">
        <x:v>53</x:v>
      </x:c>
      <x:c r="H32" s="6" t="s">
        <x:v>127</x:v>
      </x:c>
      <x:c r="I32" s="10" t="s">
        <x:v>127</x:v>
      </x:c>
      <x:c r="J32" s="10" t="s">
        <x:v>128</x:v>
      </x:c>
      <x:c r="K32" s="9" t="str">
        <x:f>"105461107"</x:f>
        <x:v>105461107</x:v>
      </x:c>
      <x:c r="L32" s="9" t="str">
        <x:f>"105461107"</x:f>
        <x:v>105461107</x:v>
      </x:c>
      <x:c r="M32" s="12" t="s">
        <x:v>489</x:v>
      </x:c>
      <x:c r="N32" s="8">
        <x:v>115</x:v>
      </x:c>
      <x:c r="O32" s="11" t="n">
        <x:f>IF(B32="KEEP EXISTING",N32,'Cost Review'!H32)</x:f>
        <x:v>115</x:v>
      </x:c>
      <x:c r="P32" s="8" t="str">
        <x:f t="shared" si="0">IF(B32="EXCLUDE","Excluded",IF(B32="REVIEW MATCH","Review match",IF(B32="KEEP EXISTING","Existing",IF(O32&lt;=0,"MISSING","REVIEW"))))</x:f>
        <x:v>REVIEW</x:v>
      </x:c>
      <x:c r="Q32" s="8">
        <x:v>169</x:v>
      </x:c>
      <x:c r="R32" s="11" t="n">
        <x:f>IF(B32="KEEP EXISTING",Q32,'Cost Review'!J32)</x:f>
        <x:v>169</x:v>
      </x:c>
      <x:c r="S32" s="6" t="str">
        <x:f t="shared" si="1">IF(B32="EXCLUDE","Excluded",IF(B32="REVIEW MATCH","Review match",IF(B32="KEEP EXISTING","Existing",IF(OR(R32&lt;=0,R32&gt;100000),"CHECK","OK"))))</x:f>
        <x:v>OK</x:v>
      </x:c>
      <x:c r="T32" s="9" t="str">
        <x:f>"105461107"</x:f>
        <x:v>105461107</x:v>
      </x:c>
      <x:c r="U32" s="10" t="s">
        <x:v>532</x:v>
      </x:c>
      <x:c r="V32" s="6" t="str">
        <x:f t="shared" si="2">IF(B32="EXCLUDE","Excluded",IF(B32="REVIEW MATCH","Review match",IF(B32="KEEP EXISTING","Existing",IF(U32="","MISSING","FOUND"))))</x:f>
        <x:v>FOUND</x:v>
      </x:c>
      <x:c r="W32" s="9">
        <x:v>0</x:v>
      </x:c>
      <x:c r="X32" s="9">
        <x:v>0</x:v>
      </x:c>
      <x:c r="Y32" s="6" t="str">
        <x:f>IF(B32="EXCLUDE","Excluded by user",IF(B32="REVIEW MATCH","Review current POS match",IF(B32="KEEP EXISTING","Already in POS",IF(O32&lt;=0,"Blocked: cost",IF(OR(R32&lt;=0,R32&gt;100000),"Blocked: retail",IF(U32="","Blocked: image",IF('Summary'!$B$3="APPROVED","READY","Pending approval")))))))</x:f>
        <x:v>Pending approval</x:v>
      </x:c>
      <x:c r="Z32" s="6" t="str"/>
    </x:row>
    <x:row r="33" ht="29.25">
      <x:c r="A33" s="12" t="s">
        <x:v>129</x:v>
      </x:c>
      <x:c r="B33" s="6" t="str">
        <x:v>IMPORT</x:v>
      </x:c>
      <x:c r="C33" s="6"/>
      <x:c r="D33" s="6"/>
      <x:c r="E33" s="6" t="s">
        <x:v>531</x:v>
      </x:c>
      <x:c r="F33" s="6" t="s">
        <x:v>52</x:v>
      </x:c>
      <x:c r="G33" s="6" t="s">
        <x:v>53</x:v>
      </x:c>
      <x:c r="H33" s="6" t="s">
        <x:v>130</x:v>
      </x:c>
      <x:c r="I33" s="10" t="s">
        <x:v>130</x:v>
      </x:c>
      <x:c r="J33" s="10" t="s">
        <x:v>81</x:v>
      </x:c>
      <x:c r="K33" s="9" t="str">
        <x:f>"105451106"</x:f>
        <x:v>105451106</x:v>
      </x:c>
      <x:c r="L33" s="9" t="str">
        <x:f>"105451106"</x:f>
        <x:v>105451106</x:v>
      </x:c>
      <x:c r="M33" s="12" t="s">
        <x:v>489</x:v>
      </x:c>
      <x:c r="N33" s="8">
        <x:v>110</x:v>
      </x:c>
      <x:c r="O33" s="11" t="n">
        <x:f>IF(B33="KEEP EXISTING",N33,'Cost Review'!H33)</x:f>
        <x:v>110</x:v>
      </x:c>
      <x:c r="P33" s="8" t="str">
        <x:f t="shared" si="0">IF(B33="EXCLUDE","Excluded",IF(B33="REVIEW MATCH","Review match",IF(B33="KEEP EXISTING","Existing",IF(O33&lt;=0,"MISSING","REVIEW"))))</x:f>
        <x:v>REVIEW</x:v>
      </x:c>
      <x:c r="Q33" s="8">
        <x:v>165</x:v>
      </x:c>
      <x:c r="R33" s="11" t="n">
        <x:f>IF(B33="KEEP EXISTING",Q33,'Cost Review'!J33)</x:f>
        <x:v>165</x:v>
      </x:c>
      <x:c r="S33" s="6" t="str">
        <x:f t="shared" si="1">IF(B33="EXCLUDE","Excluded",IF(B33="REVIEW MATCH","Review match",IF(B33="KEEP EXISTING","Existing",IF(OR(R33&lt;=0,R33&gt;100000),"CHECK","OK"))))</x:f>
        <x:v>OK</x:v>
      </x:c>
      <x:c r="T33" s="9" t="str">
        <x:f>"105451106"</x:f>
        <x:v>105451106</x:v>
      </x:c>
      <x:c r="U33" s="10"/>
      <x:c r="V33" s="6" t="str">
        <x:f t="shared" si="2">IF(B33="EXCLUDE","Excluded",IF(B33="REVIEW MATCH","Review match",IF(B33="KEEP EXISTING","Existing",IF(U33="","MISSING","FOUND"))))</x:f>
        <x:v>MISSING</x:v>
      </x:c>
      <x:c r="W33" s="9">
        <x:v>1</x:v>
      </x:c>
      <x:c r="X33" s="9">
        <x:v>0</x:v>
      </x:c>
      <x:c r="Y33" s="6" t="str">
        <x:f>IF(B33="EXCLUDE","Excluded by user",IF(B33="REVIEW MATCH","Review current POS match",IF(B33="KEEP EXISTING","Already in POS",IF(O33&lt;=0,"Blocked: cost",IF(OR(R33&lt;=0,R33&gt;100000),"Blocked: retail",IF(U33="","Blocked: image",IF('Summary'!$B$3="APPROVED","READY","Pending approval")))))))</x:f>
        <x:v>Blocked: image</x:v>
      </x:c>
      <x:c r="Z33" s="6" t="str">
        <x:v>No RepairDesk image found; provide the correct main image URL. Source stock 1 is reference only; POS starts at 0.</x:v>
      </x:c>
    </x:row>
    <x:row r="34" ht="29.25">
      <x:c r="A34" s="12" t="s">
        <x:v>132</x:v>
      </x:c>
      <x:c r="B34" s="6" t="str">
        <x:v>IMPORT</x:v>
      </x:c>
      <x:c r="C34" s="6"/>
      <x:c r="D34" s="6"/>
      <x:c r="E34" s="6" t="s">
        <x:v>533</x:v>
      </x:c>
      <x:c r="F34" s="6" t="s">
        <x:v>52</x:v>
      </x:c>
      <x:c r="G34" s="6" t="s">
        <x:v>58</x:v>
      </x:c>
      <x:c r="H34" s="6" t="s">
        <x:v>133</x:v>
      </x:c>
      <x:c r="I34" s="10" t="s">
        <x:v>133</x:v>
      </x:c>
      <x:c r="J34" s="10" t="s">
        <x:v>81</x:v>
      </x:c>
      <x:c r="K34" s="9" t="str">
        <x:f>"105121088"</x:f>
        <x:v>105121088</x:v>
      </x:c>
      <x:c r="L34" s="9" t="str">
        <x:f>"105121088"</x:f>
        <x:v>105121088</x:v>
      </x:c>
      <x:c r="M34" s="12" t="s">
        <x:v>489</x:v>
      </x:c>
      <x:c r="N34" s="8">
        <x:v>40</x:v>
      </x:c>
      <x:c r="O34" s="11" t="n">
        <x:f>IF(B34="KEEP EXISTING",N34,'Cost Review'!H34)</x:f>
        <x:v>40</x:v>
      </x:c>
      <x:c r="P34" s="8" t="str">
        <x:f t="shared" ref="P34:P65" si="3">IF(B34="EXCLUDE","Excluded",IF(B34="REVIEW MATCH","Review match",IF(B34="KEEP EXISTING","Existing",IF(O34&lt;=0,"MISSING","REVIEW"))))</x:f>
        <x:v>REVIEW</x:v>
      </x:c>
      <x:c r="Q34" s="8">
        <x:v>79</x:v>
      </x:c>
      <x:c r="R34" s="11" t="n">
        <x:f>IF(B34="KEEP EXISTING",Q34,'Cost Review'!J34)</x:f>
        <x:v>79</x:v>
      </x:c>
      <x:c r="S34" s="6" t="str">
        <x:f t="shared" ref="S34:S65" si="4">IF(B34="EXCLUDE","Excluded",IF(B34="REVIEW MATCH","Review match",IF(B34="KEEP EXISTING","Existing",IF(OR(R34&lt;=0,R34&gt;100000),"CHECK","OK"))))</x:f>
        <x:v>OK</x:v>
      </x:c>
      <x:c r="T34" s="9" t="str">
        <x:f>"105121088"</x:f>
        <x:v>105121088</x:v>
      </x:c>
      <x:c r="U34" s="10" t="s">
        <x:v>534</x:v>
      </x:c>
      <x:c r="V34" s="6" t="str">
        <x:f t="shared" ref="V34:V65" si="5">IF(B34="EXCLUDE","Excluded",IF(B34="REVIEW MATCH","Review match",IF(B34="KEEP EXISTING","Existing",IF(U34="","MISSING","FOUND"))))</x:f>
        <x:v>FOUND</x:v>
      </x:c>
      <x:c r="W34" s="9">
        <x:v>0</x:v>
      </x:c>
      <x:c r="X34" s="9">
        <x:v>0</x:v>
      </x:c>
      <x:c r="Y34" s="6" t="str">
        <x:f>IF(B34="EXCLUDE","Excluded by user",IF(B34="REVIEW MATCH","Review current POS match",IF(B34="KEEP EXISTING","Already in POS",IF(O34&lt;=0,"Blocked: cost",IF(OR(R34&lt;=0,R34&gt;100000),"Blocked: retail",IF(U34="","Blocked: image",IF('Summary'!$B$3="APPROVED","READY","Pending approval")))))))</x:f>
        <x:v>Pending approval</x:v>
      </x:c>
      <x:c r="Z34" s="6" t="str"/>
    </x:row>
    <x:row r="35" ht="29.25">
      <x:c r="A35" s="12" t="s">
        <x:v>134</x:v>
      </x:c>
      <x:c r="B35" s="6" t="str">
        <x:v>IMPORT</x:v>
      </x:c>
      <x:c r="C35" s="6"/>
      <x:c r="D35" s="6"/>
      <x:c r="E35" s="6" t="s">
        <x:v>515</x:v>
      </x:c>
      <x:c r="F35" s="6" t="s">
        <x:v>52</x:v>
      </x:c>
      <x:c r="G35" s="6" t="s">
        <x:v>58</x:v>
      </x:c>
      <x:c r="H35" s="6" t="s">
        <x:v>135</x:v>
      </x:c>
      <x:c r="I35" s="10" t="s">
        <x:v>135</x:v>
      </x:c>
      <x:c r="J35" s="10" t="s">
        <x:v>136</x:v>
      </x:c>
      <x:c r="K35" s="9" t="str">
        <x:f>"103200041029"</x:f>
        <x:v>103200041029</x:v>
      </x:c>
      <x:c r="L35" s="9" t="str">
        <x:f>"103200041029"</x:f>
        <x:v>103200041029</x:v>
      </x:c>
      <x:c r="M35" s="12" t="s">
        <x:v>489</x:v>
      </x:c>
      <x:c r="N35" s="8">
        <x:v>3.9</x:v>
      </x:c>
      <x:c r="O35" s="11" t="n">
        <x:f>IF(B35="KEEP EXISTING",N35,'Cost Review'!H35)</x:f>
        <x:v>3.9</x:v>
      </x:c>
      <x:c r="P35" s="8" t="str">
        <x:f t="shared" si="3">IF(B35="EXCLUDE","Excluded",IF(B35="REVIEW MATCH","Review match",IF(B35="KEEP EXISTING","Existing",IF(O35&lt;=0,"MISSING","REVIEW"))))</x:f>
        <x:v>REVIEW</x:v>
      </x:c>
      <x:c r="Q35" s="8">
        <x:v>15.99</x:v>
      </x:c>
      <x:c r="R35" s="11" t="n">
        <x:f>IF(B35="KEEP EXISTING",Q35,'Cost Review'!J35)</x:f>
        <x:v>15.99</x:v>
      </x:c>
      <x:c r="S35" s="6" t="str">
        <x:f t="shared" si="4">IF(B35="EXCLUDE","Excluded",IF(B35="REVIEW MATCH","Review match",IF(B35="KEEP EXISTING","Existing",IF(OR(R35&lt;=0,R35&gt;100000),"CHECK","OK"))))</x:f>
        <x:v>OK</x:v>
      </x:c>
      <x:c r="T35" s="9" t="str">
        <x:f>"103200041029"</x:f>
        <x:v>103200041029</x:v>
      </x:c>
      <x:c r="U35" s="10" t="s">
        <x:v>535</x:v>
      </x:c>
      <x:c r="V35" s="6" t="str">
        <x:f t="shared" si="5">IF(B35="EXCLUDE","Excluded",IF(B35="REVIEW MATCH","Review match",IF(B35="KEEP EXISTING","Existing",IF(U35="","MISSING","FOUND"))))</x:f>
        <x:v>FOUND</x:v>
      </x:c>
      <x:c r="W35" s="9">
        <x:v>35</x:v>
      </x:c>
      <x:c r="X35" s="9">
        <x:v>0</x:v>
      </x:c>
      <x:c r="Y35" s="6" t="str">
        <x:f>IF(B35="EXCLUDE","Excluded by user",IF(B35="REVIEW MATCH","Review current POS match",IF(B35="KEEP EXISTING","Already in POS",IF(O35&lt;=0,"Blocked: cost",IF(OR(R35&lt;=0,R35&gt;100000),"Blocked: retail",IF(U35="","Blocked: image",IF('Summary'!$B$3="APPROVED","READY","Pending approval")))))))</x:f>
        <x:v>Pending approval</x:v>
      </x:c>
      <x:c r="Z35" s="6" t="str">
        <x:v>Source stock 35 is reference only; POS starts at 0.</x:v>
      </x:c>
    </x:row>
    <x:row r="36" ht="43.5">
      <x:c r="A36" s="12" t="s">
        <x:v>138</x:v>
      </x:c>
      <x:c r="B36" s="25" t="str">
        <x:v>EXCLUDE</x:v>
      </x:c>
      <x:c r="C36" s="6"/>
      <x:c r="D36" s="6"/>
      <x:c r="E36" s="6" t="s">
        <x:v>525</x:v>
      </x:c>
      <x:c r="F36" s="6" t="s">
        <x:v>52</x:v>
      </x:c>
      <x:c r="G36" s="6" t="s">
        <x:v>53</x:v>
      </x:c>
      <x:c r="H36" s="6" t="s">
        <x:v>139</x:v>
      </x:c>
      <x:c r="I36" s="10" t="s">
        <x:v>139</x:v>
      </x:c>
      <x:c r="J36" s="10" t="s">
        <x:v>37</x:v>
      </x:c>
      <x:c r="K36" s="9" t="str">
        <x:f>"1026860"</x:f>
        <x:v>1026860</x:v>
      </x:c>
      <x:c r="L36" s="9" t="str">
        <x:f>"TM8-COMP-10319"</x:f>
        <x:v>TM8-COMP-10319</x:v>
      </x:c>
      <x:c r="M36" s="12" t="s">
        <x:v>536</x:v>
      </x:c>
      <x:c r="N36" s="8">
        <x:v>0</x:v>
      </x:c>
      <x:c r="O36" s="11" t="n">
        <x:f>IF(B36="KEEP EXISTING",N36,'Cost Review'!H36)</x:f>
        <x:v>0</x:v>
      </x:c>
      <x:c r="P36" s="8" t="str">
        <x:f t="shared" si="3">IF(B36="EXCLUDE","Excluded",IF(B36="REVIEW MATCH","Review match",IF(B36="KEEP EXISTING","Existing",IF(O36&lt;=0,"MISSING","REVIEW"))))</x:f>
        <x:v>Excluded</x:v>
      </x:c>
      <x:c r="Q36" s="8">
        <x:v>0</x:v>
      </x:c>
      <x:c r="R36" s="11" t="n">
        <x:f>IF(B36="KEEP EXISTING",Q36,'Cost Review'!J36)</x:f>
        <x:v>0</x:v>
      </x:c>
      <x:c r="S36" s="6" t="str">
        <x:f t="shared" si="4">IF(B36="EXCLUDE","Excluded",IF(B36="REVIEW MATCH","Review match",IF(B36="KEEP EXISTING","Existing",IF(OR(R36&lt;=0,R36&gt;100000),"CHECK","OK"))))</x:f>
        <x:v>Excluded</x:v>
      </x:c>
      <x:c r="T36" s="9" t="str">
        <x:f>"2998000103198"</x:f>
        <x:v>2998000103198</x:v>
      </x:c>
      <x:c r="U36" s="10" t="s">
        <x:v>537</x:v>
      </x:c>
      <x:c r="V36" s="6" t="str">
        <x:f t="shared" si="5">IF(B36="EXCLUDE","Excluded",IF(B36="REVIEW MATCH","Review match",IF(B36="KEEP EXISTING","Existing",IF(U36="","MISSING","FOUND"))))</x:f>
        <x:v>Excluded</x:v>
      </x:c>
      <x:c r="W36" s="9">
        <x:v>0</x:v>
      </x:c>
      <x:c r="X36" s="9">
        <x:v>0</x:v>
      </x:c>
      <x:c r="Y36" s="26" t="str">
        <x:f>IF(B36="EXCLUDE","Excluded by user",IF(B36="REVIEW MATCH","Review current POS match",IF(B36="KEEP EXISTING","Already in POS",IF(O36&lt;=0,"Blocked: cost",IF(OR(R36&lt;=0,R36&gt;100000),"Blocked: retail",IF(U36="","Blocked: image",IF('Summary'!$B$3="APPROVED","READY","Pending approval")))))))</x:f>
        <x:v>Excluded by user</x:v>
      </x:c>
      <x:c r="Z36" s="26" t="str">
        <x:v>Cost must be entered before import. Retail price requires correction. USER EXCLUSION: red-marked item; do not import.</x:v>
      </x:c>
    </x:row>
    <x:row r="37" ht="43.5">
      <x:c r="A37" s="12" t="s">
        <x:v>140</x:v>
      </x:c>
      <x:c r="B37" s="25" t="str">
        <x:v>EXCLUDE</x:v>
      </x:c>
      <x:c r="C37" s="6"/>
      <x:c r="D37" s="6"/>
      <x:c r="E37" s="6" t="s">
        <x:v>525</x:v>
      </x:c>
      <x:c r="F37" s="6" t="s">
        <x:v>52</x:v>
      </x:c>
      <x:c r="G37" s="6" t="s">
        <x:v>53</x:v>
      </x:c>
      <x:c r="H37" s="6" t="s">
        <x:v>141</x:v>
      </x:c>
      <x:c r="I37" s="10" t="s">
        <x:v>141</x:v>
      </x:c>
      <x:c r="J37" s="10" t="s">
        <x:v>37</x:v>
      </x:c>
      <x:c r="K37" s="9" t="str">
        <x:f>"1026860"</x:f>
        <x:v>1026860</x:v>
      </x:c>
      <x:c r="L37" s="9" t="str">
        <x:f>"TM8-COMP-10318"</x:f>
        <x:v>TM8-COMP-10318</x:v>
      </x:c>
      <x:c r="M37" s="12" t="s">
        <x:v>536</x:v>
      </x:c>
      <x:c r="N37" s="8">
        <x:v>0</x:v>
      </x:c>
      <x:c r="O37" s="11" t="n">
        <x:f>IF(B37="KEEP EXISTING",N37,'Cost Review'!H37)</x:f>
        <x:v>0</x:v>
      </x:c>
      <x:c r="P37" s="8" t="str">
        <x:f t="shared" si="3">IF(B37="EXCLUDE","Excluded",IF(B37="REVIEW MATCH","Review match",IF(B37="KEEP EXISTING","Existing",IF(O37&lt;=0,"MISSING","REVIEW"))))</x:f>
        <x:v>Excluded</x:v>
      </x:c>
      <x:c r="Q37" s="8">
        <x:v>0</x:v>
      </x:c>
      <x:c r="R37" s="11" t="n">
        <x:f>IF(B37="KEEP EXISTING",Q37,'Cost Review'!J37)</x:f>
        <x:v>0</x:v>
      </x:c>
      <x:c r="S37" s="6" t="str">
        <x:f t="shared" si="4">IF(B37="EXCLUDE","Excluded",IF(B37="REVIEW MATCH","Review match",IF(B37="KEEP EXISTING","Existing",IF(OR(R37&lt;=0,R37&gt;100000),"CHECK","OK"))))</x:f>
        <x:v>Excluded</x:v>
      </x:c>
      <x:c r="T37" s="9" t="str">
        <x:f>"2998000103181"</x:f>
        <x:v>2998000103181</x:v>
      </x:c>
      <x:c r="U37" s="10" t="s">
        <x:v>538</x:v>
      </x:c>
      <x:c r="V37" s="6" t="str">
        <x:f t="shared" si="5">IF(B37="EXCLUDE","Excluded",IF(B37="REVIEW MATCH","Review match",IF(B37="KEEP EXISTING","Existing",IF(U37="","MISSING","FOUND"))))</x:f>
        <x:v>Excluded</x:v>
      </x:c>
      <x:c r="W37" s="9">
        <x:v>0</x:v>
      </x:c>
      <x:c r="X37" s="9">
        <x:v>0</x:v>
      </x:c>
      <x:c r="Y37" s="26" t="str">
        <x:f>IF(B37="EXCLUDE","Excluded by user",IF(B37="REVIEW MATCH","Review current POS match",IF(B37="KEEP EXISTING","Already in POS",IF(O37&lt;=0,"Blocked: cost",IF(OR(R37&lt;=0,R37&gt;100000),"Blocked: retail",IF(U37="","Blocked: image",IF('Summary'!$B$3="APPROVED","READY","Pending approval")))))))</x:f>
        <x:v>Excluded by user</x:v>
      </x:c>
      <x:c r="Z37" s="26" t="str">
        <x:v>Cost must be entered before import. Retail price requires correction. USER EXCLUSION: red-marked item; do not import.</x:v>
      </x:c>
    </x:row>
    <x:row r="38" ht="43.5">
      <x:c r="A38" s="12" t="s">
        <x:v>142</x:v>
      </x:c>
      <x:c r="B38" s="25" t="str">
        <x:v>EXCLUDE</x:v>
      </x:c>
      <x:c r="C38" s="6"/>
      <x:c r="D38" s="6"/>
      <x:c r="E38" s="6" t="s">
        <x:v>525</x:v>
      </x:c>
      <x:c r="F38" s="6" t="s">
        <x:v>52</x:v>
      </x:c>
      <x:c r="G38" s="6" t="s">
        <x:v>53</x:v>
      </x:c>
      <x:c r="H38" s="6" t="s">
        <x:v>143</x:v>
      </x:c>
      <x:c r="I38" s="10" t="s">
        <x:v>143</x:v>
      </x:c>
      <x:c r="J38" s="10" t="s">
        <x:v>37</x:v>
      </x:c>
      <x:c r="K38" s="9" t="str">
        <x:f>"1026860"</x:f>
        <x:v>1026860</x:v>
      </x:c>
      <x:c r="L38" s="9" t="str">
        <x:f>"TM8-COMP-10317"</x:f>
        <x:v>TM8-COMP-10317</x:v>
      </x:c>
      <x:c r="M38" s="12" t="s">
        <x:v>536</x:v>
      </x:c>
      <x:c r="N38" s="8">
        <x:v>0</x:v>
      </x:c>
      <x:c r="O38" s="11" t="n">
        <x:f>IF(B38="KEEP EXISTING",N38,'Cost Review'!H38)</x:f>
        <x:v>0</x:v>
      </x:c>
      <x:c r="P38" s="8" t="str">
        <x:f t="shared" si="3">IF(B38="EXCLUDE","Excluded",IF(B38="REVIEW MATCH","Review match",IF(B38="KEEP EXISTING","Existing",IF(O38&lt;=0,"MISSING","REVIEW"))))</x:f>
        <x:v>Excluded</x:v>
      </x:c>
      <x:c r="Q38" s="8">
        <x:v>0</x:v>
      </x:c>
      <x:c r="R38" s="11" t="n">
        <x:f>IF(B38="KEEP EXISTING",Q38,'Cost Review'!J38)</x:f>
        <x:v>0</x:v>
      </x:c>
      <x:c r="S38" s="6" t="str">
        <x:f t="shared" si="4">IF(B38="EXCLUDE","Excluded",IF(B38="REVIEW MATCH","Review match",IF(B38="KEEP EXISTING","Existing",IF(OR(R38&lt;=0,R38&gt;100000),"CHECK","OK"))))</x:f>
        <x:v>Excluded</x:v>
      </x:c>
      <x:c r="T38" s="9" t="str">
        <x:f>"2998000103174"</x:f>
        <x:v>2998000103174</x:v>
      </x:c>
      <x:c r="U38" s="10" t="s">
        <x:v>539</x:v>
      </x:c>
      <x:c r="V38" s="6" t="str">
        <x:f t="shared" si="5">IF(B38="EXCLUDE","Excluded",IF(B38="REVIEW MATCH","Review match",IF(B38="KEEP EXISTING","Existing",IF(U38="","MISSING","FOUND"))))</x:f>
        <x:v>Excluded</x:v>
      </x:c>
      <x:c r="W38" s="9">
        <x:v>0</x:v>
      </x:c>
      <x:c r="X38" s="9">
        <x:v>0</x:v>
      </x:c>
      <x:c r="Y38" s="26" t="str">
        <x:f>IF(B38="EXCLUDE","Excluded by user",IF(B38="REVIEW MATCH","Review current POS match",IF(B38="KEEP EXISTING","Already in POS",IF(O38&lt;=0,"Blocked: cost",IF(OR(R38&lt;=0,R38&gt;100000),"Blocked: retail",IF(U38="","Blocked: image",IF('Summary'!$B$3="APPROVED","READY","Pending approval")))))))</x:f>
        <x:v>Excluded by user</x:v>
      </x:c>
      <x:c r="Z38" s="26" t="str">
        <x:v>Cost must be entered before import. Retail price requires correction. USER EXCLUSION: red-marked item; do not import.</x:v>
      </x:c>
    </x:row>
    <x:row r="39" ht="43.5">
      <x:c r="A39" s="12" t="s">
        <x:v>144</x:v>
      </x:c>
      <x:c r="B39" s="25" t="str">
        <x:v>EXCLUDE</x:v>
      </x:c>
      <x:c r="C39" s="6"/>
      <x:c r="D39" s="6"/>
      <x:c r="E39" s="6" t="s">
        <x:v>508</x:v>
      </x:c>
      <x:c r="F39" s="6" t="s">
        <x:v>52</x:v>
      </x:c>
      <x:c r="G39" s="6" t="s">
        <x:v>53</x:v>
      </x:c>
      <x:c r="H39" s="6" t="s">
        <x:v>145</x:v>
      </x:c>
      <x:c r="I39" s="10" t="s">
        <x:v>145</x:v>
      </x:c>
      <x:c r="J39" s="10" t="s">
        <x:v>146</x:v>
      </x:c>
      <x:c r="K39" s="9" t="str">
        <x:f>"964912"</x:f>
        <x:v>964912</x:v>
      </x:c>
      <x:c r="L39" s="9" t="str">
        <x:f>"TM8-COMP-10300"</x:f>
        <x:v>TM8-COMP-10300</x:v>
      </x:c>
      <x:c r="M39" s="12" t="s">
        <x:v>536</x:v>
      </x:c>
      <x:c r="N39" s="8">
        <x:v>39.5</x:v>
      </x:c>
      <x:c r="O39" s="11" t="n">
        <x:f>IF(B39="KEEP EXISTING",N39,'Cost Review'!H39)</x:f>
        <x:v>39.5</x:v>
      </x:c>
      <x:c r="P39" s="8" t="str">
        <x:f t="shared" si="3">IF(B39="EXCLUDE","Excluded",IF(B39="REVIEW MATCH","Review match",IF(B39="KEEP EXISTING","Existing",IF(O39&lt;=0,"MISSING","REVIEW"))))</x:f>
        <x:v>Excluded</x:v>
      </x:c>
      <x:c r="Q39" s="8">
        <x:v>25</x:v>
      </x:c>
      <x:c r="R39" s="11" t="n">
        <x:f>IF(B39="KEEP EXISTING",Q39,'Cost Review'!J39)</x:f>
        <x:v>25</x:v>
      </x:c>
      <x:c r="S39" s="6" t="str">
        <x:f t="shared" si="4">IF(B39="EXCLUDE","Excluded",IF(B39="REVIEW MATCH","Review match",IF(B39="KEEP EXISTING","Existing",IF(OR(R39&lt;=0,R39&gt;100000),"CHECK","OK"))))</x:f>
        <x:v>Excluded</x:v>
      </x:c>
      <x:c r="T39" s="9" t="str">
        <x:f>"6928968321675"</x:f>
        <x:v>6928968321675</x:v>
      </x:c>
      <x:c r="U39" s="10" t="s">
        <x:v>540</x:v>
      </x:c>
      <x:c r="V39" s="6" t="str">
        <x:f t="shared" si="5">IF(B39="EXCLUDE","Excluded",IF(B39="REVIEW MATCH","Review match",IF(B39="KEEP EXISTING","Existing",IF(U39="","MISSING","FOUND"))))</x:f>
        <x:v>Excluded</x:v>
      </x:c>
      <x:c r="W39" s="9">
        <x:v>0</x:v>
      </x:c>
      <x:c r="X39" s="9">
        <x:v>0</x:v>
      </x:c>
      <x:c r="Y39" s="26" t="str">
        <x:f>IF(B39="EXCLUDE","Excluded by user",IF(B39="REVIEW MATCH","Review current POS match",IF(B39="KEEP EXISTING","Already in POS",IF(O39&lt;=0,"Blocked: cost",IF(OR(R39&lt;=0,R39&gt;100000),"Blocked: retail",IF(U39="","Blocked: image",IF('Summary'!$B$3="APPROVED","READY","Pending approval")))))))</x:f>
        <x:v>Excluded by user</x:v>
      </x:c>
      <x:c r="Z39" s="26" t="str">
        <x:v>USER EXCLUSION: red-marked item; do not import.</x:v>
      </x:c>
    </x:row>
    <x:row r="40" ht="43.5">
      <x:c r="A40" s="12" t="s">
        <x:v>147</x:v>
      </x:c>
      <x:c r="B40" s="6" t="str">
        <x:v>IMPORT</x:v>
      </x:c>
      <x:c r="C40" s="6"/>
      <x:c r="D40" s="6"/>
      <x:c r="E40" s="6" t="s">
        <x:v>541</x:v>
      </x:c>
      <x:c r="F40" s="6" t="s">
        <x:v>52</x:v>
      </x:c>
      <x:c r="G40" s="6" t="s">
        <x:v>58</x:v>
      </x:c>
      <x:c r="H40" s="6" t="s">
        <x:v>148</x:v>
      </x:c>
      <x:c r="I40" s="10" t="s">
        <x:v>148</x:v>
      </x:c>
      <x:c r="J40" s="10" t="s">
        <x:v>37</x:v>
      </x:c>
      <x:c r="K40" s="9" t="str">
        <x:f>"77"</x:f>
        <x:v>77</x:v>
      </x:c>
      <x:c r="L40" s="9" t="str">
        <x:f>"TM8-COMP-10299"</x:f>
        <x:v>TM8-COMP-10299</x:v>
      </x:c>
      <x:c r="M40" s="12" t="s">
        <x:v>542</x:v>
      </x:c>
      <x:c r="N40" s="8">
        <x:v>35</x:v>
      </x:c>
      <x:c r="O40" s="11" t="n">
        <x:f>IF(B40="KEEP EXISTING",N40,'Cost Review'!H40)</x:f>
        <x:v>35</x:v>
      </x:c>
      <x:c r="P40" s="8" t="str">
        <x:f t="shared" si="3">IF(B40="EXCLUDE","Excluded",IF(B40="REVIEW MATCH","Review match",IF(B40="KEEP EXISTING","Existing",IF(O40&lt;=0,"MISSING","REVIEW"))))</x:f>
        <x:v>REVIEW</x:v>
      </x:c>
      <x:c r="Q40" s="8">
        <x:v>109</x:v>
      </x:c>
      <x:c r="R40" s="11" t="n">
        <x:f>IF(B40="KEEP EXISTING",Q40,'Cost Review'!J40)</x:f>
        <x:v>109</x:v>
      </x:c>
      <x:c r="S40" s="6" t="str">
        <x:f t="shared" si="4">IF(B40="EXCLUDE","Excluded",IF(B40="REVIEW MATCH","Review match",IF(B40="KEEP EXISTING","Existing",IF(OR(R40&lt;=0,R40&gt;100000),"CHECK","OK"))))</x:f>
        <x:v>OK</x:v>
      </x:c>
      <x:c r="T40" s="9" t="str">
        <x:f>"6925758630535"</x:f>
        <x:v>6925758630535</x:v>
      </x:c>
      <x:c r="U40" s="10" t="s">
        <x:v>543</x:v>
      </x:c>
      <x:c r="V40" s="6" t="str">
        <x:f t="shared" si="5">IF(B40="EXCLUDE","Excluded",IF(B40="REVIEW MATCH","Review match",IF(B40="KEEP EXISTING","Existing",IF(U40="","MISSING","FOUND"))))</x:f>
        <x:v>FOUND</x:v>
      </x:c>
      <x:c r="W40" s="9">
        <x:v>0</x:v>
      </x:c>
      <x:c r="X40" s="9">
        <x:v>0</x:v>
      </x:c>
      <x:c r="Y40" s="6" t="str">
        <x:f>IF(B40="EXCLUDE","Excluded by user",IF(B40="REVIEW MATCH","Review current POS match",IF(B40="KEEP EXISTING","Already in POS",IF(O40&lt;=0,"Blocked: cost",IF(OR(R40&lt;=0,R40&gt;100000),"Blocked: retail",IF(U40="","Blocked: image",IF('Summary'!$B$3="APPROVED","READY","Pending approval")))))))</x:f>
        <x:v>Pending approval</x:v>
      </x:c>
      <x:c r="Z40" s="6" t="str"/>
    </x:row>
    <x:row r="41" ht="43.5">
      <x:c r="A41" s="12" t="s">
        <x:v>149</x:v>
      </x:c>
      <x:c r="B41" s="6" t="str">
        <x:v>IMPORT</x:v>
      </x:c>
      <x:c r="C41" s="6"/>
      <x:c r="D41" s="6"/>
      <x:c r="E41" s="6" t="s">
        <x:v>508</x:v>
      </x:c>
      <x:c r="F41" s="6" t="s">
        <x:v>52</x:v>
      </x:c>
      <x:c r="G41" s="6" t="s">
        <x:v>53</x:v>
      </x:c>
      <x:c r="H41" s="6" t="s">
        <x:v>150</x:v>
      </x:c>
      <x:c r="I41" s="10" t="s">
        <x:v>150</x:v>
      </x:c>
      <x:c r="J41" s="10" t="s">
        <x:v>146</x:v>
      </x:c>
      <x:c r="K41" s="9" t="str">
        <x:f>"1004132"</x:f>
        <x:v>1004132</x:v>
      </x:c>
      <x:c r="L41" s="9" t="str">
        <x:f>"TM8-COMP-10298"</x:f>
        <x:v>TM8-COMP-10298</x:v>
      </x:c>
      <x:c r="M41" s="12" t="s">
        <x:v>536</x:v>
      </x:c>
      <x:c r="N41" s="8">
        <x:v>70</x:v>
      </x:c>
      <x:c r="O41" s="11" t="n">
        <x:f>IF(B41="KEEP EXISTING",N41,'Cost Review'!H41)</x:f>
        <x:v>70</x:v>
      </x:c>
      <x:c r="P41" s="8" t="str">
        <x:f t="shared" si="3">IF(B41="EXCLUDE","Excluded",IF(B41="REVIEW MATCH","Review match",IF(B41="KEEP EXISTING","Existing",IF(O41&lt;=0,"MISSING","REVIEW"))))</x:f>
        <x:v>REVIEW</x:v>
      </x:c>
      <x:c r="Q41" s="8">
        <x:v>129</x:v>
      </x:c>
      <x:c r="R41" s="11" t="n">
        <x:f>IF(B41="KEEP EXISTING",Q41,'Cost Review'!J41)</x:f>
        <x:v>129</x:v>
      </x:c>
      <x:c r="S41" s="6" t="str">
        <x:f t="shared" si="4">IF(B41="EXCLUDE","Excluded",IF(B41="REVIEW MATCH","Review match",IF(B41="KEEP EXISTING","Existing",IF(OR(R41&lt;=0,R41&gt;100000),"CHECK","OK"))))</x:f>
        <x:v>OK</x:v>
      </x:c>
      <x:c r="T41" s="9" t="str">
        <x:f>"6928968318477"</x:f>
        <x:v>6928968318477</x:v>
      </x:c>
      <x:c r="U41" s="10" t="s">
        <x:v>544</x:v>
      </x:c>
      <x:c r="V41" s="6" t="str">
        <x:f t="shared" si="5">IF(B41="EXCLUDE","Excluded",IF(B41="REVIEW MATCH","Review match",IF(B41="KEEP EXISTING","Existing",IF(U41="","MISSING","FOUND"))))</x:f>
        <x:v>FOUND</x:v>
      </x:c>
      <x:c r="W41" s="9">
        <x:v>1</x:v>
      </x:c>
      <x:c r="X41" s="9">
        <x:v>0</x:v>
      </x:c>
      <x:c r="Y41" s="6" t="str">
        <x:f>IF(B41="EXCLUDE","Excluded by user",IF(B41="REVIEW MATCH","Review current POS match",IF(B41="KEEP EXISTING","Already in POS",IF(O41&lt;=0,"Blocked: cost",IF(OR(R41&lt;=0,R41&gt;100000),"Blocked: retail",IF(U41="","Blocked: image",IF('Summary'!$B$3="APPROVED","READY","Pending approval")))))))</x:f>
        <x:v>Pending approval</x:v>
      </x:c>
      <x:c r="Z41" s="6" t="str">
        <x:v>Source stock 1 is reference only; POS starts at 0.</x:v>
      </x:c>
    </x:row>
    <x:row r="42" ht="43.5">
      <x:c r="A42" s="12" t="s">
        <x:v>151</x:v>
      </x:c>
      <x:c r="B42" s="6" t="str">
        <x:v>IMPORT</x:v>
      </x:c>
      <x:c r="C42" s="6"/>
      <x:c r="D42" s="6"/>
      <x:c r="E42" s="6" t="s">
        <x:v>508</x:v>
      </x:c>
      <x:c r="F42" s="6" t="s">
        <x:v>52</x:v>
      </x:c>
      <x:c r="G42" s="6" t="s">
        <x:v>53</x:v>
      </x:c>
      <x:c r="H42" s="6" t="s">
        <x:v>152</x:v>
      </x:c>
      <x:c r="I42" s="10" t="s">
        <x:v>152</x:v>
      </x:c>
      <x:c r="J42" s="10" t="s">
        <x:v>146</x:v>
      </x:c>
      <x:c r="K42" s="9" t="str">
        <x:f>"1004132"</x:f>
        <x:v>1004132</x:v>
      </x:c>
      <x:c r="L42" s="9" t="str">
        <x:f>"TM8-COMP-10297"</x:f>
        <x:v>TM8-COMP-10297</x:v>
      </x:c>
      <x:c r="M42" s="12" t="s">
        <x:v>536</x:v>
      </x:c>
      <x:c r="N42" s="8">
        <x:v>60</x:v>
      </x:c>
      <x:c r="O42" s="11" t="n">
        <x:f>IF(B42="KEEP EXISTING",N42,'Cost Review'!H42)</x:f>
        <x:v>60</x:v>
      </x:c>
      <x:c r="P42" s="8" t="str">
        <x:f t="shared" si="3">IF(B42="EXCLUDE","Excluded",IF(B42="REVIEW MATCH","Review match",IF(B42="KEEP EXISTING","Existing",IF(O42&lt;=0,"MISSING","REVIEW"))))</x:f>
        <x:v>REVIEW</x:v>
      </x:c>
      <x:c r="Q42" s="8">
        <x:v>99</x:v>
      </x:c>
      <x:c r="R42" s="11" t="n">
        <x:f>IF(B42="KEEP EXISTING",Q42,'Cost Review'!J42)</x:f>
        <x:v>99</x:v>
      </x:c>
      <x:c r="S42" s="6" t="str">
        <x:f t="shared" si="4">IF(B42="EXCLUDE","Excluded",IF(B42="REVIEW MATCH","Review match",IF(B42="KEEP EXISTING","Existing",IF(OR(R42&lt;=0,R42&gt;100000),"CHECK","OK"))))</x:f>
        <x:v>OK</x:v>
      </x:c>
      <x:c r="T42" s="9" t="str">
        <x:f>"6928968319108"</x:f>
        <x:v>6928968319108</x:v>
      </x:c>
      <x:c r="U42" s="10" t="s">
        <x:v>545</x:v>
      </x:c>
      <x:c r="V42" s="6" t="str">
        <x:f t="shared" si="5">IF(B42="EXCLUDE","Excluded",IF(B42="REVIEW MATCH","Review match",IF(B42="KEEP EXISTING","Existing",IF(U42="","MISSING","FOUND"))))</x:f>
        <x:v>FOUND</x:v>
      </x:c>
      <x:c r="W42" s="9">
        <x:v>0</x:v>
      </x:c>
      <x:c r="X42" s="9">
        <x:v>0</x:v>
      </x:c>
      <x:c r="Y42" s="6" t="str">
        <x:f>IF(B42="EXCLUDE","Excluded by user",IF(B42="REVIEW MATCH","Review current POS match",IF(B42="KEEP EXISTING","Already in POS",IF(O42&lt;=0,"Blocked: cost",IF(OR(R42&lt;=0,R42&gt;100000),"Blocked: retail",IF(U42="","Blocked: image",IF('Summary'!$B$3="APPROVED","READY","Pending approval")))))))</x:f>
        <x:v>Pending approval</x:v>
      </x:c>
      <x:c r="Z42" s="6" t="str"/>
    </x:row>
    <x:row r="43" ht="43.5">
      <x:c r="A43" s="12" t="s">
        <x:v>153</x:v>
      </x:c>
      <x:c r="B43" s="6" t="str">
        <x:v>IMPORT</x:v>
      </x:c>
      <x:c r="C43" s="6"/>
      <x:c r="D43" s="6"/>
      <x:c r="E43" s="6" t="s">
        <x:v>508</x:v>
      </x:c>
      <x:c r="F43" s="6" t="s">
        <x:v>52</x:v>
      </x:c>
      <x:c r="G43" s="6" t="s">
        <x:v>53</x:v>
      </x:c>
      <x:c r="H43" s="6" t="s">
        <x:v>154</x:v>
      </x:c>
      <x:c r="I43" s="10" t="s">
        <x:v>154</x:v>
      </x:c>
      <x:c r="J43" s="10" t="s">
        <x:v>146</x:v>
      </x:c>
      <x:c r="K43" s="9" t="str">
        <x:f>"1004132"</x:f>
        <x:v>1004132</x:v>
      </x:c>
      <x:c r="L43" s="9" t="str">
        <x:f>"TM8-COMP-10296"</x:f>
        <x:v>TM8-COMP-10296</x:v>
      </x:c>
      <x:c r="M43" s="12" t="s">
        <x:v>536</x:v>
      </x:c>
      <x:c r="N43" s="8">
        <x:v>70</x:v>
      </x:c>
      <x:c r="O43" s="11" t="n">
        <x:f>IF(B43="KEEP EXISTING",N43,'Cost Review'!H43)</x:f>
        <x:v>70</x:v>
      </x:c>
      <x:c r="P43" s="8" t="str">
        <x:f t="shared" si="3">IF(B43="EXCLUDE","Excluded",IF(B43="REVIEW MATCH","Review match",IF(B43="KEEP EXISTING","Existing",IF(O43&lt;=0,"MISSING","REVIEW"))))</x:f>
        <x:v>REVIEW</x:v>
      </x:c>
      <x:c r="Q43" s="8">
        <x:v>129</x:v>
      </x:c>
      <x:c r="R43" s="11" t="n">
        <x:f>IF(B43="KEEP EXISTING",Q43,'Cost Review'!J43)</x:f>
        <x:v>129</x:v>
      </x:c>
      <x:c r="S43" s="6" t="str">
        <x:f t="shared" si="4">IF(B43="EXCLUDE","Excluded",IF(B43="REVIEW MATCH","Review match",IF(B43="KEEP EXISTING","Existing",IF(OR(R43&lt;=0,R43&gt;100000),"CHECK","OK"))))</x:f>
        <x:v>OK</x:v>
      </x:c>
      <x:c r="T43" s="9" t="str">
        <x:f>"6928968318460"</x:f>
        <x:v>6928968318460</x:v>
      </x:c>
      <x:c r="U43" s="10" t="s">
        <x:v>546</x:v>
      </x:c>
      <x:c r="V43" s="6" t="str">
        <x:f t="shared" si="5">IF(B43="EXCLUDE","Excluded",IF(B43="REVIEW MATCH","Review match",IF(B43="KEEP EXISTING","Existing",IF(U43="","MISSING","FOUND"))))</x:f>
        <x:v>FOUND</x:v>
      </x:c>
      <x:c r="W43" s="9">
        <x:v>1</x:v>
      </x:c>
      <x:c r="X43" s="9">
        <x:v>0</x:v>
      </x:c>
      <x:c r="Y43" s="6" t="str">
        <x:f>IF(B43="EXCLUDE","Excluded by user",IF(B43="REVIEW MATCH","Review current POS match",IF(B43="KEEP EXISTING","Already in POS",IF(O43&lt;=0,"Blocked: cost",IF(OR(R43&lt;=0,R43&gt;100000),"Blocked: retail",IF(U43="","Blocked: image",IF('Summary'!$B$3="APPROVED","READY","Pending approval")))))))</x:f>
        <x:v>Pending approval</x:v>
      </x:c>
      <x:c r="Z43" s="6" t="str">
        <x:v>Source stock 1 is reference only; POS starts at 0.</x:v>
      </x:c>
    </x:row>
    <x:row r="44" ht="43.5">
      <x:c r="A44" s="12" t="s">
        <x:v>155</x:v>
      </x:c>
      <x:c r="B44" s="6" t="str">
        <x:v>IMPORT</x:v>
      </x:c>
      <x:c r="C44" s="6"/>
      <x:c r="D44" s="6"/>
      <x:c r="E44" s="6" t="s">
        <x:v>508</x:v>
      </x:c>
      <x:c r="F44" s="6" t="s">
        <x:v>52</x:v>
      </x:c>
      <x:c r="G44" s="6" t="s">
        <x:v>53</x:v>
      </x:c>
      <x:c r="H44" s="6" t="s">
        <x:v>156</x:v>
      </x:c>
      <x:c r="I44" s="10" t="s">
        <x:v>156</x:v>
      </x:c>
      <x:c r="J44" s="10" t="s">
        <x:v>157</x:v>
      </x:c>
      <x:c r="K44" s="9" t="str">
        <x:f>"964912"</x:f>
        <x:v>964912</x:v>
      </x:c>
      <x:c r="L44" s="9" t="str">
        <x:f>"TM8-COMP-10295"</x:f>
        <x:v>TM8-COMP-10295</x:v>
      </x:c>
      <x:c r="M44" s="12" t="s">
        <x:v>536</x:v>
      </x:c>
      <x:c r="N44" s="8">
        <x:v>3</x:v>
      </x:c>
      <x:c r="O44" s="11" t="n">
        <x:f>IF(B44="KEEP EXISTING",N44,'Cost Review'!H44)</x:f>
        <x:v>3</x:v>
      </x:c>
      <x:c r="P44" s="8" t="str">
        <x:f t="shared" si="3">IF(B44="EXCLUDE","Excluded",IF(B44="REVIEW MATCH","Review match",IF(B44="KEEP EXISTING","Existing",IF(O44&lt;=0,"MISSING","REVIEW"))))</x:f>
        <x:v>REVIEW</x:v>
      </x:c>
      <x:c r="Q44" s="8">
        <x:v>12.99</x:v>
      </x:c>
      <x:c r="R44" s="11" t="n">
        <x:f>IF(B44="KEEP EXISTING",Q44,'Cost Review'!J44)</x:f>
        <x:v>12.99</x:v>
      </x:c>
      <x:c r="S44" s="6" t="str">
        <x:f t="shared" si="4">IF(B44="EXCLUDE","Excluded",IF(B44="REVIEW MATCH","Review match",IF(B44="KEEP EXISTING","Existing",IF(OR(R44&lt;=0,R44&gt;100000),"CHECK","OK"))))</x:f>
        <x:v>OK</x:v>
      </x:c>
      <x:c r="T44" s="9" t="str">
        <x:f>"814256002738"</x:f>
        <x:v>814256002738</x:v>
      </x:c>
      <x:c r="U44" s="10" t="s">
        <x:v>547</x:v>
      </x:c>
      <x:c r="V44" s="6" t="str">
        <x:f t="shared" si="5">IF(B44="EXCLUDE","Excluded",IF(B44="REVIEW MATCH","Review match",IF(B44="KEEP EXISTING","Existing",IF(U44="","MISSING","FOUND"))))</x:f>
        <x:v>FOUND</x:v>
      </x:c>
      <x:c r="W44" s="9">
        <x:v>-3</x:v>
      </x:c>
      <x:c r="X44" s="9">
        <x:v>0</x:v>
      </x:c>
      <x:c r="Y44" s="6" t="str">
        <x:f>IF(B44="EXCLUDE","Excluded by user",IF(B44="REVIEW MATCH","Review current POS match",IF(B44="KEEP EXISTING","Already in POS",IF(O44&lt;=0,"Blocked: cost",IF(OR(R44&lt;=0,R44&gt;100000),"Blocked: retail",IF(U44="","Blocked: image",IF('Summary'!$B$3="APPROVED","READY","Pending approval")))))))</x:f>
        <x:v>Pending approval</x:v>
      </x:c>
      <x:c r="Z44" s="6" t="str">
        <x:v>Source stock -3 is reference only; POS starts at 0.</x:v>
      </x:c>
    </x:row>
    <x:row r="45" ht="29.25">
      <x:c r="A45" s="12" t="s">
        <x:v>159</x:v>
      </x:c>
      <x:c r="B45" s="25" t="str">
        <x:v>EXCLUDE</x:v>
      </x:c>
      <x:c r="C45" s="6"/>
      <x:c r="D45" s="6"/>
      <x:c r="E45" s="6" t="s">
        <x:v>548</x:v>
      </x:c>
      <x:c r="F45" s="6" t="s">
        <x:v>52</x:v>
      </x:c>
      <x:c r="G45" s="6" t="s">
        <x:v>162</x:v>
      </x:c>
      <x:c r="H45" s="6" t="s">
        <x:v>160</x:v>
      </x:c>
      <x:c r="I45" s="10" t="s">
        <x:v>160</x:v>
      </x:c>
      <x:c r="J45" s="10" t="s">
        <x:v>161</x:v>
      </x:c>
      <x:c r="K45" s="9" t="str">
        <x:f t="shared" ref="K45:K50" si="6">"77"</x:f>
        <x:v>77</x:v>
      </x:c>
      <x:c r="L45" s="9" t="str">
        <x:f>"TM8-COMP-10294"</x:f>
        <x:v>TM8-COMP-10294</x:v>
      </x:c>
      <x:c r="M45" s="12" t="s">
        <x:v>542</x:v>
      </x:c>
      <x:c r="N45" s="8">
        <x:v>460</x:v>
      </x:c>
      <x:c r="O45" s="11" t="n">
        <x:f>IF(B45="KEEP EXISTING",N45,'Cost Review'!H45)</x:f>
        <x:v>460</x:v>
      </x:c>
      <x:c r="P45" s="8" t="str">
        <x:f t="shared" si="3">IF(B45="EXCLUDE","Excluded",IF(B45="REVIEW MATCH","Review match",IF(B45="KEEP EXISTING","Existing",IF(O45&lt;=0,"MISSING","REVIEW"))))</x:f>
        <x:v>Excluded</x:v>
      </x:c>
      <x:c r="Q45" s="8">
        <x:v>729</x:v>
      </x:c>
      <x:c r="R45" s="11" t="n">
        <x:f>IF(B45="KEEP EXISTING",Q45,'Cost Review'!J45)</x:f>
        <x:v>729</x:v>
      </x:c>
      <x:c r="S45" s="6" t="str">
        <x:f t="shared" si="4">IF(B45="EXCLUDE","Excluded",IF(B45="REVIEW MATCH","Review match",IF(B45="KEEP EXISTING","Existing",IF(OR(R45&lt;=0,R45&gt;100000),"CHECK","OK"))))</x:f>
        <x:v>Excluded</x:v>
      </x:c>
      <x:c r="T45" s="9" t="str">
        <x:f>"850062761216"</x:f>
        <x:v>850062761216</x:v>
      </x:c>
      <x:c r="U45" s="10" t="s">
        <x:v>549</x:v>
      </x:c>
      <x:c r="V45" s="6" t="str">
        <x:f t="shared" si="5">IF(B45="EXCLUDE","Excluded",IF(B45="REVIEW MATCH","Review match",IF(B45="KEEP EXISTING","Existing",IF(U45="","MISSING","FOUND"))))</x:f>
        <x:v>Excluded</x:v>
      </x:c>
      <x:c r="W45" s="9">
        <x:v>1</x:v>
      </x:c>
      <x:c r="X45" s="9">
        <x:v>0</x:v>
      </x:c>
      <x:c r="Y45" s="26" t="str">
        <x:f>IF(B45="EXCLUDE","Excluded by user",IF(B45="REVIEW MATCH","Review current POS match",IF(B45="KEEP EXISTING","Already in POS",IF(O45&lt;=0,"Blocked: cost",IF(OR(R45&lt;=0,R45&gt;100000),"Blocked: retail",IF(U45="","Blocked: image",IF('Summary'!$B$3="APPROVED","READY","Pending approval")))))))</x:f>
        <x:v>Excluded by user</x:v>
      </x:c>
      <x:c r="Z45" s="26" t="str">
        <x:v>Source stock 1 is reference only; POS starts at 0. USER EXCLUSION: red-marked item; do not import.</x:v>
      </x:c>
    </x:row>
    <x:row r="46" ht="29.25">
      <x:c r="A46" s="12" t="s">
        <x:v>163</x:v>
      </x:c>
      <x:c r="B46" s="6" t="str">
        <x:v>IMPORT</x:v>
      </x:c>
      <x:c r="C46" s="6"/>
      <x:c r="D46" s="6"/>
      <x:c r="E46" s="6" t="s">
        <x:v>548</x:v>
      </x:c>
      <x:c r="F46" s="6" t="s">
        <x:v>52</x:v>
      </x:c>
      <x:c r="G46" s="6" t="s">
        <x:v>162</x:v>
      </x:c>
      <x:c r="H46" s="6" t="s">
        <x:v>164</x:v>
      </x:c>
      <x:c r="I46" s="10" t="s">
        <x:v>164</x:v>
      </x:c>
      <x:c r="J46" s="10" t="s">
        <x:v>161</x:v>
      </x:c>
      <x:c r="K46" s="9" t="str">
        <x:f t="shared" si="6"/>
        <x:v>77</x:v>
      </x:c>
      <x:c r="L46" s="9" t="str">
        <x:f>"TM8-COMP-10293"</x:f>
        <x:v>TM8-COMP-10293</x:v>
      </x:c>
      <x:c r="M46" s="12" t="s">
        <x:v>542</x:v>
      </x:c>
      <x:c r="N46" s="8">
        <x:v>150</x:v>
      </x:c>
      <x:c r="O46" s="11" t="n">
        <x:f>IF(B46="KEEP EXISTING",N46,'Cost Review'!H46)</x:f>
        <x:v>150</x:v>
      </x:c>
      <x:c r="P46" s="8" t="str">
        <x:f t="shared" si="3">IF(B46="EXCLUDE","Excluded",IF(B46="REVIEW MATCH","Review match",IF(B46="KEEP EXISTING","Existing",IF(O46&lt;=0,"MISSING","REVIEW"))))</x:f>
        <x:v>REVIEW</x:v>
      </x:c>
      <x:c r="Q46" s="8">
        <x:v>299</x:v>
      </x:c>
      <x:c r="R46" s="11" t="n">
        <x:f>IF(B46="KEEP EXISTING",Q46,'Cost Review'!J46)</x:f>
        <x:v>299</x:v>
      </x:c>
      <x:c r="S46" s="6" t="str">
        <x:f t="shared" si="4">IF(B46="EXCLUDE","Excluded",IF(B46="REVIEW MATCH","Review match",IF(B46="KEEP EXISTING","Existing",IF(OR(R46&lt;=0,R46&gt;100000),"CHECK","OK"))))</x:f>
        <x:v>OK</x:v>
      </x:c>
      <x:c r="T46" s="9" t="str">
        <x:f>"850062761148"</x:f>
        <x:v>850062761148</x:v>
      </x:c>
      <x:c r="U46" s="10" t="s">
        <x:v>550</x:v>
      </x:c>
      <x:c r="V46" s="6" t="str">
        <x:f t="shared" si="5">IF(B46="EXCLUDE","Excluded",IF(B46="REVIEW MATCH","Review match",IF(B46="KEEP EXISTING","Existing",IF(U46="","MISSING","FOUND"))))</x:f>
        <x:v>FOUND</x:v>
      </x:c>
      <x:c r="W46" s="9">
        <x:v>0</x:v>
      </x:c>
      <x:c r="X46" s="9">
        <x:v>0</x:v>
      </x:c>
      <x:c r="Y46" s="6" t="str">
        <x:f>IF(B46="EXCLUDE","Excluded by user",IF(B46="REVIEW MATCH","Review current POS match",IF(B46="KEEP EXISTING","Already in POS",IF(O46&lt;=0,"Blocked: cost",IF(OR(R46&lt;=0,R46&gt;100000),"Blocked: retail",IF(U46="","Blocked: image",IF('Summary'!$B$3="APPROVED","READY","Pending approval")))))))</x:f>
        <x:v>Pending approval</x:v>
      </x:c>
      <x:c r="Z46" s="6" t="str"/>
    </x:row>
    <x:row r="47" ht="29.25">
      <x:c r="A47" s="12" t="s">
        <x:v>165</x:v>
      </x:c>
      <x:c r="B47" s="25" t="str">
        <x:v>EXCLUDE</x:v>
      </x:c>
      <x:c r="C47" s="6"/>
      <x:c r="D47" s="6"/>
      <x:c r="E47" s="6" t="s">
        <x:v>548</x:v>
      </x:c>
      <x:c r="F47" s="6" t="s">
        <x:v>52</x:v>
      </x:c>
      <x:c r="G47" s="6" t="s">
        <x:v>162</x:v>
      </x:c>
      <x:c r="H47" s="6" t="s">
        <x:v>166</x:v>
      </x:c>
      <x:c r="I47" s="10" t="s">
        <x:v>166</x:v>
      </x:c>
      <x:c r="J47" s="10" t="s">
        <x:v>161</x:v>
      </x:c>
      <x:c r="K47" s="9" t="str">
        <x:f t="shared" si="6"/>
        <x:v>77</x:v>
      </x:c>
      <x:c r="L47" s="9" t="str">
        <x:f>"TM8-COMP-10292"</x:f>
        <x:v>TM8-COMP-10292</x:v>
      </x:c>
      <x:c r="M47" s="12" t="s">
        <x:v>542</x:v>
      </x:c>
      <x:c r="N47" s="8">
        <x:v>600</x:v>
      </x:c>
      <x:c r="O47" s="11" t="n">
        <x:f>IF(B47="KEEP EXISTING",N47,'Cost Review'!H47)</x:f>
        <x:v>600</x:v>
      </x:c>
      <x:c r="P47" s="8" t="str">
        <x:f t="shared" si="3">IF(B47="EXCLUDE","Excluded",IF(B47="REVIEW MATCH","Review match",IF(B47="KEEP EXISTING","Existing",IF(O47&lt;=0,"MISSING","REVIEW"))))</x:f>
        <x:v>Excluded</x:v>
      </x:c>
      <x:c r="Q47" s="8">
        <x:v>999999999</x:v>
      </x:c>
      <x:c r="R47" s="11" t="n">
        <x:f>IF(B47="KEEP EXISTING",Q47,'Cost Review'!J47)</x:f>
        <x:v>999999999</x:v>
      </x:c>
      <x:c r="S47" s="6" t="str">
        <x:f t="shared" si="4">IF(B47="EXCLUDE","Excluded",IF(B47="REVIEW MATCH","Review match",IF(B47="KEEP EXISTING","Existing",IF(OR(R47&lt;=0,R47&gt;100000),"CHECK","OK"))))</x:f>
        <x:v>Excluded</x:v>
      </x:c>
      <x:c r="T47" s="9" t="str">
        <x:f>"850062761575"</x:f>
        <x:v>850062761575</x:v>
      </x:c>
      <x:c r="U47" s="10" t="s">
        <x:v>551</x:v>
      </x:c>
      <x:c r="V47" s="6" t="str">
        <x:f t="shared" si="5">IF(B47="EXCLUDE","Excluded",IF(B47="REVIEW MATCH","Review match",IF(B47="KEEP EXISTING","Existing",IF(U47="","MISSING","FOUND"))))</x:f>
        <x:v>Excluded</x:v>
      </x:c>
      <x:c r="W47" s="9">
        <x:v>0</x:v>
      </x:c>
      <x:c r="X47" s="9">
        <x:v>0</x:v>
      </x:c>
      <x:c r="Y47" s="26" t="str">
        <x:f>IF(B47="EXCLUDE","Excluded by user",IF(B47="REVIEW MATCH","Review current POS match",IF(B47="KEEP EXISTING","Already in POS",IF(O47&lt;=0,"Blocked: cost",IF(OR(R47&lt;=0,R47&gt;100000),"Blocked: retail",IF(U47="","Blocked: image",IF('Summary'!$B$3="APPROVED","READY","Pending approval")))))))</x:f>
        <x:v>Excluded by user</x:v>
      </x:c>
      <x:c r="Z47" s="26" t="str">
        <x:v>Retail price requires correction. USER EXCLUSION: red-marked item; do not import.</x:v>
      </x:c>
    </x:row>
    <x:row r="48" ht="29.25">
      <x:c r="A48" s="12" t="s">
        <x:v>167</x:v>
      </x:c>
      <x:c r="B48" s="25" t="str">
        <x:v>EXCLUDE</x:v>
      </x:c>
      <x:c r="C48" s="6"/>
      <x:c r="D48" s="6"/>
      <x:c r="E48" s="6" t="s">
        <x:v>548</x:v>
      </x:c>
      <x:c r="F48" s="6" t="s">
        <x:v>52</x:v>
      </x:c>
      <x:c r="G48" s="6" t="s">
        <x:v>162</x:v>
      </x:c>
      <x:c r="H48" s="6" t="s">
        <x:v>168</x:v>
      </x:c>
      <x:c r="I48" s="10" t="s">
        <x:v>168</x:v>
      </x:c>
      <x:c r="J48" s="10" t="s">
        <x:v>161</x:v>
      </x:c>
      <x:c r="K48" s="9" t="str">
        <x:f t="shared" si="6"/>
        <x:v>77</x:v>
      </x:c>
      <x:c r="L48" s="9" t="str">
        <x:f>"TM8-COMP-10290"</x:f>
        <x:v>TM8-COMP-10290</x:v>
      </x:c>
      <x:c r="M48" s="12" t="s">
        <x:v>542</x:v>
      </x:c>
      <x:c r="N48" s="8">
        <x:v>600</x:v>
      </x:c>
      <x:c r="O48" s="11" t="n">
        <x:f>IF(B48="KEEP EXISTING",N48,'Cost Review'!H48)</x:f>
        <x:v>600</x:v>
      </x:c>
      <x:c r="P48" s="8" t="str">
        <x:f t="shared" si="3">IF(B48="EXCLUDE","Excluded",IF(B48="REVIEW MATCH","Review match",IF(B48="KEEP EXISTING","Existing",IF(O48&lt;=0,"MISSING","REVIEW"))))</x:f>
        <x:v>Excluded</x:v>
      </x:c>
      <x:c r="Q48" s="8">
        <x:v>899</x:v>
      </x:c>
      <x:c r="R48" s="11" t="n">
        <x:f>IF(B48="KEEP EXISTING",Q48,'Cost Review'!J48)</x:f>
        <x:v>899</x:v>
      </x:c>
      <x:c r="S48" s="6" t="str">
        <x:f t="shared" si="4">IF(B48="EXCLUDE","Excluded",IF(B48="REVIEW MATCH","Review match",IF(B48="KEEP EXISTING","Existing",IF(OR(R48&lt;=0,R48&gt;100000),"CHECK","OK"))))</x:f>
        <x:v>Excluded</x:v>
      </x:c>
      <x:c r="T48" s="9" t="str">
        <x:f>"850062761681"</x:f>
        <x:v>850062761681</x:v>
      </x:c>
      <x:c r="U48" s="10" t="s">
        <x:v>552</x:v>
      </x:c>
      <x:c r="V48" s="6" t="str">
        <x:f t="shared" si="5">IF(B48="EXCLUDE","Excluded",IF(B48="REVIEW MATCH","Review match",IF(B48="KEEP EXISTING","Existing",IF(U48="","MISSING","FOUND"))))</x:f>
        <x:v>Excluded</x:v>
      </x:c>
      <x:c r="W48" s="9">
        <x:v>0</x:v>
      </x:c>
      <x:c r="X48" s="9">
        <x:v>0</x:v>
      </x:c>
      <x:c r="Y48" s="26" t="str">
        <x:f>IF(B48="EXCLUDE","Excluded by user",IF(B48="REVIEW MATCH","Review current POS match",IF(B48="KEEP EXISTING","Already in POS",IF(O48&lt;=0,"Blocked: cost",IF(OR(R48&lt;=0,R48&gt;100000),"Blocked: retail",IF(U48="","Blocked: image",IF('Summary'!$B$3="APPROVED","READY","Pending approval")))))))</x:f>
        <x:v>Excluded by user</x:v>
      </x:c>
      <x:c r="Z48" s="26" t="str">
        <x:v>USER EXCLUSION: red-marked item; do not import.</x:v>
      </x:c>
    </x:row>
    <x:row r="49" ht="29.25">
      <x:c r="A49" s="12" t="s">
        <x:v>169</x:v>
      </x:c>
      <x:c r="B49" s="25" t="str">
        <x:v>EXCLUDE</x:v>
      </x:c>
      <x:c r="C49" s="6"/>
      <x:c r="D49" s="6"/>
      <x:c r="E49" s="6" t="s">
        <x:v>548</x:v>
      </x:c>
      <x:c r="F49" s="6" t="s">
        <x:v>52</x:v>
      </x:c>
      <x:c r="G49" s="6" t="s">
        <x:v>162</x:v>
      </x:c>
      <x:c r="H49" s="6" t="s">
        <x:v>170</x:v>
      </x:c>
      <x:c r="I49" s="10" t="s">
        <x:v>170</x:v>
      </x:c>
      <x:c r="J49" s="10" t="s">
        <x:v>161</x:v>
      </x:c>
      <x:c r="K49" s="9" t="str">
        <x:f t="shared" si="6"/>
        <x:v>77</x:v>
      </x:c>
      <x:c r="L49" s="9" t="str">
        <x:f>"TM8-COMP-10289"</x:f>
        <x:v>TM8-COMP-10289</x:v>
      </x:c>
      <x:c r="M49" s="12" t="s">
        <x:v>542</x:v>
      </x:c>
      <x:c r="N49" s="8">
        <x:v>476.82</x:v>
      </x:c>
      <x:c r="O49" s="11" t="n">
        <x:f>IF(B49="KEEP EXISTING",N49,'Cost Review'!H49)</x:f>
        <x:v>476.82</x:v>
      </x:c>
      <x:c r="P49" s="8" t="str">
        <x:f t="shared" si="3">IF(B49="EXCLUDE","Excluded",IF(B49="REVIEW MATCH","Review match",IF(B49="KEEP EXISTING","Existing",IF(O49&lt;=0,"MISSING","REVIEW"))))</x:f>
        <x:v>Excluded</x:v>
      </x:c>
      <x:c r="Q49" s="8">
        <x:v>729</x:v>
      </x:c>
      <x:c r="R49" s="11" t="n">
        <x:f>IF(B49="KEEP EXISTING",Q49,'Cost Review'!J49)</x:f>
        <x:v>729</x:v>
      </x:c>
      <x:c r="S49" s="6" t="str">
        <x:f t="shared" si="4">IF(B49="EXCLUDE","Excluded",IF(B49="REVIEW MATCH","Review match",IF(B49="KEEP EXISTING","Existing",IF(OR(R49&lt;=0,R49&gt;100000),"CHECK","OK"))))</x:f>
        <x:v>Excluded</x:v>
      </x:c>
      <x:c r="T49" s="9" t="str">
        <x:f>"850062761674"</x:f>
        <x:v>850062761674</x:v>
      </x:c>
      <x:c r="U49" s="10" t="s">
        <x:v>553</x:v>
      </x:c>
      <x:c r="V49" s="6" t="str">
        <x:f t="shared" si="5">IF(B49="EXCLUDE","Excluded",IF(B49="REVIEW MATCH","Review match",IF(B49="KEEP EXISTING","Existing",IF(U49="","MISSING","FOUND"))))</x:f>
        <x:v>Excluded</x:v>
      </x:c>
      <x:c r="W49" s="9">
        <x:v>0</x:v>
      </x:c>
      <x:c r="X49" s="9">
        <x:v>0</x:v>
      </x:c>
      <x:c r="Y49" s="26" t="str">
        <x:f>IF(B49="EXCLUDE","Excluded by user",IF(B49="REVIEW MATCH","Review current POS match",IF(B49="KEEP EXISTING","Already in POS",IF(O49&lt;=0,"Blocked: cost",IF(OR(R49&lt;=0,R49&gt;100000),"Blocked: retail",IF(U49="","Blocked: image",IF('Summary'!$B$3="APPROVED","READY","Pending approval")))))))</x:f>
        <x:v>Excluded by user</x:v>
      </x:c>
      <x:c r="Z49" s="26" t="str">
        <x:v>USER EXCLUSION: red-marked item; do not import.</x:v>
      </x:c>
    </x:row>
    <x:row r="50" ht="29.25">
      <x:c r="A50" s="12" t="s">
        <x:v>171</x:v>
      </x:c>
      <x:c r="B50" s="25" t="str">
        <x:v>EXCLUDE</x:v>
      </x:c>
      <x:c r="C50" s="6"/>
      <x:c r="D50" s="6"/>
      <x:c r="E50" s="6" t="s">
        <x:v>548</x:v>
      </x:c>
      <x:c r="F50" s="6" t="s">
        <x:v>52</x:v>
      </x:c>
      <x:c r="G50" s="6" t="s">
        <x:v>162</x:v>
      </x:c>
      <x:c r="H50" s="6" t="s">
        <x:v>172</x:v>
      </x:c>
      <x:c r="I50" s="10" t="s">
        <x:v>172</x:v>
      </x:c>
      <x:c r="J50" s="10" t="s">
        <x:v>161</x:v>
      </x:c>
      <x:c r="K50" s="9" t="str">
        <x:f t="shared" si="6"/>
        <x:v>77</x:v>
      </x:c>
      <x:c r="L50" s="9" t="str">
        <x:f>"TM8-COMP-10288"</x:f>
        <x:v>TM8-COMP-10288</x:v>
      </x:c>
      <x:c r="M50" s="12" t="s">
        <x:v>542</x:v>
      </x:c>
      <x:c r="N50" s="8">
        <x:v>434.15</x:v>
      </x:c>
      <x:c r="O50" s="11" t="n">
        <x:f>IF(B50="KEEP EXISTING",N50,'Cost Review'!H50)</x:f>
        <x:v>434.15</x:v>
      </x:c>
      <x:c r="P50" s="8" t="str">
        <x:f t="shared" si="3">IF(B50="EXCLUDE","Excluded",IF(B50="REVIEW MATCH","Review match",IF(B50="KEEP EXISTING","Existing",IF(O50&lt;=0,"MISSING","REVIEW"))))</x:f>
        <x:v>Excluded</x:v>
      </x:c>
      <x:c r="Q50" s="8">
        <x:v>799</x:v>
      </x:c>
      <x:c r="R50" s="11" t="n">
        <x:f>IF(B50="KEEP EXISTING",Q50,'Cost Review'!J50)</x:f>
        <x:v>799</x:v>
      </x:c>
      <x:c r="S50" s="6" t="str">
        <x:f t="shared" si="4">IF(B50="EXCLUDE","Excluded",IF(B50="REVIEW MATCH","Review match",IF(B50="KEEP EXISTING","Existing",IF(OR(R50&lt;=0,R50&gt;100000),"CHECK","OK"))))</x:f>
        <x:v>Excluded</x:v>
      </x:c>
      <x:c r="T50" s="9" t="str">
        <x:f>"850062761063"</x:f>
        <x:v>850062761063</x:v>
      </x:c>
      <x:c r="U50" s="10" t="s">
        <x:v>554</x:v>
      </x:c>
      <x:c r="V50" s="6" t="str">
        <x:f t="shared" si="5">IF(B50="EXCLUDE","Excluded",IF(B50="REVIEW MATCH","Review match",IF(B50="KEEP EXISTING","Existing",IF(U50="","MISSING","FOUND"))))</x:f>
        <x:v>Excluded</x:v>
      </x:c>
      <x:c r="W50" s="9">
        <x:v>0</x:v>
      </x:c>
      <x:c r="X50" s="9">
        <x:v>0</x:v>
      </x:c>
      <x:c r="Y50" s="26" t="str">
        <x:f>IF(B50="EXCLUDE","Excluded by user",IF(B50="REVIEW MATCH","Review current POS match",IF(B50="KEEP EXISTING","Already in POS",IF(O50&lt;=0,"Blocked: cost",IF(OR(R50&lt;=0,R50&gt;100000),"Blocked: retail",IF(U50="","Blocked: image",IF('Summary'!$B$3="APPROVED","READY","Pending approval")))))))</x:f>
        <x:v>Excluded by user</x:v>
      </x:c>
      <x:c r="Z50" s="26" t="str">
        <x:v>USER EXCLUSION: red-marked item; do not import.</x:v>
      </x:c>
    </x:row>
    <x:row r="51" ht="29.25">
      <x:c r="A51" s="12" t="s">
        <x:v>173</x:v>
      </x:c>
      <x:c r="B51" s="25" t="str">
        <x:v>EXCLUDE</x:v>
      </x:c>
      <x:c r="C51" s="6"/>
      <x:c r="D51" s="6"/>
      <x:c r="E51" s="6" t="s">
        <x:v>548</x:v>
      </x:c>
      <x:c r="F51" s="6" t="s">
        <x:v>52</x:v>
      </x:c>
      <x:c r="G51" s="6" t="s">
        <x:v>162</x:v>
      </x:c>
      <x:c r="H51" s="6" t="s">
        <x:v>174</x:v>
      </x:c>
      <x:c r="I51" s="10" t="s">
        <x:v>174</x:v>
      </x:c>
      <x:c r="J51" s="10" t="s">
        <x:v>161</x:v>
      </x:c>
      <x:c r="K51" s="9" t="str">
        <x:f>"1018954"</x:f>
        <x:v>1018954</x:v>
      </x:c>
      <x:c r="L51" s="9" t="str">
        <x:f>"TM8-COMP-10287"</x:f>
        <x:v>TM8-COMP-10287</x:v>
      </x:c>
      <x:c r="M51" s="12" t="s">
        <x:v>536</x:v>
      </x:c>
      <x:c r="N51" s="8">
        <x:v>544.03</x:v>
      </x:c>
      <x:c r="O51" s="11" t="n">
        <x:f>IF(B51="KEEP EXISTING",N51,'Cost Review'!H51)</x:f>
        <x:v>544.03</x:v>
      </x:c>
      <x:c r="P51" s="8" t="str">
        <x:f t="shared" si="3">IF(B51="EXCLUDE","Excluded",IF(B51="REVIEW MATCH","Review match",IF(B51="KEEP EXISTING","Existing",IF(O51&lt;=0,"MISSING","REVIEW"))))</x:f>
        <x:v>Excluded</x:v>
      </x:c>
      <x:c r="Q51" s="8">
        <x:v>799</x:v>
      </x:c>
      <x:c r="R51" s="11" t="n">
        <x:f>IF(B51="KEEP EXISTING",Q51,'Cost Review'!J51)</x:f>
        <x:v>799</x:v>
      </x:c>
      <x:c r="S51" s="6" t="str">
        <x:f t="shared" si="4">IF(B51="EXCLUDE","Excluded",IF(B51="REVIEW MATCH","Review match",IF(B51="KEEP EXISTING","Existing",IF(OR(R51&lt;=0,R51&gt;100000),"CHECK","OK"))))</x:f>
        <x:v>Excluded</x:v>
      </x:c>
      <x:c r="T51" s="9" t="str">
        <x:f>"850062761070"</x:f>
        <x:v>850062761070</x:v>
      </x:c>
      <x:c r="U51" s="10" t="s">
        <x:v>555</x:v>
      </x:c>
      <x:c r="V51" s="6" t="str">
        <x:f t="shared" si="5">IF(B51="EXCLUDE","Excluded",IF(B51="REVIEW MATCH","Review match",IF(B51="KEEP EXISTING","Existing",IF(U51="","MISSING","FOUND"))))</x:f>
        <x:v>Excluded</x:v>
      </x:c>
      <x:c r="W51" s="9">
        <x:v>0</x:v>
      </x:c>
      <x:c r="X51" s="9">
        <x:v>0</x:v>
      </x:c>
      <x:c r="Y51" s="26" t="str">
        <x:f>IF(B51="EXCLUDE","Excluded by user",IF(B51="REVIEW MATCH","Review current POS match",IF(B51="KEEP EXISTING","Already in POS",IF(O51&lt;=0,"Blocked: cost",IF(OR(R51&lt;=0,R51&gt;100000),"Blocked: retail",IF(U51="","Blocked: image",IF('Summary'!$B$3="APPROVED","READY","Pending approval")))))))</x:f>
        <x:v>Excluded by user</x:v>
      </x:c>
      <x:c r="Z51" s="26" t="str">
        <x:v>USER EXCLUSION: red-marked item; do not import.</x:v>
      </x:c>
    </x:row>
    <x:row r="52" ht="43.5">
      <x:c r="A52" s="12" t="s">
        <x:v>175</x:v>
      </x:c>
      <x:c r="B52" s="25" t="str">
        <x:v>EXCLUDE</x:v>
      </x:c>
      <x:c r="C52" s="6"/>
      <x:c r="D52" s="6"/>
      <x:c r="E52" s="6" t="s">
        <x:v>525</x:v>
      </x:c>
      <x:c r="F52" s="6" t="s">
        <x:v>52</x:v>
      </x:c>
      <x:c r="G52" s="6" t="s">
        <x:v>53</x:v>
      </x:c>
      <x:c r="H52" s="6" t="s">
        <x:v>176</x:v>
      </x:c>
      <x:c r="I52" s="10" t="s">
        <x:v>176</x:v>
      </x:c>
      <x:c r="J52" s="10" t="s">
        <x:v>37</x:v>
      </x:c>
      <x:c r="K52" s="9" t="str">
        <x:f>"1026860"</x:f>
        <x:v>1026860</x:v>
      </x:c>
      <x:c r="L52" s="9" t="str">
        <x:f>"TM8-COMP-10268"</x:f>
        <x:v>TM8-COMP-10268</x:v>
      </x:c>
      <x:c r="M52" s="12" t="s">
        <x:v>536</x:v>
      </x:c>
      <x:c r="N52" s="8">
        <x:v>79</x:v>
      </x:c>
      <x:c r="O52" s="11" t="n">
        <x:f>IF(B52="KEEP EXISTING",N52,'Cost Review'!H52)</x:f>
        <x:v>79</x:v>
      </x:c>
      <x:c r="P52" s="8" t="str">
        <x:f t="shared" si="3">IF(B52="EXCLUDE","Excluded",IF(B52="REVIEW MATCH","Review match",IF(B52="KEEP EXISTING","Existing",IF(O52&lt;=0,"MISSING","REVIEW"))))</x:f>
        <x:v>Excluded</x:v>
      </x:c>
      <x:c r="Q52" s="8">
        <x:v>399</x:v>
      </x:c>
      <x:c r="R52" s="11" t="n">
        <x:f>IF(B52="KEEP EXISTING",Q52,'Cost Review'!J52)</x:f>
        <x:v>399</x:v>
      </x:c>
      <x:c r="S52" s="6" t="str">
        <x:f t="shared" si="4">IF(B52="EXCLUDE","Excluded",IF(B52="REVIEW MATCH","Review match",IF(B52="KEEP EXISTING","Existing",IF(OR(R52&lt;=0,R52&gt;100000),"CHECK","OK"))))</x:f>
        <x:v>Excluded</x:v>
      </x:c>
      <x:c r="T52" s="9" t="str">
        <x:f>"2998000102689"</x:f>
        <x:v>2998000102689</x:v>
      </x:c>
      <x:c r="U52" s="10" t="s">
        <x:v>556</x:v>
      </x:c>
      <x:c r="V52" s="6" t="str">
        <x:f t="shared" si="5">IF(B52="EXCLUDE","Excluded",IF(B52="REVIEW MATCH","Review match",IF(B52="KEEP EXISTING","Existing",IF(U52="","MISSING","FOUND"))))</x:f>
        <x:v>Excluded</x:v>
      </x:c>
      <x:c r="W52" s="9">
        <x:v>0</x:v>
      </x:c>
      <x:c r="X52" s="9">
        <x:v>0</x:v>
      </x:c>
      <x:c r="Y52" s="26" t="str">
        <x:f>IF(B52="EXCLUDE","Excluded by user",IF(B52="REVIEW MATCH","Review current POS match",IF(B52="KEEP EXISTING","Already in POS",IF(O52&lt;=0,"Blocked: cost",IF(OR(R52&lt;=0,R52&gt;100000),"Blocked: retail",IF(U52="","Blocked: image",IF('Summary'!$B$3="APPROVED","READY","Pending approval")))))))</x:f>
        <x:v>Excluded by user</x:v>
      </x:c>
      <x:c r="Z52" s="26" t="str">
        <x:v>USER EXCLUSION: red-marked item; do not import.</x:v>
      </x:c>
    </x:row>
    <x:row r="53" ht="29.25">
      <x:c r="A53" s="12" t="s">
        <x:v>177</x:v>
      </x:c>
      <x:c r="B53" s="6" t="str">
        <x:v>IMPORT</x:v>
      </x:c>
      <x:c r="C53" s="6"/>
      <x:c r="D53" s="6"/>
      <x:c r="E53" s="6" t="s">
        <x:v>488</x:v>
      </x:c>
      <x:c r="F53" s="6" t="s">
        <x:v>38</x:v>
      </x:c>
      <x:c r="G53" s="6" t="s">
        <x:v>39</x:v>
      </x:c>
      <x:c r="H53" s="6" t="s">
        <x:v>178</x:v>
      </x:c>
      <x:c r="I53" s="10" t="s">
        <x:v>178</x:v>
      </x:c>
      <x:c r="J53" s="10" t="s">
        <x:v>37</x:v>
      </x:c>
      <x:c r="K53" s="9" t="str">
        <x:f>"642410771325"</x:f>
        <x:v>642410771325</x:v>
      </x:c>
      <x:c r="L53" s="9" t="str">
        <x:f>"TM8-COMP-10203"</x:f>
        <x:v>TM8-COMP-10203</x:v>
      </x:c>
      <x:c r="M53" s="12" t="s">
        <x:v>536</x:v>
      </x:c>
      <x:c r="N53" s="8">
        <x:v>6</x:v>
      </x:c>
      <x:c r="O53" s="11" t="n">
        <x:f>IF(B53="KEEP EXISTING",N53,'Cost Review'!H53)</x:f>
        <x:v>6</x:v>
      </x:c>
      <x:c r="P53" s="8" t="str">
        <x:f t="shared" si="3">IF(B53="EXCLUDE","Excluded",IF(B53="REVIEW MATCH","Review match",IF(B53="KEEP EXISTING","Existing",IF(O53&lt;=0,"MISSING","REVIEW"))))</x:f>
        <x:v>REVIEW</x:v>
      </x:c>
      <x:c r="Q53" s="8">
        <x:v>35</x:v>
      </x:c>
      <x:c r="R53" s="11" t="n">
        <x:f>IF(B53="KEEP EXISTING",Q53,'Cost Review'!J53)</x:f>
        <x:v>35</x:v>
      </x:c>
      <x:c r="S53" s="6" t="str">
        <x:f t="shared" si="4">IF(B53="EXCLUDE","Excluded",IF(B53="REVIEW MATCH","Review match",IF(B53="KEEP EXISTING","Existing",IF(OR(R53&lt;=0,R53&gt;100000),"CHECK","OK"))))</x:f>
        <x:v>OK</x:v>
      </x:c>
      <x:c r="T53" s="9" t="str">
        <x:f>"2998000102030"</x:f>
        <x:v>2998000102030</x:v>
      </x:c>
      <x:c r="U53" s="10" t="s">
        <x:v>557</x:v>
      </x:c>
      <x:c r="V53" s="6" t="str">
        <x:f t="shared" si="5">IF(B53="EXCLUDE","Excluded",IF(B53="REVIEW MATCH","Review match",IF(B53="KEEP EXISTING","Existing",IF(U53="","MISSING","FOUND"))))</x:f>
        <x:v>FOUND</x:v>
      </x:c>
      <x:c r="W53" s="9">
        <x:v>1</x:v>
      </x:c>
      <x:c r="X53" s="9">
        <x:v>0</x:v>
      </x:c>
      <x:c r="Y53" s="6" t="str">
        <x:f>IF(B53="EXCLUDE","Excluded by user",IF(B53="REVIEW MATCH","Review current POS match",IF(B53="KEEP EXISTING","Already in POS",IF(O53&lt;=0,"Blocked: cost",IF(OR(R53&lt;=0,R53&gt;100000),"Blocked: retail",IF(U53="","Blocked: image",IF('Summary'!$B$3="APPROVED","READY","Pending approval")))))))</x:f>
        <x:v>Pending approval</x:v>
      </x:c>
      <x:c r="Z53" s="6" t="str">
        <x:v>Source stock 1 is reference only; POS starts at 0.</x:v>
      </x:c>
    </x:row>
    <x:row r="54" ht="29.25">
      <x:c r="A54" s="12" t="s">
        <x:v>179</x:v>
      </x:c>
      <x:c r="B54" s="6" t="str">
        <x:v>IMPORT</x:v>
      </x:c>
      <x:c r="C54" s="6"/>
      <x:c r="D54" s="6"/>
      <x:c r="E54" s="6" t="s">
        <x:v>558</x:v>
      </x:c>
      <x:c r="F54" s="6" t="s">
        <x:v>52</x:v>
      </x:c>
      <x:c r="G54" s="6" t="s">
        <x:v>53</x:v>
      </x:c>
      <x:c r="H54" s="6" t="s">
        <x:v>180</x:v>
      </x:c>
      <x:c r="I54" s="10" t="s">
        <x:v>180</x:v>
      </x:c>
      <x:c r="J54" s="10" t="s">
        <x:v>181</x:v>
      </x:c>
      <x:c r="K54" s="9" t="str">
        <x:f>"1020156"</x:f>
        <x:v>1020156</x:v>
      </x:c>
      <x:c r="L54" s="9" t="str">
        <x:f>"TM8-COMP-10202"</x:f>
        <x:v>TM8-COMP-10202</x:v>
      </x:c>
      <x:c r="M54" s="12" t="s">
        <x:v>536</x:v>
      </x:c>
      <x:c r="N54" s="8">
        <x:v>3</x:v>
      </x:c>
      <x:c r="O54" s="11" t="n">
        <x:f>IF(B54="KEEP EXISTING",N54,'Cost Review'!H54)</x:f>
        <x:v>3</x:v>
      </x:c>
      <x:c r="P54" s="8" t="str">
        <x:f t="shared" si="3">IF(B54="EXCLUDE","Excluded",IF(B54="REVIEW MATCH","Review match",IF(B54="KEEP EXISTING","Existing",IF(O54&lt;=0,"MISSING","REVIEW"))))</x:f>
        <x:v>REVIEW</x:v>
      </x:c>
      <x:c r="Q54" s="8">
        <x:v>19</x:v>
      </x:c>
      <x:c r="R54" s="11" t="n">
        <x:f>IF(B54="KEEP EXISTING",Q54,'Cost Review'!J54)</x:f>
        <x:v>19</x:v>
      </x:c>
      <x:c r="S54" s="6" t="str">
        <x:f t="shared" si="4">IF(B54="EXCLUDE","Excluded",IF(B54="REVIEW MATCH","Review match",IF(B54="KEEP EXISTING","Existing",IF(OR(R54&lt;=0,R54&gt;100000),"CHECK","OK"))))</x:f>
        <x:v>OK</x:v>
      </x:c>
      <x:c r="T54" s="9" t="str">
        <x:f>"2998000102023"</x:f>
        <x:v>2998000102023</x:v>
      </x:c>
      <x:c r="U54" s="10" t="s">
        <x:v>559</x:v>
      </x:c>
      <x:c r="V54" s="6" t="str">
        <x:f t="shared" si="5">IF(B54="EXCLUDE","Excluded",IF(B54="REVIEW MATCH","Review match",IF(B54="KEEP EXISTING","Existing",IF(U54="","MISSING","FOUND"))))</x:f>
        <x:v>FOUND</x:v>
      </x:c>
      <x:c r="W54" s="9">
        <x:v>0</x:v>
      </x:c>
      <x:c r="X54" s="9">
        <x:v>0</x:v>
      </x:c>
      <x:c r="Y54" s="6" t="str">
        <x:f>IF(B54="EXCLUDE","Excluded by user",IF(B54="REVIEW MATCH","Review current POS match",IF(B54="KEEP EXISTING","Already in POS",IF(O54&lt;=0,"Blocked: cost",IF(OR(R54&lt;=0,R54&gt;100000),"Blocked: retail",IF(U54="","Blocked: image",IF('Summary'!$B$3="APPROVED","READY","Pending approval")))))))</x:f>
        <x:v>Pending approval</x:v>
      </x:c>
      <x:c r="Z54" s="6" t="str"/>
    </x:row>
    <x:row r="55" ht="29.25">
      <x:c r="A55" s="12" t="s">
        <x:v>182</x:v>
      </x:c>
      <x:c r="B55" s="6" t="str">
        <x:v>IMPORT</x:v>
      </x:c>
      <x:c r="C55" s="6"/>
      <x:c r="D55" s="6"/>
      <x:c r="E55" s="6" t="s">
        <x:v>558</x:v>
      </x:c>
      <x:c r="F55" s="6" t="s">
        <x:v>52</x:v>
      </x:c>
      <x:c r="G55" s="6" t="s">
        <x:v>53</x:v>
      </x:c>
      <x:c r="H55" s="6" t="s">
        <x:v>183</x:v>
      </x:c>
      <x:c r="I55" s="10" t="s">
        <x:v>183</x:v>
      </x:c>
      <x:c r="J55" s="10" t="s">
        <x:v>181</x:v>
      </x:c>
      <x:c r="K55" s="9" t="str">
        <x:f>"1020156"</x:f>
        <x:v>1020156</x:v>
      </x:c>
      <x:c r="L55" s="9" t="str">
        <x:f>"TM8-COMP-10201"</x:f>
        <x:v>TM8-COMP-10201</x:v>
      </x:c>
      <x:c r="M55" s="12" t="s">
        <x:v>536</x:v>
      </x:c>
      <x:c r="N55" s="8">
        <x:v>3</x:v>
      </x:c>
      <x:c r="O55" s="11" t="n">
        <x:f>IF(B55="KEEP EXISTING",N55,'Cost Review'!H55)</x:f>
        <x:v>3</x:v>
      </x:c>
      <x:c r="P55" s="8" t="str">
        <x:f t="shared" si="3">IF(B55="EXCLUDE","Excluded",IF(B55="REVIEW MATCH","Review match",IF(B55="KEEP EXISTING","Existing",IF(O55&lt;=0,"MISSING","REVIEW"))))</x:f>
        <x:v>REVIEW</x:v>
      </x:c>
      <x:c r="Q55" s="8">
        <x:v>19</x:v>
      </x:c>
      <x:c r="R55" s="11" t="n">
        <x:f>IF(B55="KEEP EXISTING",Q55,'Cost Review'!J55)</x:f>
        <x:v>19</x:v>
      </x:c>
      <x:c r="S55" s="6" t="str">
        <x:f t="shared" si="4">IF(B55="EXCLUDE","Excluded",IF(B55="REVIEW MATCH","Review match",IF(B55="KEEP EXISTING","Existing",IF(OR(R55&lt;=0,R55&gt;100000),"CHECK","OK"))))</x:f>
        <x:v>OK</x:v>
      </x:c>
      <x:c r="T55" s="9" t="str">
        <x:f>"2998000102016"</x:f>
        <x:v>2998000102016</x:v>
      </x:c>
      <x:c r="U55" s="10" t="s">
        <x:v>560</x:v>
      </x:c>
      <x:c r="V55" s="6" t="str">
        <x:f t="shared" si="5">IF(B55="EXCLUDE","Excluded",IF(B55="REVIEW MATCH","Review match",IF(B55="KEEP EXISTING","Existing",IF(U55="","MISSING","FOUND"))))</x:f>
        <x:v>FOUND</x:v>
      </x:c>
      <x:c r="W55" s="9">
        <x:v>0</x:v>
      </x:c>
      <x:c r="X55" s="9">
        <x:v>0</x:v>
      </x:c>
      <x:c r="Y55" s="6" t="str">
        <x:f>IF(B55="EXCLUDE","Excluded by user",IF(B55="REVIEW MATCH","Review current POS match",IF(B55="KEEP EXISTING","Already in POS",IF(O55&lt;=0,"Blocked: cost",IF(OR(R55&lt;=0,R55&gt;100000),"Blocked: retail",IF(U55="","Blocked: image",IF('Summary'!$B$3="APPROVED","READY","Pending approval")))))))</x:f>
        <x:v>Pending approval</x:v>
      </x:c>
      <x:c r="Z55" s="6" t="str"/>
    </x:row>
    <x:row r="56" ht="43.5">
      <x:c r="A56" s="12" t="s">
        <x:v>184</x:v>
      </x:c>
      <x:c r="B56" s="6" t="str">
        <x:v>IMPORT</x:v>
      </x:c>
      <x:c r="C56" s="6"/>
      <x:c r="D56" s="6"/>
      <x:c r="E56" s="6" t="s">
        <x:v>558</x:v>
      </x:c>
      <x:c r="F56" s="6" t="s">
        <x:v>52</x:v>
      </x:c>
      <x:c r="G56" s="6" t="s">
        <x:v>53</x:v>
      </x:c>
      <x:c r="H56" s="6" t="s">
        <x:v>185</x:v>
      </x:c>
      <x:c r="I56" s="10" t="s">
        <x:v>185</x:v>
      </x:c>
      <x:c r="J56" s="10" t="s">
        <x:v>181</x:v>
      </x:c>
      <x:c r="K56" s="9" t="str">
        <x:f>"cn0024060410"</x:f>
        <x:v>cn0024060410</x:v>
      </x:c>
      <x:c r="L56" s="9" t="str">
        <x:f>"TM8-COMP-10200"</x:f>
        <x:v>TM8-COMP-10200</x:v>
      </x:c>
      <x:c r="M56" s="12" t="s">
        <x:v>536</x:v>
      </x:c>
      <x:c r="N56" s="8">
        <x:v>10</x:v>
      </x:c>
      <x:c r="O56" s="11" t="n">
        <x:f>IF(B56="KEEP EXISTING",N56,'Cost Review'!H56)</x:f>
        <x:v>10</x:v>
      </x:c>
      <x:c r="P56" s="8" t="str">
        <x:f t="shared" si="3">IF(B56="EXCLUDE","Excluded",IF(B56="REVIEW MATCH","Review match",IF(B56="KEEP EXISTING","Existing",IF(O56&lt;=0,"MISSING","REVIEW"))))</x:f>
        <x:v>REVIEW</x:v>
      </x:c>
      <x:c r="Q56" s="8">
        <x:v>49</x:v>
      </x:c>
      <x:c r="R56" s="11" t="n">
        <x:f>IF(B56="KEEP EXISTING",Q56,'Cost Review'!J56)</x:f>
        <x:v>49</x:v>
      </x:c>
      <x:c r="S56" s="6" t="str">
        <x:f t="shared" si="4">IF(B56="EXCLUDE","Excluded",IF(B56="REVIEW MATCH","Review match",IF(B56="KEEP EXISTING","Existing",IF(OR(R56&lt;=0,R56&gt;100000),"CHECK","OK"))))</x:f>
        <x:v>OK</x:v>
      </x:c>
      <x:c r="T56" s="9" t="str">
        <x:f>"2998000102009"</x:f>
        <x:v>2998000102009</x:v>
      </x:c>
      <x:c r="U56" s="10" t="s">
        <x:v>561</x:v>
      </x:c>
      <x:c r="V56" s="6" t="str">
        <x:f t="shared" si="5">IF(B56="EXCLUDE","Excluded",IF(B56="REVIEW MATCH","Review match",IF(B56="KEEP EXISTING","Existing",IF(U56="","MISSING","FOUND"))))</x:f>
        <x:v>FOUND</x:v>
      </x:c>
      <x:c r="W56" s="9">
        <x:v>0</x:v>
      </x:c>
      <x:c r="X56" s="9">
        <x:v>0</x:v>
      </x:c>
      <x:c r="Y56" s="6" t="str">
        <x:f>IF(B56="EXCLUDE","Excluded by user",IF(B56="REVIEW MATCH","Review current POS match",IF(B56="KEEP EXISTING","Already in POS",IF(O56&lt;=0,"Blocked: cost",IF(OR(R56&lt;=0,R56&gt;100000),"Blocked: retail",IF(U56="","Blocked: image",IF('Summary'!$B$3="APPROVED","READY","Pending approval")))))))</x:f>
        <x:v>Pending approval</x:v>
      </x:c>
      <x:c r="Z56" s="6" t="str"/>
    </x:row>
    <x:row r="57" ht="29.25">
      <x:c r="A57" s="12" t="s">
        <x:v>186</x:v>
      </x:c>
      <x:c r="B57" s="6" t="str">
        <x:v>IMPORT</x:v>
      </x:c>
      <x:c r="C57" s="6"/>
      <x:c r="D57" s="6"/>
      <x:c r="E57" s="6" t="s">
        <x:v>558</x:v>
      </x:c>
      <x:c r="F57" s="6" t="s">
        <x:v>52</x:v>
      </x:c>
      <x:c r="G57" s="6" t="s">
        <x:v>53</x:v>
      </x:c>
      <x:c r="H57" s="6" t="s">
        <x:v>187</x:v>
      </x:c>
      <x:c r="I57" s="10" t="s">
        <x:v>187</x:v>
      </x:c>
      <x:c r="J57" s="10" t="s">
        <x:v>181</x:v>
      </x:c>
      <x:c r="K57" s="9" t="str">
        <x:f>"cn0024060410"</x:f>
        <x:v>cn0024060410</x:v>
      </x:c>
      <x:c r="L57" s="9" t="str">
        <x:f>"TM8-COMP-10199"</x:f>
        <x:v>TM8-COMP-10199</x:v>
      </x:c>
      <x:c r="M57" s="12" t="s">
        <x:v>536</x:v>
      </x:c>
      <x:c r="N57" s="8">
        <x:v>10</x:v>
      </x:c>
      <x:c r="O57" s="11" t="n">
        <x:f>IF(B57="KEEP EXISTING",N57,'Cost Review'!H57)</x:f>
        <x:v>10</x:v>
      </x:c>
      <x:c r="P57" s="8" t="str">
        <x:f t="shared" si="3">IF(B57="EXCLUDE","Excluded",IF(B57="REVIEW MATCH","Review match",IF(B57="KEEP EXISTING","Existing",IF(O57&lt;=0,"MISSING","REVIEW"))))</x:f>
        <x:v>REVIEW</x:v>
      </x:c>
      <x:c r="Q57" s="8">
        <x:v>49</x:v>
      </x:c>
      <x:c r="R57" s="11" t="n">
        <x:f>IF(B57="KEEP EXISTING",Q57,'Cost Review'!J57)</x:f>
        <x:v>49</x:v>
      </x:c>
      <x:c r="S57" s="6" t="str">
        <x:f t="shared" si="4">IF(B57="EXCLUDE","Excluded",IF(B57="REVIEW MATCH","Review match",IF(B57="KEEP EXISTING","Existing",IF(OR(R57&lt;=0,R57&gt;100000),"CHECK","OK"))))</x:f>
        <x:v>OK</x:v>
      </x:c>
      <x:c r="T57" s="9" t="str">
        <x:f>"2998000101996"</x:f>
        <x:v>2998000101996</x:v>
      </x:c>
      <x:c r="U57" s="10" t="s">
        <x:v>562</x:v>
      </x:c>
      <x:c r="V57" s="6" t="str">
        <x:f t="shared" si="5">IF(B57="EXCLUDE","Excluded",IF(B57="REVIEW MATCH","Review match",IF(B57="KEEP EXISTING","Existing",IF(U57="","MISSING","FOUND"))))</x:f>
        <x:v>FOUND</x:v>
      </x:c>
      <x:c r="W57" s="9">
        <x:v>0</x:v>
      </x:c>
      <x:c r="X57" s="9">
        <x:v>0</x:v>
      </x:c>
      <x:c r="Y57" s="6" t="str">
        <x:f>IF(B57="EXCLUDE","Excluded by user",IF(B57="REVIEW MATCH","Review current POS match",IF(B57="KEEP EXISTING","Already in POS",IF(O57&lt;=0,"Blocked: cost",IF(OR(R57&lt;=0,R57&gt;100000),"Blocked: retail",IF(U57="","Blocked: image",IF('Summary'!$B$3="APPROVED","READY","Pending approval")))))))</x:f>
        <x:v>Pending approval</x:v>
      </x:c>
      <x:c r="Z57" s="6" t="str"/>
    </x:row>
    <x:row r="58" ht="29.25">
      <x:c r="A58" s="12" t="s">
        <x:v>188</x:v>
      </x:c>
      <x:c r="B58" s="6" t="str">
        <x:v>IMPORT</x:v>
      </x:c>
      <x:c r="C58" s="6"/>
      <x:c r="D58" s="6"/>
      <x:c r="E58" s="6" t="s">
        <x:v>548</x:v>
      </x:c>
      <x:c r="F58" s="6" t="s">
        <x:v>52</x:v>
      </x:c>
      <x:c r="G58" s="6" t="s">
        <x:v>162</x:v>
      </x:c>
      <x:c r="H58" s="6" t="s">
        <x:v>189</x:v>
      </x:c>
      <x:c r="I58" s="10" t="s">
        <x:v>189</x:v>
      </x:c>
      <x:c r="J58" s="10" t="s">
        <x:v>161</x:v>
      </x:c>
      <x:c r="K58" s="9" t="str">
        <x:f t="shared" ref="K58:K64" si="7">"1018954"</x:f>
        <x:v>1018954</x:v>
      </x:c>
      <x:c r="L58" s="9" t="str">
        <x:f>"TM8-COMP-10196"</x:f>
        <x:v>TM8-COMP-10196</x:v>
      </x:c>
      <x:c r="M58" s="12" t="s">
        <x:v>536</x:v>
      </x:c>
      <x:c r="N58" s="8">
        <x:v>218.15</x:v>
      </x:c>
      <x:c r="O58" s="11" t="n">
        <x:f>IF(B58="KEEP EXISTING",N58,'Cost Review'!H58)</x:f>
        <x:v>218.15</x:v>
      </x:c>
      <x:c r="P58" s="8" t="str">
        <x:f t="shared" si="3">IF(B58="EXCLUDE","Excluded",IF(B58="REVIEW MATCH","Review match",IF(B58="KEEP EXISTING","Existing",IF(O58&lt;=0,"MISSING","REVIEW"))))</x:f>
        <x:v>REVIEW</x:v>
      </x:c>
      <x:c r="Q58" s="8">
        <x:v>299</x:v>
      </x:c>
      <x:c r="R58" s="11" t="n">
        <x:f>IF(B58="KEEP EXISTING",Q58,'Cost Review'!J58)</x:f>
        <x:v>299</x:v>
      </x:c>
      <x:c r="S58" s="6" t="str">
        <x:f t="shared" si="4">IF(B58="EXCLUDE","Excluded",IF(B58="REVIEW MATCH","Review match",IF(B58="KEEP EXISTING","Existing",IF(OR(R58&lt;=0,R58&gt;100000),"CHECK","OK"))))</x:f>
        <x:v>OK</x:v>
      </x:c>
      <x:c r="T58" s="9" t="str">
        <x:f>"2998000101965"</x:f>
        <x:v>2998000101965</x:v>
      </x:c>
      <x:c r="U58" s="10" t="s">
        <x:v>563</x:v>
      </x:c>
      <x:c r="V58" s="6" t="str">
        <x:f t="shared" si="5">IF(B58="EXCLUDE","Excluded",IF(B58="REVIEW MATCH","Review match",IF(B58="KEEP EXISTING","Existing",IF(U58="","MISSING","FOUND"))))</x:f>
        <x:v>FOUND</x:v>
      </x:c>
      <x:c r="W58" s="9">
        <x:v>1</x:v>
      </x:c>
      <x:c r="X58" s="9">
        <x:v>0</x:v>
      </x:c>
      <x:c r="Y58" s="6" t="str">
        <x:f>IF(B58="EXCLUDE","Excluded by user",IF(B58="REVIEW MATCH","Review current POS match",IF(B58="KEEP EXISTING","Already in POS",IF(O58&lt;=0,"Blocked: cost",IF(OR(R58&lt;=0,R58&gt;100000),"Blocked: retail",IF(U58="","Blocked: image",IF('Summary'!$B$3="APPROVED","READY","Pending approval")))))))</x:f>
        <x:v>Pending approval</x:v>
      </x:c>
      <x:c r="Z58" s="6" t="str">
        <x:v>Source stock 1 is reference only; POS starts at 0.</x:v>
      </x:c>
    </x:row>
    <x:row r="59" ht="29.25">
      <x:c r="A59" s="12" t="s">
        <x:v>190</x:v>
      </x:c>
      <x:c r="B59" s="6" t="str">
        <x:v>IMPORT</x:v>
      </x:c>
      <x:c r="C59" s="6"/>
      <x:c r="D59" s="6"/>
      <x:c r="E59" s="6" t="s">
        <x:v>548</x:v>
      </x:c>
      <x:c r="F59" s="6" t="s">
        <x:v>52</x:v>
      </x:c>
      <x:c r="G59" s="6" t="s">
        <x:v>162</x:v>
      </x:c>
      <x:c r="H59" s="6" t="s">
        <x:v>191</x:v>
      </x:c>
      <x:c r="I59" s="10" t="s">
        <x:v>191</x:v>
      </x:c>
      <x:c r="J59" s="10" t="s">
        <x:v>161</x:v>
      </x:c>
      <x:c r="K59" s="9" t="str">
        <x:f t="shared" si="7"/>
        <x:v>1018954</x:v>
      </x:c>
      <x:c r="L59" s="9" t="str">
        <x:f>"TM8-COMP-10194"</x:f>
        <x:v>TM8-COMP-10194</x:v>
      </x:c>
      <x:c r="M59" s="12" t="s">
        <x:v>536</x:v>
      </x:c>
      <x:c r="N59" s="8">
        <x:v>68.150000000000006</x:v>
      </x:c>
      <x:c r="O59" s="11" t="n">
        <x:f>IF(B59="KEEP EXISTING",N59,'Cost Review'!H59)</x:f>
        <x:v>68.15</x:v>
      </x:c>
      <x:c r="P59" s="8" t="str">
        <x:f t="shared" si="3">IF(B59="EXCLUDE","Excluded",IF(B59="REVIEW MATCH","Review match",IF(B59="KEEP EXISTING","Existing",IF(O59&lt;=0,"MISSING","REVIEW"))))</x:f>
        <x:v>REVIEW</x:v>
      </x:c>
      <x:c r="Q59" s="8">
        <x:v>99.95</x:v>
      </x:c>
      <x:c r="R59" s="11" t="n">
        <x:f>IF(B59="KEEP EXISTING",Q59,'Cost Review'!J59)</x:f>
        <x:v>99.95</x:v>
      </x:c>
      <x:c r="S59" s="6" t="str">
        <x:f t="shared" si="4">IF(B59="EXCLUDE","Excluded",IF(B59="REVIEW MATCH","Review match",IF(B59="KEEP EXISTING","Existing",IF(OR(R59&lt;=0,R59&gt;100000),"CHECK","OK"))))</x:f>
        <x:v>OK</x:v>
      </x:c>
      <x:c r="T59" s="9" t="str">
        <x:f>"2998000101941"</x:f>
        <x:v>2998000101941</x:v>
      </x:c>
      <x:c r="U59" s="10" t="s">
        <x:v>564</x:v>
      </x:c>
      <x:c r="V59" s="6" t="str">
        <x:f t="shared" si="5">IF(B59="EXCLUDE","Excluded",IF(B59="REVIEW MATCH","Review match",IF(B59="KEEP EXISTING","Existing",IF(U59="","MISSING","FOUND"))))</x:f>
        <x:v>FOUND</x:v>
      </x:c>
      <x:c r="W59" s="9">
        <x:v>0</x:v>
      </x:c>
      <x:c r="X59" s="9">
        <x:v>0</x:v>
      </x:c>
      <x:c r="Y59" s="6" t="str">
        <x:f>IF(B59="EXCLUDE","Excluded by user",IF(B59="REVIEW MATCH","Review current POS match",IF(B59="KEEP EXISTING","Already in POS",IF(O59&lt;=0,"Blocked: cost",IF(OR(R59&lt;=0,R59&gt;100000),"Blocked: retail",IF(U59="","Blocked: image",IF('Summary'!$B$3="APPROVED","READY","Pending approval")))))))</x:f>
        <x:v>Pending approval</x:v>
      </x:c>
      <x:c r="Z59" s="6" t="str"/>
    </x:row>
    <x:row r="60" ht="29.25">
      <x:c r="A60" s="12" t="s">
        <x:v>192</x:v>
      </x:c>
      <x:c r="B60" s="25" t="str">
        <x:v>EXCLUDE</x:v>
      </x:c>
      <x:c r="C60" s="6"/>
      <x:c r="D60" s="6"/>
      <x:c r="E60" s="6" t="s">
        <x:v>548</x:v>
      </x:c>
      <x:c r="F60" s="6" t="s">
        <x:v>52</x:v>
      </x:c>
      <x:c r="G60" s="6" t="s">
        <x:v>162</x:v>
      </x:c>
      <x:c r="H60" s="6" t="s">
        <x:v>193</x:v>
      </x:c>
      <x:c r="I60" s="10" t="s">
        <x:v>193</x:v>
      </x:c>
      <x:c r="J60" s="10" t="s">
        <x:v>161</x:v>
      </x:c>
      <x:c r="K60" s="9" t="str">
        <x:f t="shared" si="7"/>
        <x:v>1018954</x:v>
      </x:c>
      <x:c r="L60" s="9" t="str">
        <x:f>"TM8-COMP-10193"</x:f>
        <x:v>TM8-COMP-10193</x:v>
      </x:c>
      <x:c r="M60" s="12" t="s">
        <x:v>536</x:v>
      </x:c>
      <x:c r="N60" s="8">
        <x:v>270.42</x:v>
      </x:c>
      <x:c r="O60" s="11" t="n">
        <x:f>IF(B60="KEEP EXISTING",N60,'Cost Review'!H60)</x:f>
        <x:v>270.42</x:v>
      </x:c>
      <x:c r="P60" s="8" t="str">
        <x:f t="shared" si="3">IF(B60="EXCLUDE","Excluded",IF(B60="REVIEW MATCH","Review match",IF(B60="KEEP EXISTING","Existing",IF(O60&lt;=0,"MISSING","REVIEW"))))</x:f>
        <x:v>Excluded</x:v>
      </x:c>
      <x:c r="Q60" s="8">
        <x:v>349</x:v>
      </x:c>
      <x:c r="R60" s="11" t="n">
        <x:f>IF(B60="KEEP EXISTING",Q60,'Cost Review'!J60)</x:f>
        <x:v>349</x:v>
      </x:c>
      <x:c r="S60" s="6" t="str">
        <x:f t="shared" si="4">IF(B60="EXCLUDE","Excluded",IF(B60="REVIEW MATCH","Review match",IF(B60="KEEP EXISTING","Existing",IF(OR(R60&lt;=0,R60&gt;100000),"CHECK","OK"))))</x:f>
        <x:v>Excluded</x:v>
      </x:c>
      <x:c r="T60" s="9" t="str">
        <x:f>"2998000101934"</x:f>
        <x:v>2998000101934</x:v>
      </x:c>
      <x:c r="U60" s="10" t="s">
        <x:v>565</x:v>
      </x:c>
      <x:c r="V60" s="6" t="str">
        <x:f t="shared" si="5">IF(B60="EXCLUDE","Excluded",IF(B60="REVIEW MATCH","Review match",IF(B60="KEEP EXISTING","Existing",IF(U60="","MISSING","FOUND"))))</x:f>
        <x:v>Excluded</x:v>
      </x:c>
      <x:c r="W60" s="9">
        <x:v>0</x:v>
      </x:c>
      <x:c r="X60" s="9">
        <x:v>0</x:v>
      </x:c>
      <x:c r="Y60" s="26" t="str">
        <x:f>IF(B60="EXCLUDE","Excluded by user",IF(B60="REVIEW MATCH","Review current POS match",IF(B60="KEEP EXISTING","Already in POS",IF(O60&lt;=0,"Blocked: cost",IF(OR(R60&lt;=0,R60&gt;100000),"Blocked: retail",IF(U60="","Blocked: image",IF('Summary'!$B$3="APPROVED","READY","Pending approval")))))))</x:f>
        <x:v>Excluded by user</x:v>
      </x:c>
      <x:c r="Z60" s="26" t="str">
        <x:v>USER EXCLUSION: red-marked item; do not import.</x:v>
      </x:c>
    </x:row>
    <x:row r="61" ht="29.25">
      <x:c r="A61" s="12" t="s">
        <x:v>194</x:v>
      </x:c>
      <x:c r="B61" s="25" t="str">
        <x:v>EXCLUDE</x:v>
      </x:c>
      <x:c r="C61" s="6"/>
      <x:c r="D61" s="6"/>
      <x:c r="E61" s="6" t="s">
        <x:v>548</x:v>
      </x:c>
      <x:c r="F61" s="6" t="s">
        <x:v>52</x:v>
      </x:c>
      <x:c r="G61" s="6" t="s">
        <x:v>162</x:v>
      </x:c>
      <x:c r="H61" s="6" t="s">
        <x:v>195</x:v>
      </x:c>
      <x:c r="I61" s="10" t="s">
        <x:v>195</x:v>
      </x:c>
      <x:c r="J61" s="10" t="s">
        <x:v>161</x:v>
      </x:c>
      <x:c r="K61" s="9" t="str">
        <x:f t="shared" si="7"/>
        <x:v>1018954</x:v>
      </x:c>
      <x:c r="L61" s="9" t="str">
        <x:f>"TM8-COMP-10192"</x:f>
        <x:v>TM8-COMP-10192</x:v>
      </x:c>
      <x:c r="M61" s="12" t="s">
        <x:v>536</x:v>
      </x:c>
      <x:c r="N61" s="8">
        <x:v>136.33000000000001</x:v>
      </x:c>
      <x:c r="O61" s="11" t="n">
        <x:f>IF(B61="KEEP EXISTING",N61,'Cost Review'!H61)</x:f>
        <x:v>136.33</x:v>
      </x:c>
      <x:c r="P61" s="8" t="str">
        <x:f t="shared" si="3">IF(B61="EXCLUDE","Excluded",IF(B61="REVIEW MATCH","Review match",IF(B61="KEEP EXISTING","Existing",IF(O61&lt;=0,"MISSING","REVIEW"))))</x:f>
        <x:v>Excluded</x:v>
      </x:c>
      <x:c r="Q61" s="8">
        <x:v>199</x:v>
      </x:c>
      <x:c r="R61" s="11" t="n">
        <x:f>IF(B61="KEEP EXISTING",Q61,'Cost Review'!J61)</x:f>
        <x:v>199</x:v>
      </x:c>
      <x:c r="S61" s="6" t="str">
        <x:f t="shared" si="4">IF(B61="EXCLUDE","Excluded",IF(B61="REVIEW MATCH","Review match",IF(B61="KEEP EXISTING","Existing",IF(OR(R61&lt;=0,R61&gt;100000),"CHECK","OK"))))</x:f>
        <x:v>Excluded</x:v>
      </x:c>
      <x:c r="T61" s="9" t="str">
        <x:f>"2998000101927"</x:f>
        <x:v>2998000101927</x:v>
      </x:c>
      <x:c r="U61" s="10" t="s">
        <x:v>566</x:v>
      </x:c>
      <x:c r="V61" s="6" t="str">
        <x:f t="shared" si="5">IF(B61="EXCLUDE","Excluded",IF(B61="REVIEW MATCH","Review match",IF(B61="KEEP EXISTING","Existing",IF(U61="","MISSING","FOUND"))))</x:f>
        <x:v>Excluded</x:v>
      </x:c>
      <x:c r="W61" s="9">
        <x:v>1</x:v>
      </x:c>
      <x:c r="X61" s="9">
        <x:v>0</x:v>
      </x:c>
      <x:c r="Y61" s="26" t="str">
        <x:f>IF(B61="EXCLUDE","Excluded by user",IF(B61="REVIEW MATCH","Review current POS match",IF(B61="KEEP EXISTING","Already in POS",IF(O61&lt;=0,"Blocked: cost",IF(OR(R61&lt;=0,R61&gt;100000),"Blocked: retail",IF(U61="","Blocked: image",IF('Summary'!$B$3="APPROVED","READY","Pending approval")))))))</x:f>
        <x:v>Excluded by user</x:v>
      </x:c>
      <x:c r="Z61" s="26" t="str">
        <x:v>Source stock 1 is reference only; POS starts at 0. USER EXCLUSION: red-marked item; do not import.</x:v>
      </x:c>
    </x:row>
    <x:row r="62" ht="29.25">
      <x:c r="A62" s="12" t="s">
        <x:v>196</x:v>
      </x:c>
      <x:c r="B62" s="25" t="str">
        <x:v>EXCLUDE</x:v>
      </x:c>
      <x:c r="C62" s="6"/>
      <x:c r="D62" s="6"/>
      <x:c r="E62" s="6" t="s">
        <x:v>548</x:v>
      </x:c>
      <x:c r="F62" s="6" t="s">
        <x:v>52</x:v>
      </x:c>
      <x:c r="G62" s="6" t="s">
        <x:v>162</x:v>
      </x:c>
      <x:c r="H62" s="6" t="s">
        <x:v>197</x:v>
      </x:c>
      <x:c r="I62" s="10" t="s">
        <x:v>197</x:v>
      </x:c>
      <x:c r="J62" s="10" t="s">
        <x:v>161</x:v>
      </x:c>
      <x:c r="K62" s="9" t="str">
        <x:f t="shared" si="7"/>
        <x:v>1018954</x:v>
      </x:c>
      <x:c r="L62" s="9" t="str">
        <x:f>"TM8-COMP-10191"</x:f>
        <x:v>TM8-COMP-10191</x:v>
      </x:c>
      <x:c r="M62" s="12" t="s">
        <x:v>536</x:v>
      </x:c>
      <x:c r="N62" s="8">
        <x:v>30</x:v>
      </x:c>
      <x:c r="O62" s="11" t="n">
        <x:f>IF(B62="KEEP EXISTING",N62,'Cost Review'!H62)</x:f>
        <x:v>30</x:v>
      </x:c>
      <x:c r="P62" s="8" t="str">
        <x:f t="shared" si="3">IF(B62="EXCLUDE","Excluded",IF(B62="REVIEW MATCH","Review match",IF(B62="KEEP EXISTING","Existing",IF(O62&lt;=0,"MISSING","REVIEW"))))</x:f>
        <x:v>Excluded</x:v>
      </x:c>
      <x:c r="Q62" s="8">
        <x:v>59</x:v>
      </x:c>
      <x:c r="R62" s="11" t="n">
        <x:f>IF(B62="KEEP EXISTING",Q62,'Cost Review'!J62)</x:f>
        <x:v>59</x:v>
      </x:c>
      <x:c r="S62" s="6" t="str">
        <x:f t="shared" si="4">IF(B62="EXCLUDE","Excluded",IF(B62="REVIEW MATCH","Review match",IF(B62="KEEP EXISTING","Existing",IF(OR(R62&lt;=0,R62&gt;100000),"CHECK","OK"))))</x:f>
        <x:v>Excluded</x:v>
      </x:c>
      <x:c r="T62" s="9" t="str">
        <x:f>"2998000101910"</x:f>
        <x:v>2998000101910</x:v>
      </x:c>
      <x:c r="U62" s="10" t="s">
        <x:v>567</x:v>
      </x:c>
      <x:c r="V62" s="6" t="str">
        <x:f t="shared" si="5">IF(B62="EXCLUDE","Excluded",IF(B62="REVIEW MATCH","Review match",IF(B62="KEEP EXISTING","Existing",IF(U62="","MISSING","FOUND"))))</x:f>
        <x:v>Excluded</x:v>
      </x:c>
      <x:c r="W62" s="9">
        <x:v>0</x:v>
      </x:c>
      <x:c r="X62" s="9">
        <x:v>0</x:v>
      </x:c>
      <x:c r="Y62" s="26" t="str">
        <x:f>IF(B62="EXCLUDE","Excluded by user",IF(B62="REVIEW MATCH","Review current POS match",IF(B62="KEEP EXISTING","Already in POS",IF(O62&lt;=0,"Blocked: cost",IF(OR(R62&lt;=0,R62&gt;100000),"Blocked: retail",IF(U62="","Blocked: image",IF('Summary'!$B$3="APPROVED","READY","Pending approval")))))))</x:f>
        <x:v>Excluded by user</x:v>
      </x:c>
      <x:c r="Z62" s="26" t="str">
        <x:v>USER EXCLUSION: red-marked item; do not import.</x:v>
      </x:c>
    </x:row>
    <x:row r="63" ht="29.25">
      <x:c r="A63" s="12" t="s">
        <x:v>198</x:v>
      </x:c>
      <x:c r="B63" s="25" t="str">
        <x:v>EXCLUDE</x:v>
      </x:c>
      <x:c r="C63" s="6"/>
      <x:c r="D63" s="6"/>
      <x:c r="E63" s="6" t="s">
        <x:v>548</x:v>
      </x:c>
      <x:c r="F63" s="6" t="s">
        <x:v>52</x:v>
      </x:c>
      <x:c r="G63" s="6" t="s">
        <x:v>162</x:v>
      </x:c>
      <x:c r="H63" s="6" t="s">
        <x:v>199</x:v>
      </x:c>
      <x:c r="I63" s="10" t="s">
        <x:v>199</x:v>
      </x:c>
      <x:c r="J63" s="10" t="s">
        <x:v>161</x:v>
      </x:c>
      <x:c r="K63" s="9" t="str">
        <x:f t="shared" si="7"/>
        <x:v>1018954</x:v>
      </x:c>
      <x:c r="L63" s="9" t="str">
        <x:f>"TM8-COMP-10190"</x:f>
        <x:v>TM8-COMP-10190</x:v>
      </x:c>
      <x:c r="M63" s="12" t="s">
        <x:v>536</x:v>
      </x:c>
      <x:c r="N63" s="8">
        <x:v>181.78</x:v>
      </x:c>
      <x:c r="O63" s="11" t="n">
        <x:f>IF(B63="KEEP EXISTING",N63,'Cost Review'!H63)</x:f>
        <x:v>181.78</x:v>
      </x:c>
      <x:c r="P63" s="8" t="str">
        <x:f t="shared" si="3">IF(B63="EXCLUDE","Excluded",IF(B63="REVIEW MATCH","Review match",IF(B63="KEEP EXISTING","Existing",IF(O63&lt;=0,"MISSING","REVIEW"))))</x:f>
        <x:v>Excluded</x:v>
      </x:c>
      <x:c r="Q63" s="8">
        <x:v>249.95</x:v>
      </x:c>
      <x:c r="R63" s="11" t="n">
        <x:f>IF(B63="KEEP EXISTING",Q63,'Cost Review'!J63)</x:f>
        <x:v>249.95</x:v>
      </x:c>
      <x:c r="S63" s="6" t="str">
        <x:f t="shared" si="4">IF(B63="EXCLUDE","Excluded",IF(B63="REVIEW MATCH","Review match",IF(B63="KEEP EXISTING","Existing",IF(OR(R63&lt;=0,R63&gt;100000),"CHECK","OK"))))</x:f>
        <x:v>Excluded</x:v>
      </x:c>
      <x:c r="T63" s="9" t="str">
        <x:f>"2998000101903"</x:f>
        <x:v>2998000101903</x:v>
      </x:c>
      <x:c r="U63" s="10" t="s">
        <x:v>568</x:v>
      </x:c>
      <x:c r="V63" s="6" t="str">
        <x:f t="shared" si="5">IF(B63="EXCLUDE","Excluded",IF(B63="REVIEW MATCH","Review match",IF(B63="KEEP EXISTING","Existing",IF(U63="","MISSING","FOUND"))))</x:f>
        <x:v>Excluded</x:v>
      </x:c>
      <x:c r="W63" s="9">
        <x:v>1</x:v>
      </x:c>
      <x:c r="X63" s="9">
        <x:v>0</x:v>
      </x:c>
      <x:c r="Y63" s="26" t="str">
        <x:f>IF(B63="EXCLUDE","Excluded by user",IF(B63="REVIEW MATCH","Review current POS match",IF(B63="KEEP EXISTING","Already in POS",IF(O63&lt;=0,"Blocked: cost",IF(OR(R63&lt;=0,R63&gt;100000),"Blocked: retail",IF(U63="","Blocked: image",IF('Summary'!$B$3="APPROVED","READY","Pending approval")))))))</x:f>
        <x:v>Excluded by user</x:v>
      </x:c>
      <x:c r="Z63" s="26" t="str">
        <x:v>Source stock 1 is reference only; POS starts at 0. USER EXCLUSION: red-marked item; do not import.</x:v>
      </x:c>
    </x:row>
    <x:row r="64" ht="29.25">
      <x:c r="A64" s="12" t="s">
        <x:v>200</x:v>
      </x:c>
      <x:c r="B64" s="25" t="str">
        <x:v>EXCLUDE</x:v>
      </x:c>
      <x:c r="C64" s="6"/>
      <x:c r="D64" s="6"/>
      <x:c r="E64" s="6" t="s">
        <x:v>548</x:v>
      </x:c>
      <x:c r="F64" s="6" t="s">
        <x:v>52</x:v>
      </x:c>
      <x:c r="G64" s="6" t="s">
        <x:v>162</x:v>
      </x:c>
      <x:c r="H64" s="6" t="s">
        <x:v>201</x:v>
      </x:c>
      <x:c r="I64" s="10" t="s">
        <x:v>201</x:v>
      </x:c>
      <x:c r="J64" s="10" t="s">
        <x:v>161</x:v>
      </x:c>
      <x:c r="K64" s="9" t="str">
        <x:f t="shared" si="7"/>
        <x:v>1018954</x:v>
      </x:c>
      <x:c r="L64" s="9" t="str">
        <x:f>"TM8-COMP-10189"</x:f>
        <x:v>TM8-COMP-10189</x:v>
      </x:c>
      <x:c r="M64" s="12" t="s">
        <x:v>536</x:v>
      </x:c>
      <x:c r="N64" s="8">
        <x:v>603.6</x:v>
      </x:c>
      <x:c r="O64" s="11" t="n">
        <x:f>IF(B64="KEEP EXISTING",N64,'Cost Review'!H64)</x:f>
        <x:v>603.6</x:v>
      </x:c>
      <x:c r="P64" s="8" t="str">
        <x:f t="shared" si="3">IF(B64="EXCLUDE","Excluded",IF(B64="REVIEW MATCH","Review match",IF(B64="KEEP EXISTING","Existing",IF(O64&lt;=0,"MISSING","REVIEW"))))</x:f>
        <x:v>Excluded</x:v>
      </x:c>
      <x:c r="Q64" s="8">
        <x:v>829</x:v>
      </x:c>
      <x:c r="R64" s="11" t="n">
        <x:f>IF(B64="KEEP EXISTING",Q64,'Cost Review'!J64)</x:f>
        <x:v>829</x:v>
      </x:c>
      <x:c r="S64" s="6" t="str">
        <x:f t="shared" si="4">IF(B64="EXCLUDE","Excluded",IF(B64="REVIEW MATCH","Review match",IF(B64="KEEP EXISTING","Existing",IF(OR(R64&lt;=0,R64&gt;100000),"CHECK","OK"))))</x:f>
        <x:v>Excluded</x:v>
      </x:c>
      <x:c r="T64" s="9" t="str">
        <x:f>"2998000101897"</x:f>
        <x:v>2998000101897</x:v>
      </x:c>
      <x:c r="U64" s="10" t="s">
        <x:v>569</x:v>
      </x:c>
      <x:c r="V64" s="6" t="str">
        <x:f t="shared" si="5">IF(B64="EXCLUDE","Excluded",IF(B64="REVIEW MATCH","Review match",IF(B64="KEEP EXISTING","Existing",IF(U64="","MISSING","FOUND"))))</x:f>
        <x:v>Excluded</x:v>
      </x:c>
      <x:c r="W64" s="9">
        <x:v>1</x:v>
      </x:c>
      <x:c r="X64" s="9">
        <x:v>0</x:v>
      </x:c>
      <x:c r="Y64" s="26" t="str">
        <x:f>IF(B64="EXCLUDE","Excluded by user",IF(B64="REVIEW MATCH","Review current POS match",IF(B64="KEEP EXISTING","Already in POS",IF(O64&lt;=0,"Blocked: cost",IF(OR(R64&lt;=0,R64&gt;100000),"Blocked: retail",IF(U64="","Blocked: image",IF('Summary'!$B$3="APPROVED","READY","Pending approval")))))))</x:f>
        <x:v>Excluded by user</x:v>
      </x:c>
      <x:c r="Z64" s="26" t="str">
        <x:v>Source stock 1 is reference only; POS starts at 0. USER EXCLUSION: red-marked item; do not import.</x:v>
      </x:c>
    </x:row>
    <x:row r="65" ht="29.25">
      <x:c r="A65" s="12" t="s">
        <x:v>202</x:v>
      </x:c>
      <x:c r="B65" s="6" t="str">
        <x:v>IMPORT</x:v>
      </x:c>
      <x:c r="C65" s="6"/>
      <x:c r="D65" s="6"/>
      <x:c r="E65" s="6" t="s">
        <x:v>531</x:v>
      </x:c>
      <x:c r="F65" s="6" t="s">
        <x:v>52</x:v>
      </x:c>
      <x:c r="G65" s="6" t="s">
        <x:v>53</x:v>
      </x:c>
      <x:c r="H65" s="6" t="s">
        <x:v>203</x:v>
      </x:c>
      <x:c r="I65" s="10" t="s">
        <x:v>203</x:v>
      </x:c>
      <x:c r="J65" s="10" t="s">
        <x:v>204</x:v>
      </x:c>
      <x:c r="K65" s="9" t="str">
        <x:f>"1016052"</x:f>
        <x:v>1016052</x:v>
      </x:c>
      <x:c r="L65" s="9" t="str">
        <x:f>"1016052"</x:f>
        <x:v>1016052</x:v>
      </x:c>
      <x:c r="M65" s="12" t="s">
        <x:v>489</x:v>
      </x:c>
      <x:c r="N65" s="8">
        <x:v>56</x:v>
      </x:c>
      <x:c r="O65" s="11" t="n">
        <x:f>IF(B65="KEEP EXISTING",N65,'Cost Review'!H65)</x:f>
        <x:v>56</x:v>
      </x:c>
      <x:c r="P65" s="8" t="str">
        <x:f t="shared" si="3">IF(B65="EXCLUDE","Excluded",IF(B65="REVIEW MATCH","Review match",IF(B65="KEEP EXISTING","Existing",IF(O65&lt;=0,"MISSING","REVIEW"))))</x:f>
        <x:v>REVIEW</x:v>
      </x:c>
      <x:c r="Q65" s="8">
        <x:v>69</x:v>
      </x:c>
      <x:c r="R65" s="11" t="n">
        <x:f>IF(B65="KEEP EXISTING",Q65,'Cost Review'!J65)</x:f>
        <x:v>69</x:v>
      </x:c>
      <x:c r="S65" s="6" t="str">
        <x:f t="shared" si="4">IF(B65="EXCLUDE","Excluded",IF(B65="REVIEW MATCH","Review match",IF(B65="KEEP EXISTING","Existing",IF(OR(R65&lt;=0,R65&gt;100000),"CHECK","OK"))))</x:f>
        <x:v>OK</x:v>
      </x:c>
      <x:c r="T65" s="9" t="str">
        <x:f>"2998000101606"</x:f>
        <x:v>2998000101606</x:v>
      </x:c>
      <x:c r="U65" s="10" t="s">
        <x:v>570</x:v>
      </x:c>
      <x:c r="V65" s="6" t="str">
        <x:f t="shared" si="5">IF(B65="EXCLUDE","Excluded",IF(B65="REVIEW MATCH","Review match",IF(B65="KEEP EXISTING","Existing",IF(U65="","MISSING","FOUND"))))</x:f>
        <x:v>FOUND</x:v>
      </x:c>
      <x:c r="W65" s="9">
        <x:v>0</x:v>
      </x:c>
      <x:c r="X65" s="9">
        <x:v>0</x:v>
      </x:c>
      <x:c r="Y65" s="6" t="str">
        <x:f>IF(B65="EXCLUDE","Excluded by user",IF(B65="REVIEW MATCH","Review current POS match",IF(B65="KEEP EXISTING","Already in POS",IF(O65&lt;=0,"Blocked: cost",IF(OR(R65&lt;=0,R65&gt;100000),"Blocked: retail",IF(U65="","Blocked: image",IF('Summary'!$B$3="APPROVED","READY","Pending approval")))))))</x:f>
        <x:v>Pending approval</x:v>
      </x:c>
      <x:c r="Z65" s="6" t="str"/>
    </x:row>
    <x:row r="66" ht="43.5">
      <x:c r="A66" s="12" t="s">
        <x:v>205</x:v>
      </x:c>
      <x:c r="B66" s="28" t="str">
        <x:v>REVIEW MATCH</x:v>
      </x:c>
      <x:c r="C66" s="6"/>
      <x:c r="D66" s="6"/>
      <x:c r="E66" s="6" t="s">
        <x:v>508</x:v>
      </x:c>
      <x:c r="F66" s="6" t="s">
        <x:v>52</x:v>
      </x:c>
      <x:c r="G66" s="6" t="s">
        <x:v>53</x:v>
      </x:c>
      <x:c r="H66" s="6" t="s">
        <x:v>206</x:v>
      </x:c>
      <x:c r="I66" s="10" t="s">
        <x:v>206</x:v>
      </x:c>
      <x:c r="J66" s="10" t="s">
        <x:v>81</x:v>
      </x:c>
      <x:c r="K66" s="9" t="str">
        <x:f>"1004132"</x:f>
        <x:v>1004132</x:v>
      </x:c>
      <x:c r="L66" s="9" t="str">
        <x:f>"TM8-COMP-10156"</x:f>
        <x:v>TM8-COMP-10156</x:v>
      </x:c>
      <x:c r="M66" s="12" t="s">
        <x:v>536</x:v>
      </x:c>
      <x:c r="N66" s="8">
        <x:v>95</x:v>
      </x:c>
      <x:c r="O66" s="11" t="n">
        <x:f>IF(B66="KEEP EXISTING",N66,'Cost Review'!H66)</x:f>
        <x:v>95</x:v>
      </x:c>
      <x:c r="P66" s="8" t="str">
        <x:f t="shared" ref="P66:P97" si="8">IF(B66="EXCLUDE","Excluded",IF(B66="REVIEW MATCH","Review match",IF(B66="KEEP EXISTING","Existing",IF(O66&lt;=0,"MISSING","REVIEW"))))</x:f>
        <x:v>Review match</x:v>
      </x:c>
      <x:c r="Q66" s="8">
        <x:v>149</x:v>
      </x:c>
      <x:c r="R66" s="11" t="n">
        <x:f>IF(B66="KEEP EXISTING",Q66,'Cost Review'!J66)</x:f>
        <x:v>149</x:v>
      </x:c>
      <x:c r="S66" s="6" t="str">
        <x:f t="shared" ref="S66:S97" si="9">IF(B66="EXCLUDE","Excluded",IF(B66="REVIEW MATCH","Review match",IF(B66="KEEP EXISTING","Existing",IF(OR(R66&lt;=0,R66&gt;100000),"CHECK","OK"))))</x:f>
        <x:v>Review match</x:v>
      </x:c>
      <x:c r="T66" s="9" t="str">
        <x:f>"2998000101569"</x:f>
        <x:v>2998000101569</x:v>
      </x:c>
      <x:c r="U66" s="10" t="s">
        <x:v>571</x:v>
      </x:c>
      <x:c r="V66" s="6" t="str">
        <x:f t="shared" ref="V66:V97" si="10">IF(B66="EXCLUDE","Excluded",IF(B66="REVIEW MATCH","Review match",IF(B66="KEEP EXISTING","Existing",IF(U66="","MISSING","FOUND"))))</x:f>
        <x:v>Review match</x:v>
      </x:c>
      <x:c r="W66" s="9">
        <x:v>5</x:v>
      </x:c>
      <x:c r="X66" s="9">
        <x:v>0</x:v>
      </x:c>
      <x:c r="Y66" s="29" t="str">
        <x:f>IF(B66="EXCLUDE","Excluded by user",IF(B66="REVIEW MATCH","Review current POS match",IF(B66="KEEP EXISTING","Already in POS",IF(O66&lt;=0,"Blocked: cost",IF(OR(R66&lt;=0,R66&gt;100000),"Blocked: retail",IF(U66="","Blocked: image",IF('Summary'!$B$3="APPROVED","READY","Pending approval")))))))</x:f>
        <x:v>Review current POS match</x:v>
      </x:c>
      <x:c r="Z66" s="29" t="str">
        <x:v>Source stock 5 is reference only; POS starts at 0. SYSTEM MATCH: likely the same as current POS SKU LC-MSI-A13-240-COPY; import is blocked pending review.</x:v>
      </x:c>
    </x:row>
    <x:row r="67" ht="43.5">
      <x:c r="A67" s="12" t="s">
        <x:v>207</x:v>
      </x:c>
      <x:c r="B67" s="28" t="str">
        <x:v>REVIEW MATCH</x:v>
      </x:c>
      <x:c r="C67" s="6"/>
      <x:c r="D67" s="6"/>
      <x:c r="E67" s="6" t="s">
        <x:v>508</x:v>
      </x:c>
      <x:c r="F67" s="6" t="s">
        <x:v>52</x:v>
      </x:c>
      <x:c r="G67" s="6" t="s">
        <x:v>53</x:v>
      </x:c>
      <x:c r="H67" s="6" t="s">
        <x:v>208</x:v>
      </x:c>
      <x:c r="I67" s="10" t="s">
        <x:v>208</x:v>
      </x:c>
      <x:c r="J67" s="10" t="s">
        <x:v>81</x:v>
      </x:c>
      <x:c r="K67" s="9" t="str">
        <x:f>"1004132"</x:f>
        <x:v>1004132</x:v>
      </x:c>
      <x:c r="L67" s="9" t="str">
        <x:f>"TM8-COMP-10155"</x:f>
        <x:v>TM8-COMP-10155</x:v>
      </x:c>
      <x:c r="M67" s="12" t="s">
        <x:v>536</x:v>
      </x:c>
      <x:c r="N67" s="8">
        <x:v>80</x:v>
      </x:c>
      <x:c r="O67" s="11" t="n">
        <x:f>IF(B67="KEEP EXISTING",N67,'Cost Review'!H67)</x:f>
        <x:v>80</x:v>
      </x:c>
      <x:c r="P67" s="8" t="str">
        <x:f t="shared" si="8">IF(B67="EXCLUDE","Excluded",IF(B67="REVIEW MATCH","Review match",IF(B67="KEEP EXISTING","Existing",IF(O67&lt;=0,"MISSING","REVIEW"))))</x:f>
        <x:v>Review match</x:v>
      </x:c>
      <x:c r="Q67" s="8">
        <x:v>139</x:v>
      </x:c>
      <x:c r="R67" s="11" t="n">
        <x:f>IF(B67="KEEP EXISTING",Q67,'Cost Review'!J67)</x:f>
        <x:v>139</x:v>
      </x:c>
      <x:c r="S67" s="6" t="str">
        <x:f t="shared" si="9">IF(B67="EXCLUDE","Excluded",IF(B67="REVIEW MATCH","Review match",IF(B67="KEEP EXISTING","Existing",IF(OR(R67&lt;=0,R67&gt;100000),"CHECK","OK"))))</x:f>
        <x:v>Review match</x:v>
      </x:c>
      <x:c r="T67" s="9" t="str">
        <x:f>"2998000101552"</x:f>
        <x:v>2998000101552</x:v>
      </x:c>
      <x:c r="U67" s="10" t="s">
        <x:v>572</x:v>
      </x:c>
      <x:c r="V67" s="6" t="str">
        <x:f t="shared" si="10">IF(B67="EXCLUDE","Excluded",IF(B67="REVIEW MATCH","Review match",IF(B67="KEEP EXISTING","Existing",IF(U67="","MISSING","FOUND"))))</x:f>
        <x:v>Review match</x:v>
      </x:c>
      <x:c r="W67" s="9">
        <x:v>6</x:v>
      </x:c>
      <x:c r="X67" s="9">
        <x:v>0</x:v>
      </x:c>
      <x:c r="Y67" s="29" t="str">
        <x:f>IF(B67="EXCLUDE","Excluded by user",IF(B67="REVIEW MATCH","Review current POS match",IF(B67="KEEP EXISTING","Already in POS",IF(O67&lt;=0,"Blocked: cost",IF(OR(R67&lt;=0,R67&gt;100000),"Blocked: retail",IF(U67="","Blocked: image",IF('Summary'!$B$3="APPROVED","READY","Pending approval")))))))</x:f>
        <x:v>Review current POS match</x:v>
      </x:c>
      <x:c r="Z67" s="29" t="str">
        <x:v>Source stock 6 is reference only; POS starts at 0. SYSTEM MATCH: likely the same as current POS SKU LC-MSI-A13-240; import is blocked pending review.</x:v>
      </x:c>
    </x:row>
    <x:row r="68" ht="29.25">
      <x:c r="A68" s="12" t="s">
        <x:v>209</x:v>
      </x:c>
      <x:c r="B68" s="6" t="str">
        <x:v>IMPORT</x:v>
      </x:c>
      <x:c r="C68" s="6"/>
      <x:c r="D68" s="6"/>
      <x:c r="E68" s="6" t="s">
        <x:v>573</x:v>
      </x:c>
      <x:c r="F68" s="6" t="s">
        <x:v>52</x:v>
      </x:c>
      <x:c r="G68" s="6" t="s">
        <x:v>211</x:v>
      </x:c>
      <x:c r="H68" s="6" t="s">
        <x:v>210</x:v>
      </x:c>
      <x:c r="I68" s="10" t="s">
        <x:v>210</x:v>
      </x:c>
      <x:c r="J68" s="10" t="s">
        <x:v>37</x:v>
      </x:c>
      <x:c r="K68" s="9" t="str">
        <x:f>"101221009"</x:f>
        <x:v>101221009</x:v>
      </x:c>
      <x:c r="L68" s="9" t="str">
        <x:f>"TM8-COMP-10154"</x:f>
        <x:v>TM8-COMP-10154</x:v>
      </x:c>
      <x:c r="M68" s="12" t="s">
        <x:v>536</x:v>
      </x:c>
      <x:c r="N68" s="8">
        <x:v>43</x:v>
      </x:c>
      <x:c r="O68" s="11" t="n">
        <x:f>IF(B68="KEEP EXISTING",N68,'Cost Review'!H68)</x:f>
        <x:v>43</x:v>
      </x:c>
      <x:c r="P68" s="8" t="str">
        <x:f t="shared" si="8">IF(B68="EXCLUDE","Excluded",IF(B68="REVIEW MATCH","Review match",IF(B68="KEEP EXISTING","Existing",IF(O68&lt;=0,"MISSING","REVIEW"))))</x:f>
        <x:v>REVIEW</x:v>
      </x:c>
      <x:c r="Q68" s="8">
        <x:v>64</x:v>
      </x:c>
      <x:c r="R68" s="11" t="n">
        <x:f>IF(B68="KEEP EXISTING",Q68,'Cost Review'!J68)</x:f>
        <x:v>64</x:v>
      </x:c>
      <x:c r="S68" s="6" t="str">
        <x:f t="shared" si="9">IF(B68="EXCLUDE","Excluded",IF(B68="REVIEW MATCH","Review match",IF(B68="KEEP EXISTING","Existing",IF(OR(R68&lt;=0,R68&gt;100000),"CHECK","OK"))))</x:f>
        <x:v>OK</x:v>
      </x:c>
      <x:c r="T68" s="9" t="str">
        <x:f>"2998000101545"</x:f>
        <x:v>2998000101545</x:v>
      </x:c>
      <x:c r="U68" s="10" t="s">
        <x:v>574</x:v>
      </x:c>
      <x:c r="V68" s="6" t="str">
        <x:f t="shared" si="10">IF(B68="EXCLUDE","Excluded",IF(B68="REVIEW MATCH","Review match",IF(B68="KEEP EXISTING","Existing",IF(U68="","MISSING","FOUND"))))</x:f>
        <x:v>FOUND</x:v>
      </x:c>
      <x:c r="W68" s="9">
        <x:v>0</x:v>
      </x:c>
      <x:c r="X68" s="9">
        <x:v>0</x:v>
      </x:c>
      <x:c r="Y68" s="6" t="str">
        <x:f>IF(B68="EXCLUDE","Excluded by user",IF(B68="REVIEW MATCH","Review current POS match",IF(B68="KEEP EXISTING","Already in POS",IF(O68&lt;=0,"Blocked: cost",IF(OR(R68&lt;=0,R68&gt;100000),"Blocked: retail",IF(U68="","Blocked: image",IF('Summary'!$B$3="APPROVED","READY","Pending approval")))))))</x:f>
        <x:v>Pending approval</x:v>
      </x:c>
      <x:c r="Z68" s="6" t="str"/>
    </x:row>
    <x:row r="69" ht="29.25">
      <x:c r="A69" s="12" t="s">
        <x:v>212</x:v>
      </x:c>
      <x:c r="B69" s="6" t="str">
        <x:v>IMPORT</x:v>
      </x:c>
      <x:c r="C69" s="6"/>
      <x:c r="D69" s="6"/>
      <x:c r="E69" s="6" t="s">
        <x:v>573</x:v>
      </x:c>
      <x:c r="F69" s="6" t="s">
        <x:v>52</x:v>
      </x:c>
      <x:c r="G69" s="6" t="s">
        <x:v>211</x:v>
      </x:c>
      <x:c r="H69" s="6" t="s">
        <x:v>213</x:v>
      </x:c>
      <x:c r="I69" s="10" t="s">
        <x:v>213</x:v>
      </x:c>
      <x:c r="J69" s="10" t="s">
        <x:v>37</x:v>
      </x:c>
      <x:c r="K69" s="9" t="str">
        <x:f>"101221009"</x:f>
        <x:v>101221009</x:v>
      </x:c>
      <x:c r="L69" s="9" t="str">
        <x:f>"TM8-COMP-10153"</x:f>
        <x:v>TM8-COMP-10153</x:v>
      </x:c>
      <x:c r="M69" s="12" t="s">
        <x:v>536</x:v>
      </x:c>
      <x:c r="N69" s="8">
        <x:v>40</x:v>
      </x:c>
      <x:c r="O69" s="11" t="n">
        <x:f>IF(B69="KEEP EXISTING",N69,'Cost Review'!H69)</x:f>
        <x:v>40</x:v>
      </x:c>
      <x:c r="P69" s="8" t="str">
        <x:f t="shared" si="8">IF(B69="EXCLUDE","Excluded",IF(B69="REVIEW MATCH","Review match",IF(B69="KEEP EXISTING","Existing",IF(O69&lt;=0,"MISSING","REVIEW"))))</x:f>
        <x:v>REVIEW</x:v>
      </x:c>
      <x:c r="Q69" s="8">
        <x:v>59</x:v>
      </x:c>
      <x:c r="R69" s="11" t="n">
        <x:f>IF(B69="KEEP EXISTING",Q69,'Cost Review'!J69)</x:f>
        <x:v>59</x:v>
      </x:c>
      <x:c r="S69" s="6" t="str">
        <x:f t="shared" si="9">IF(B69="EXCLUDE","Excluded",IF(B69="REVIEW MATCH","Review match",IF(B69="KEEP EXISTING","Existing",IF(OR(R69&lt;=0,R69&gt;100000),"CHECK","OK"))))</x:f>
        <x:v>OK</x:v>
      </x:c>
      <x:c r="T69" s="9" t="str">
        <x:f>"2998000101538"</x:f>
        <x:v>2998000101538</x:v>
      </x:c>
      <x:c r="U69" s="10" t="s">
        <x:v>575</x:v>
      </x:c>
      <x:c r="V69" s="6" t="str">
        <x:f t="shared" si="10">IF(B69="EXCLUDE","Excluded",IF(B69="REVIEW MATCH","Review match",IF(B69="KEEP EXISTING","Existing",IF(U69="","MISSING","FOUND"))))</x:f>
        <x:v>FOUND</x:v>
      </x:c>
      <x:c r="W69" s="9">
        <x:v>2</x:v>
      </x:c>
      <x:c r="X69" s="9">
        <x:v>0</x:v>
      </x:c>
      <x:c r="Y69" s="6" t="str">
        <x:f>IF(B69="EXCLUDE","Excluded by user",IF(B69="REVIEW MATCH","Review current POS match",IF(B69="KEEP EXISTING","Already in POS",IF(O69&lt;=0,"Blocked: cost",IF(OR(R69&lt;=0,R69&gt;100000),"Blocked: retail",IF(U69="","Blocked: image",IF('Summary'!$B$3="APPROVED","READY","Pending approval")))))))</x:f>
        <x:v>Pending approval</x:v>
      </x:c>
      <x:c r="Z69" s="6" t="str">
        <x:v>Source stock 2 is reference only; POS starts at 0.</x:v>
      </x:c>
    </x:row>
    <x:row r="70" ht="43.5">
      <x:c r="A70" s="12" t="s">
        <x:v>214</x:v>
      </x:c>
      <x:c r="B70" s="6" t="str">
        <x:v>IMPORT</x:v>
      </x:c>
      <x:c r="C70" s="6"/>
      <x:c r="D70" s="6"/>
      <x:c r="E70" s="6" t="s">
        <x:v>573</x:v>
      </x:c>
      <x:c r="F70" s="6" t="s">
        <x:v>52</x:v>
      </x:c>
      <x:c r="G70" s="6" t="s">
        <x:v>211</x:v>
      </x:c>
      <x:c r="H70" s="6" t="s">
        <x:v>215</x:v>
      </x:c>
      <x:c r="I70" s="10" t="s">
        <x:v>215</x:v>
      </x:c>
      <x:c r="J70" s="10" t="s">
        <x:v>81</x:v>
      </x:c>
      <x:c r="K70" s="9" t="str">
        <x:f>"101221009"</x:f>
        <x:v>101221009</x:v>
      </x:c>
      <x:c r="L70" s="9" t="str">
        <x:f>"TM8-COMP-10122"</x:f>
        <x:v>TM8-COMP-10122</x:v>
      </x:c>
      <x:c r="M70" s="12" t="s">
        <x:v>536</x:v>
      </x:c>
      <x:c r="N70" s="8">
        <x:v>52</x:v>
      </x:c>
      <x:c r="O70" s="11" t="n">
        <x:f>IF(B70="KEEP EXISTING",N70,'Cost Review'!H70)</x:f>
        <x:v>52</x:v>
      </x:c>
      <x:c r="P70" s="8" t="str">
        <x:f t="shared" si="8">IF(B70="EXCLUDE","Excluded",IF(B70="REVIEW MATCH","Review match",IF(B70="KEEP EXISTING","Existing",IF(O70&lt;=0,"MISSING","REVIEW"))))</x:f>
        <x:v>REVIEW</x:v>
      </x:c>
      <x:c r="Q70" s="8">
        <x:v>99</x:v>
      </x:c>
      <x:c r="R70" s="11" t="n">
        <x:f>IF(B70="KEEP EXISTING",Q70,'Cost Review'!J70)</x:f>
        <x:v>99</x:v>
      </x:c>
      <x:c r="S70" s="6" t="str">
        <x:f t="shared" si="9">IF(B70="EXCLUDE","Excluded",IF(B70="REVIEW MATCH","Review match",IF(B70="KEEP EXISTING","Existing",IF(OR(R70&lt;=0,R70&gt;100000),"CHECK","OK"))))</x:f>
        <x:v>OK</x:v>
      </x:c>
      <x:c r="T70" s="9" t="str">
        <x:f>"2998000101224"</x:f>
        <x:v>2998000101224</x:v>
      </x:c>
      <x:c r="U70" s="10" t="s">
        <x:v>576</x:v>
      </x:c>
      <x:c r="V70" s="6" t="str">
        <x:f t="shared" si="10">IF(B70="EXCLUDE","Excluded",IF(B70="REVIEW MATCH","Review match",IF(B70="KEEP EXISTING","Existing",IF(U70="","MISSING","FOUND"))))</x:f>
        <x:v>FOUND</x:v>
      </x:c>
      <x:c r="W70" s="9">
        <x:v>1</x:v>
      </x:c>
      <x:c r="X70" s="9">
        <x:v>0</x:v>
      </x:c>
      <x:c r="Y70" s="6" t="str">
        <x:f>IF(B70="EXCLUDE","Excluded by user",IF(B70="REVIEW MATCH","Review current POS match",IF(B70="KEEP EXISTING","Already in POS",IF(O70&lt;=0,"Blocked: cost",IF(OR(R70&lt;=0,R70&gt;100000),"Blocked: retail",IF(U70="","Blocked: image",IF('Summary'!$B$3="APPROVED","READY","Pending approval")))))))</x:f>
        <x:v>Pending approval</x:v>
      </x:c>
      <x:c r="Z70" s="6" t="str">
        <x:v>Source stock 1 is reference only; POS starts at 0.</x:v>
      </x:c>
    </x:row>
    <x:row r="71" ht="43.5">
      <x:c r="A71" s="12" t="s">
        <x:v>216</x:v>
      </x:c>
      <x:c r="B71" s="6" t="str">
        <x:v>IMPORT</x:v>
      </x:c>
      <x:c r="C71" s="6"/>
      <x:c r="D71" s="6"/>
      <x:c r="E71" s="6" t="s">
        <x:v>495</x:v>
      </x:c>
      <x:c r="F71" s="6" t="s">
        <x:v>52</x:v>
      </x:c>
      <x:c r="G71" s="6" t="s">
        <x:v>53</x:v>
      </x:c>
      <x:c r="H71" s="6" t="s">
        <x:v>217</x:v>
      </x:c>
      <x:c r="I71" s="10" t="s">
        <x:v>217</x:v>
      </x:c>
      <x:c r="J71" s="10" t="s">
        <x:v>37</x:v>
      </x:c>
      <x:c r="K71" s="9" t="str">
        <x:f>"1010943"</x:f>
        <x:v>1010943</x:v>
      </x:c>
      <x:c r="L71" s="9" t="str">
        <x:f>"1010943"</x:f>
        <x:v>1010943</x:v>
      </x:c>
      <x:c r="M71" s="12" t="s">
        <x:v>489</x:v>
      </x:c>
      <x:c r="N71" s="8">
        <x:v>0</x:v>
      </x:c>
      <x:c r="O71" s="11" t="n">
        <x:f>IF(B71="KEEP EXISTING",N71,'Cost Review'!H71)</x:f>
        <x:v>5</x:v>
      </x:c>
      <x:c r="P71" s="8" t="str">
        <x:f t="shared" si="8">IF(B71="EXCLUDE","Excluded",IF(B71="REVIEW MATCH","Review match",IF(B71="KEEP EXISTING","Existing",IF(O71&lt;=0,"MISSING","REVIEW"))))</x:f>
        <x:v>REVIEW</x:v>
      </x:c>
      <x:c r="Q71" s="8">
        <x:v>35</x:v>
      </x:c>
      <x:c r="R71" s="11" t="n">
        <x:f>IF(B71="KEEP EXISTING",Q71,'Cost Review'!J71)</x:f>
        <x:v>35</x:v>
      </x:c>
      <x:c r="S71" s="6" t="str">
        <x:f t="shared" si="9">IF(B71="EXCLUDE","Excluded",IF(B71="REVIEW MATCH","Review match",IF(B71="KEEP EXISTING","Existing",IF(OR(R71&lt;=0,R71&gt;100000),"CHECK","OK"))))</x:f>
        <x:v>OK</x:v>
      </x:c>
      <x:c r="T71" s="9" t="str">
        <x:f>"2998000101095"</x:f>
        <x:v>2998000101095</x:v>
      </x:c>
      <x:c r="U71" s="10" t="s">
        <x:v>577</x:v>
      </x:c>
      <x:c r="V71" s="6" t="str">
        <x:f t="shared" si="10">IF(B71="EXCLUDE","Excluded",IF(B71="REVIEW MATCH","Review match",IF(B71="KEEP EXISTING","Existing",IF(U71="","MISSING","FOUND"))))</x:f>
        <x:v>FOUND</x:v>
      </x:c>
      <x:c r="W71" s="9">
        <x:v>0</x:v>
      </x:c>
      <x:c r="X71" s="9">
        <x:v>0</x:v>
      </x:c>
      <x:c r="Y71" s="6" t="str">
        <x:f>IF(B71="EXCLUDE","Excluded by user",IF(B71="REVIEW MATCH","Review current POS match",IF(B71="KEEP EXISTING","Already in POS",IF(O71&lt;=0,"Blocked: cost",IF(OR(R71&lt;=0,R71&gt;100000),"Blocked: retail",IF(U71="","Blocked: image",IF('Summary'!$B$3="APPROVED","READY","Pending approval")))))))</x:f>
        <x:v>Pending approval</x:v>
      </x:c>
      <x:c r="Z71" s="6" t="str">
        <x:v>Cost must be entered before import.</x:v>
      </x:c>
    </x:row>
    <x:row r="72" ht="43.5">
      <x:c r="A72" s="12" t="s">
        <x:v>578</x:v>
      </x:c>
      <x:c r="B72" s="6" t="str">
        <x:v>KEEP EXISTING</x:v>
      </x:c>
      <x:c r="C72" s="6" t="s">
        <x:v>579</x:v>
      </x:c>
      <x:c r="D72" s="6" t="s">
        <x:v>580</x:v>
      </x:c>
      <x:c r="E72" s="6" t="s">
        <x:v>528</x:v>
      </x:c>
      <x:c r="F72" s="6" t="s">
        <x:v>52</x:v>
      </x:c>
      <x:c r="G72" s="6" t="s">
        <x:v>123</x:v>
      </x:c>
      <x:c r="H72" s="6" t="s">
        <x:v>581</x:v>
      </x:c>
      <x:c r="I72" s="10" t="s">
        <x:v>581</x:v>
      </x:c>
      <x:c r="J72" s="10" t="s">
        <x:v>37</x:v>
      </x:c>
      <x:c r="K72" s="9" t="str">
        <x:f>"100651002"</x:f>
        <x:v>100651002</x:v>
      </x:c>
      <x:c r="L72" s="9" t="str">
        <x:f>"TM8-PS5-DS-STERLING-SILVER"</x:f>
        <x:v>TM8-PS5-DS-STERLING-SILVER</x:v>
      </x:c>
      <x:c r="M72" s="12" t="s">
        <x:v>582</x:v>
      </x:c>
      <x:c r="N72" s="8">
        <x:v>89.74</x:v>
      </x:c>
      <x:c r="O72" s="11" t="n">
        <x:f>IF(B72="KEEP EXISTING",N72,'Cost Review'!H2)</x:f>
        <x:v>89.74</x:v>
      </x:c>
      <x:c r="P72" s="8" t="str">
        <x:f t="shared" si="8">IF(B72="EXCLUDE","Excluded",IF(B72="REVIEW MATCH","Review match",IF(B72="KEEP EXISTING","Existing",IF(O72&lt;=0,"MISSING","REVIEW"))))</x:f>
        <x:v>Existing</x:v>
      </x:c>
      <x:c r="Q72" s="8">
        <x:v>125</x:v>
      </x:c>
      <x:c r="R72" s="11" t="n">
        <x:f>IF(B72="KEEP EXISTING",Q72,'Cost Review'!J2)</x:f>
        <x:v>125</x:v>
      </x:c>
      <x:c r="S72" s="6" t="str">
        <x:f t="shared" si="9">IF(B72="EXCLUDE","Excluded",IF(B72="REVIEW MATCH","Review match",IF(B72="KEEP EXISTING","Existing",IF(OR(R72&lt;=0,R72&gt;100000),"CHECK","OK"))))</x:f>
        <x:v>Existing</x:v>
      </x:c>
      <x:c r="T72" s="9" t="str">
        <x:f>"2998000100692"</x:f>
        <x:v>2998000100692</x:v>
      </x:c>
      <x:c r="U72" s="10" t="s">
        <x:v>583</x:v>
      </x:c>
      <x:c r="V72" s="6" t="str">
        <x:f t="shared" si="10">IF(B72="EXCLUDE","Excluded",IF(B72="REVIEW MATCH","Review match",IF(B72="KEEP EXISTING","Existing",IF(U72="","MISSING","FOUND"))))</x:f>
        <x:v>Existing</x:v>
      </x:c>
      <x:c r="W72" s="9">
        <x:v>0</x:v>
      </x:c>
      <x:c r="X72" s="9">
        <x:v>0</x:v>
      </x:c>
      <x:c r="Y72" s="6" t="str">
        <x:f>IF(B72="EXCLUDE","Excluded by user",IF(B72="REVIEW MATCH","Review current POS match",IF(B72="KEEP EXISTING","Already in POS",IF(O72&lt;=0,"Blocked: cost",IF(OR(R72&lt;=0,R72&gt;100000),"Blocked: retail",IF(U72="","Blocked: image",IF('Summary'!$B$3="APPROVED","READY","Pending approval")))))))</x:f>
        <x:v>Already in POS</x:v>
      </x:c>
      <x:c r="Z72" s="6" t="str">
        <x:v>Exact-name product already exists in POS; do not import a duplicate.</x:v>
      </x:c>
    </x:row>
    <x:row r="73" ht="43.5">
      <x:c r="A73" s="12" t="s">
        <x:v>584</x:v>
      </x:c>
      <x:c r="B73" s="6" t="str">
        <x:v>KEEP EXISTING</x:v>
      </x:c>
      <x:c r="C73" s="6" t="s">
        <x:v>585</x:v>
      </x:c>
      <x:c r="D73" s="6" t="s">
        <x:v>586</x:v>
      </x:c>
      <x:c r="E73" s="6" t="s">
        <x:v>528</x:v>
      </x:c>
      <x:c r="F73" s="6" t="s">
        <x:v>52</x:v>
      </x:c>
      <x:c r="G73" s="6" t="s">
        <x:v>123</x:v>
      </x:c>
      <x:c r="H73" s="6" t="s">
        <x:v>585</x:v>
      </x:c>
      <x:c r="I73" s="10" t="s">
        <x:v>585</x:v>
      </x:c>
      <x:c r="J73" s="10" t="s">
        <x:v>37</x:v>
      </x:c>
      <x:c r="K73" s="9" t="str">
        <x:f>"100651002"</x:f>
        <x:v>100651002</x:v>
      </x:c>
      <x:c r="L73" s="9" t="str">
        <x:f>"TM8-PS5-DS-COSMIC-RED"</x:f>
        <x:v>TM8-PS5-DS-COSMIC-RED</x:v>
      </x:c>
      <x:c r="M73" s="12" t="s">
        <x:v>582</x:v>
      </x:c>
      <x:c r="N73" s="8">
        <x:v>86.15</x:v>
      </x:c>
      <x:c r="O73" s="11" t="n">
        <x:f>IF(B73="KEEP EXISTING",N73,'Cost Review'!H2)</x:f>
        <x:v>86.15</x:v>
      </x:c>
      <x:c r="P73" s="8" t="str">
        <x:f t="shared" si="8">IF(B73="EXCLUDE","Excluded",IF(B73="REVIEW MATCH","Review match",IF(B73="KEEP EXISTING","Existing",IF(O73&lt;=0,"MISSING","REVIEW"))))</x:f>
        <x:v>Existing</x:v>
      </x:c>
      <x:c r="Q73" s="8">
        <x:v>119.95</x:v>
      </x:c>
      <x:c r="R73" s="11" t="n">
        <x:f>IF(B73="KEEP EXISTING",Q73,'Cost Review'!J2)</x:f>
        <x:v>119.95</x:v>
      </x:c>
      <x:c r="S73" s="6" t="str">
        <x:f t="shared" si="9">IF(B73="EXCLUDE","Excluded",IF(B73="REVIEW MATCH","Review match",IF(B73="KEEP EXISTING","Existing",IF(OR(R73&lt;=0,R73&gt;100000),"CHECK","OK"))))</x:f>
        <x:v>Existing</x:v>
      </x:c>
      <x:c r="T73" s="9" t="str">
        <x:f>"2998000100685"</x:f>
        <x:v>2998000100685</x:v>
      </x:c>
      <x:c r="U73" s="10" t="s">
        <x:v>587</x:v>
      </x:c>
      <x:c r="V73" s="6" t="str">
        <x:f t="shared" si="10">IF(B73="EXCLUDE","Excluded",IF(B73="REVIEW MATCH","Review match",IF(B73="KEEP EXISTING","Existing",IF(U73="","MISSING","FOUND"))))</x:f>
        <x:v>Existing</x:v>
      </x:c>
      <x:c r="W73" s="9">
        <x:v>0</x:v>
      </x:c>
      <x:c r="X73" s="9">
        <x:v>0</x:v>
      </x:c>
      <x:c r="Y73" s="6" t="str">
        <x:f>IF(B73="EXCLUDE","Excluded by user",IF(B73="REVIEW MATCH","Review current POS match",IF(B73="KEEP EXISTING","Already in POS",IF(O73&lt;=0,"Blocked: cost",IF(OR(R73&lt;=0,R73&gt;100000),"Blocked: retail",IF(U73="","Blocked: image",IF('Summary'!$B$3="APPROVED","READY","Pending approval")))))))</x:f>
        <x:v>Already in POS</x:v>
      </x:c>
      <x:c r="Z73" s="6" t="str">
        <x:v>Exact-name product already exists in POS; do not import a duplicate.</x:v>
      </x:c>
    </x:row>
    <x:row r="74" ht="43.5">
      <x:c r="A74" s="12" t="s">
        <x:v>588</x:v>
      </x:c>
      <x:c r="B74" s="6" t="str">
        <x:v>KEEP EXISTING</x:v>
      </x:c>
      <x:c r="C74" s="6" t="s">
        <x:v>589</x:v>
      </x:c>
      <x:c r="D74" s="6" t="s">
        <x:v>590</x:v>
      </x:c>
      <x:c r="E74" s="6" t="s">
        <x:v>528</x:v>
      </x:c>
      <x:c r="F74" s="6" t="s">
        <x:v>52</x:v>
      </x:c>
      <x:c r="G74" s="6" t="s">
        <x:v>123</x:v>
      </x:c>
      <x:c r="H74" s="6" t="s">
        <x:v>591</x:v>
      </x:c>
      <x:c r="I74" s="10" t="s">
        <x:v>591</x:v>
      </x:c>
      <x:c r="J74" s="10" t="s">
        <x:v>37</x:v>
      </x:c>
      <x:c r="K74" s="9" t="str">
        <x:f>"100651002"</x:f>
        <x:v>100651002</x:v>
      </x:c>
      <x:c r="L74" s="9" t="str">
        <x:f>"TM8-PS5-DS-GRAY-CAMO"</x:f>
        <x:v>TM8-PS5-DS-GRAY-CAMO</x:v>
      </x:c>
      <x:c r="M74" s="12" t="s">
        <x:v>582</x:v>
      </x:c>
      <x:c r="N74" s="8">
        <x:v>86.15</x:v>
      </x:c>
      <x:c r="O74" s="11" t="n">
        <x:f>IF(B74="KEEP EXISTING",N74,'Cost Review'!H2)</x:f>
        <x:v>86.15</x:v>
      </x:c>
      <x:c r="P74" s="8" t="str">
        <x:f t="shared" si="8">IF(B74="EXCLUDE","Excluded",IF(B74="REVIEW MATCH","Review match",IF(B74="KEEP EXISTING","Existing",IF(O74&lt;=0,"MISSING","REVIEW"))))</x:f>
        <x:v>Existing</x:v>
      </x:c>
      <x:c r="Q74" s="8">
        <x:v>119.95</x:v>
      </x:c>
      <x:c r="R74" s="11" t="n">
        <x:f>IF(B74="KEEP EXISTING",Q74,'Cost Review'!J2)</x:f>
        <x:v>119.95</x:v>
      </x:c>
      <x:c r="S74" s="6" t="str">
        <x:f t="shared" si="9">IF(B74="EXCLUDE","Excluded",IF(B74="REVIEW MATCH","Review match",IF(B74="KEEP EXISTING","Existing",IF(OR(R74&lt;=0,R74&gt;100000),"CHECK","OK"))))</x:f>
        <x:v>Existing</x:v>
      </x:c>
      <x:c r="T74" s="9" t="str">
        <x:f>"2998000100678"</x:f>
        <x:v>2998000100678</x:v>
      </x:c>
      <x:c r="U74" s="10" t="s">
        <x:v>592</x:v>
      </x:c>
      <x:c r="V74" s="6" t="str">
        <x:f t="shared" si="10">IF(B74="EXCLUDE","Excluded",IF(B74="REVIEW MATCH","Review match",IF(B74="KEEP EXISTING","Existing",IF(U74="","MISSING","FOUND"))))</x:f>
        <x:v>Existing</x:v>
      </x:c>
      <x:c r="W74" s="9">
        <x:v>1</x:v>
      </x:c>
      <x:c r="X74" s="9">
        <x:v>0</x:v>
      </x:c>
      <x:c r="Y74" s="6" t="str">
        <x:f>IF(B74="EXCLUDE","Excluded by user",IF(B74="REVIEW MATCH","Review current POS match",IF(B74="KEEP EXISTING","Already in POS",IF(O74&lt;=0,"Blocked: cost",IF(OR(R74&lt;=0,R74&gt;100000),"Blocked: retail",IF(U74="","Blocked: image",IF('Summary'!$B$3="APPROVED","READY","Pending approval")))))))</x:f>
        <x:v>Already in POS</x:v>
      </x:c>
      <x:c r="Z74" s="6" t="str">
        <x:v>Exact-name product already exists in POS; do not import a duplicate. Source stock 1 is reference only; POS starts at 0.</x:v>
      </x:c>
    </x:row>
    <x:row r="75" ht="43.5">
      <x:c r="A75" s="12" t="s">
        <x:v>593</x:v>
      </x:c>
      <x:c r="B75" s="6" t="str">
        <x:v>KEEP EXISTING</x:v>
      </x:c>
      <x:c r="C75" s="6" t="s">
        <x:v>594</x:v>
      </x:c>
      <x:c r="D75" s="6" t="s">
        <x:v>595</x:v>
      </x:c>
      <x:c r="E75" s="6" t="s">
        <x:v>528</x:v>
      </x:c>
      <x:c r="F75" s="6" t="s">
        <x:v>52</x:v>
      </x:c>
      <x:c r="G75" s="6" t="s">
        <x:v>123</x:v>
      </x:c>
      <x:c r="H75" s="6" t="s">
        <x:v>594</x:v>
      </x:c>
      <x:c r="I75" s="10" t="s">
        <x:v>594</x:v>
      </x:c>
      <x:c r="J75" s="10" t="s">
        <x:v>37</x:v>
      </x:c>
      <x:c r="K75" s="9" t="str">
        <x:f>"100651002"</x:f>
        <x:v>100651002</x:v>
      </x:c>
      <x:c r="L75" s="9" t="str">
        <x:f>"TM8-PS5-DS-BLACK"</x:f>
        <x:v>TM8-PS5-DS-BLACK</x:v>
      </x:c>
      <x:c r="M75" s="12" t="s">
        <x:v>582</x:v>
      </x:c>
      <x:c r="N75" s="8">
        <x:v>86.15</x:v>
      </x:c>
      <x:c r="O75" s="11" t="n">
        <x:f>IF(B75="KEEP EXISTING",N75,'Cost Review'!H2)</x:f>
        <x:v>86.15</x:v>
      </x:c>
      <x:c r="P75" s="8" t="str">
        <x:f t="shared" si="8">IF(B75="EXCLUDE","Excluded",IF(B75="REVIEW MATCH","Review match",IF(B75="KEEP EXISTING","Existing",IF(O75&lt;=0,"MISSING","REVIEW"))))</x:f>
        <x:v>Existing</x:v>
      </x:c>
      <x:c r="Q75" s="8">
        <x:v>119.95</x:v>
      </x:c>
      <x:c r="R75" s="11" t="n">
        <x:f>IF(B75="KEEP EXISTING",Q75,'Cost Review'!J2)</x:f>
        <x:v>119.95</x:v>
      </x:c>
      <x:c r="S75" s="6" t="str">
        <x:f t="shared" si="9">IF(B75="EXCLUDE","Excluded",IF(B75="REVIEW MATCH","Review match",IF(B75="KEEP EXISTING","Existing",IF(OR(R75&lt;=0,R75&gt;100000),"CHECK","OK"))))</x:f>
        <x:v>Existing</x:v>
      </x:c>
      <x:c r="T75" s="9" t="str">
        <x:f>"2998000100661"</x:f>
        <x:v>2998000100661</x:v>
      </x:c>
      <x:c r="U75" s="10" t="s">
        <x:v>596</x:v>
      </x:c>
      <x:c r="V75" s="6" t="str">
        <x:f t="shared" si="10">IF(B75="EXCLUDE","Excluded",IF(B75="REVIEW MATCH","Review match",IF(B75="KEEP EXISTING","Existing",IF(U75="","MISSING","FOUND"))))</x:f>
        <x:v>Existing</x:v>
      </x:c>
      <x:c r="W75" s="9">
        <x:v>0</x:v>
      </x:c>
      <x:c r="X75" s="9">
        <x:v>0</x:v>
      </x:c>
      <x:c r="Y75" s="6" t="str">
        <x:f>IF(B75="EXCLUDE","Excluded by user",IF(B75="REVIEW MATCH","Review current POS match",IF(B75="KEEP EXISTING","Already in POS",IF(O75&lt;=0,"Blocked: cost",IF(OR(R75&lt;=0,R75&gt;100000),"Blocked: retail",IF(U75="","Blocked: image",IF('Summary'!$B$3="APPROVED","READY","Pending approval")))))))</x:f>
        <x:v>Already in POS</x:v>
      </x:c>
      <x:c r="Z75" s="6" t="str">
        <x:v>Exact-name product already exists in POS; do not import a duplicate.</x:v>
      </x:c>
    </x:row>
    <x:row r="76" ht="43.5">
      <x:c r="A76" s="12" t="s">
        <x:v>597</x:v>
      </x:c>
      <x:c r="B76" s="6" t="str">
        <x:v>KEEP EXISTING</x:v>
      </x:c>
      <x:c r="C76" s="6" t="s">
        <x:v>598</x:v>
      </x:c>
      <x:c r="D76" s="6" t="s">
        <x:v>599</x:v>
      </x:c>
      <x:c r="E76" s="6" t="s">
        <x:v>528</x:v>
      </x:c>
      <x:c r="F76" s="6" t="s">
        <x:v>52</x:v>
      </x:c>
      <x:c r="G76" s="6" t="s">
        <x:v>123</x:v>
      </x:c>
      <x:c r="H76" s="6" t="s">
        <x:v>598</x:v>
      </x:c>
      <x:c r="I76" s="10" t="s">
        <x:v>598</x:v>
      </x:c>
      <x:c r="J76" s="10" t="s">
        <x:v>37</x:v>
      </x:c>
      <x:c r="K76" s="9" t="str">
        <x:f>"100651002"</x:f>
        <x:v>100651002</x:v>
      </x:c>
      <x:c r="L76" s="9" t="str">
        <x:f>"TM8-PS5-DS-WHITE"</x:f>
        <x:v>TM8-PS5-DS-WHITE</x:v>
      </x:c>
      <x:c r="M76" s="12" t="s">
        <x:v>582</x:v>
      </x:c>
      <x:c r="N76" s="8">
        <x:v>86.15</x:v>
      </x:c>
      <x:c r="O76" s="11" t="n">
        <x:f>IF(B76="KEEP EXISTING",N76,'Cost Review'!H2)</x:f>
        <x:v>86.15</x:v>
      </x:c>
      <x:c r="P76" s="8" t="str">
        <x:f t="shared" si="8">IF(B76="EXCLUDE","Excluded",IF(B76="REVIEW MATCH","Review match",IF(B76="KEEP EXISTING","Existing",IF(O76&lt;=0,"MISSING","REVIEW"))))</x:f>
        <x:v>Existing</x:v>
      </x:c>
      <x:c r="Q76" s="8">
        <x:v>119.95</x:v>
      </x:c>
      <x:c r="R76" s="11" t="n">
        <x:f>IF(B76="KEEP EXISTING",Q76,'Cost Review'!J2)</x:f>
        <x:v>119.95</x:v>
      </x:c>
      <x:c r="S76" s="6" t="str">
        <x:f t="shared" si="9">IF(B76="EXCLUDE","Excluded",IF(B76="REVIEW MATCH","Review match",IF(B76="KEEP EXISTING","Existing",IF(OR(R76&lt;=0,R76&gt;100000),"CHECK","OK"))))</x:f>
        <x:v>Existing</x:v>
      </x:c>
      <x:c r="T76" s="9" t="str">
        <x:f>"2998000100654"</x:f>
        <x:v>2998000100654</x:v>
      </x:c>
      <x:c r="U76" s="10" t="s">
        <x:v>600</x:v>
      </x:c>
      <x:c r="V76" s="6" t="str">
        <x:f t="shared" si="10">IF(B76="EXCLUDE","Excluded",IF(B76="REVIEW MATCH","Review match",IF(B76="KEEP EXISTING","Existing",IF(U76="","MISSING","FOUND"))))</x:f>
        <x:v>Existing</x:v>
      </x:c>
      <x:c r="W76" s="9">
        <x:v>1</x:v>
      </x:c>
      <x:c r="X76" s="9">
        <x:v>0</x:v>
      </x:c>
      <x:c r="Y76" s="6" t="str">
        <x:f>IF(B76="EXCLUDE","Excluded by user",IF(B76="REVIEW MATCH","Review current POS match",IF(B76="KEEP EXISTING","Already in POS",IF(O76&lt;=0,"Blocked: cost",IF(OR(R76&lt;=0,R76&gt;100000),"Blocked: retail",IF(U76="","Blocked: image",IF('Summary'!$B$3="APPROVED","READY","Pending approval")))))))</x:f>
        <x:v>Already in POS</x:v>
      </x:c>
      <x:c r="Z76" s="6" t="str">
        <x:v>Exact-name product already exists in POS; do not import a duplicate. Source stock 1 is reference only; POS starts at 0.</x:v>
      </x:c>
    </x:row>
    <x:row r="77" ht="43.5">
      <x:c r="A77" s="12" t="s">
        <x:v>219</x:v>
      </x:c>
      <x:c r="B77" s="25" t="str">
        <x:v>EXCLUDE</x:v>
      </x:c>
      <x:c r="C77" s="6"/>
      <x:c r="D77" s="6"/>
      <x:c r="E77" s="6" t="s">
        <x:v>508</x:v>
      </x:c>
      <x:c r="F77" s="6" t="s">
        <x:v>52</x:v>
      </x:c>
      <x:c r="G77" s="6" t="s">
        <x:v>53</x:v>
      </x:c>
      <x:c r="H77" s="6" t="s">
        <x:v>220</x:v>
      </x:c>
      <x:c r="I77" s="10" t="s">
        <x:v>220</x:v>
      </x:c>
      <x:c r="J77" s="10" t="s">
        <x:v>221</x:v>
      </x:c>
      <x:c r="K77" s="9" t="str">
        <x:f>"1004132"</x:f>
        <x:v>1004132</x:v>
      </x:c>
      <x:c r="L77" s="9" t="str">
        <x:f>"TM8-COMP-10041"</x:f>
        <x:v>TM8-COMP-10041</x:v>
      </x:c>
      <x:c r="M77" s="12" t="s">
        <x:v>536</x:v>
      </x:c>
      <x:c r="N77" s="8">
        <x:v>0</x:v>
      </x:c>
      <x:c r="O77" s="11" t="n">
        <x:f>IF(B77="KEEP EXISTING",N77,'Cost Review'!H72)</x:f>
        <x:v>0</x:v>
      </x:c>
      <x:c r="P77" s="8" t="str">
        <x:f t="shared" si="8">IF(B77="EXCLUDE","Excluded",IF(B77="REVIEW MATCH","Review match",IF(B77="KEEP EXISTING","Existing",IF(O77&lt;=0,"MISSING","REVIEW"))))</x:f>
        <x:v>Excluded</x:v>
      </x:c>
      <x:c r="Q77" s="8">
        <x:v>159</x:v>
      </x:c>
      <x:c r="R77" s="11" t="n">
        <x:f>IF(B77="KEEP EXISTING",Q77,'Cost Review'!J72)</x:f>
        <x:v>159</x:v>
      </x:c>
      <x:c r="S77" s="6" t="str">
        <x:f t="shared" si="9">IF(B77="EXCLUDE","Excluded",IF(B77="REVIEW MATCH","Review match",IF(B77="KEEP EXISTING","Existing",IF(OR(R77&lt;=0,R77&gt;100000),"CHECK","OK"))))</x:f>
        <x:v>Excluded</x:v>
      </x:c>
      <x:c r="T77" s="9" t="str">
        <x:f>"2998000100418"</x:f>
        <x:v>2998000100418</x:v>
      </x:c>
      <x:c r="U77" s="10"/>
      <x:c r="V77" s="6" t="str">
        <x:f t="shared" si="10">IF(B77="EXCLUDE","Excluded",IF(B77="REVIEW MATCH","Review match",IF(B77="KEEP EXISTING","Existing",IF(U77="","MISSING","FOUND"))))</x:f>
        <x:v>Excluded</x:v>
      </x:c>
      <x:c r="W77" s="9">
        <x:v>0</x:v>
      </x:c>
      <x:c r="X77" s="9">
        <x:v>0</x:v>
      </x:c>
      <x:c r="Y77" s="26" t="str">
        <x:f>IF(B77="EXCLUDE","Excluded by user",IF(B77="REVIEW MATCH","Review current POS match",IF(B77="KEEP EXISTING","Already in POS",IF(O77&lt;=0,"Blocked: cost",IF(OR(R77&lt;=0,R77&gt;100000),"Blocked: retail",IF(U77="","Blocked: image",IF('Summary'!$B$3="APPROVED","READY","Pending approval")))))))</x:f>
        <x:v>Excluded by user</x:v>
      </x:c>
      <x:c r="Z77" s="26" t="str">
        <x:v>Cost must be entered before import. No RepairDesk image found; provide the correct main image URL. USER EXCLUSION: red-marked item; do not import.</x:v>
      </x:c>
    </x:row>
    <x:row r="78" ht="29.25">
      <x:c r="A78" s="12" t="s">
        <x:v>222</x:v>
      </x:c>
      <x:c r="B78" s="25" t="str">
        <x:v>EXCLUDE</x:v>
      </x:c>
      <x:c r="C78" s="6"/>
      <x:c r="D78" s="6"/>
      <x:c r="E78" s="6" t="s">
        <x:v>573</x:v>
      </x:c>
      <x:c r="F78" s="6" t="s">
        <x:v>52</x:v>
      </x:c>
      <x:c r="G78" s="6" t="s">
        <x:v>211</x:v>
      </x:c>
      <x:c r="H78" s="6" t="s">
        <x:v>223</x:v>
      </x:c>
      <x:c r="I78" s="10" t="s">
        <x:v>223</x:v>
      </x:c>
      <x:c r="J78" s="10" t="s">
        <x:v>81</x:v>
      </x:c>
      <x:c r="K78" s="9" t="str">
        <x:f>"9984985"</x:f>
        <x:v>9984985</x:v>
      </x:c>
      <x:c r="L78" s="9" t="str">
        <x:f>"9984985"</x:f>
        <x:v>9984985</x:v>
      </x:c>
      <x:c r="M78" s="12" t="s">
        <x:v>489</x:v>
      </x:c>
      <x:c r="N78" s="8">
        <x:v>57.2</x:v>
      </x:c>
      <x:c r="O78" s="11" t="n">
        <x:f>IF(B78="KEEP EXISTING",N78,'Cost Review'!H73)</x:f>
        <x:v>57.2</x:v>
      </x:c>
      <x:c r="P78" s="8" t="str">
        <x:f t="shared" si="8">IF(B78="EXCLUDE","Excluded",IF(B78="REVIEW MATCH","Review match",IF(B78="KEEP EXISTING","Existing",IF(O78&lt;=0,"MISSING","REVIEW"))))</x:f>
        <x:v>Excluded</x:v>
      </x:c>
      <x:c r="Q78" s="8">
        <x:v>79</x:v>
      </x:c>
      <x:c r="R78" s="11" t="n">
        <x:f>IF(B78="KEEP EXISTING",Q78,'Cost Review'!J73)</x:f>
        <x:v>79</x:v>
      </x:c>
      <x:c r="S78" s="6" t="str">
        <x:f t="shared" si="9">IF(B78="EXCLUDE","Excluded",IF(B78="REVIEW MATCH","Review match",IF(B78="KEEP EXISTING","Existing",IF(OR(R78&lt;=0,R78&gt;100000),"CHECK","OK"))))</x:f>
        <x:v>Excluded</x:v>
      </x:c>
      <x:c r="T78" s="9" t="str">
        <x:f>"2998000099842"</x:f>
        <x:v>2998000099842</x:v>
      </x:c>
      <x:c r="U78" s="10"/>
      <x:c r="V78" s="6" t="str">
        <x:f t="shared" si="10">IF(B78="EXCLUDE","Excluded",IF(B78="REVIEW MATCH","Review match",IF(B78="KEEP EXISTING","Existing",IF(U78="","MISSING","FOUND"))))</x:f>
        <x:v>Excluded</x:v>
      </x:c>
      <x:c r="W78" s="9">
        <x:v>0</x:v>
      </x:c>
      <x:c r="X78" s="9">
        <x:v>0</x:v>
      </x:c>
      <x:c r="Y78" s="26" t="str">
        <x:f>IF(B78="EXCLUDE","Excluded by user",IF(B78="REVIEW MATCH","Review current POS match",IF(B78="KEEP EXISTING","Already in POS",IF(O78&lt;=0,"Blocked: cost",IF(OR(R78&lt;=0,R78&gt;100000),"Blocked: retail",IF(U78="","Blocked: image",IF('Summary'!$B$3="APPROVED","READY","Pending approval")))))))</x:f>
        <x:v>Excluded by user</x:v>
      </x:c>
      <x:c r="Z78" s="26" t="str">
        <x:v>No RepairDesk image found; provide the correct main image URL. USER EXCLUSION: red-marked item; do not import.</x:v>
      </x:c>
    </x:row>
    <x:row r="79" ht="43.5">
      <x:c r="A79" s="12" t="s">
        <x:v>224</x:v>
      </x:c>
      <x:c r="B79" s="6" t="str">
        <x:v>IMPORT</x:v>
      </x:c>
      <x:c r="C79" s="6"/>
      <x:c r="D79" s="6"/>
      <x:c r="E79" s="6" t="s">
        <x:v>508</x:v>
      </x:c>
      <x:c r="F79" s="6" t="s">
        <x:v>52</x:v>
      </x:c>
      <x:c r="G79" s="6" t="s">
        <x:v>53</x:v>
      </x:c>
      <x:c r="H79" s="6" t="s">
        <x:v>225</x:v>
      </x:c>
      <x:c r="I79" s="10" t="s">
        <x:v>225</x:v>
      </x:c>
      <x:c r="J79" s="10" t="s">
        <x:v>221</x:v>
      </x:c>
      <x:c r="K79" s="9" t="str">
        <x:f>"998326"</x:f>
        <x:v>998326</x:v>
      </x:c>
      <x:c r="L79" s="9" t="str">
        <x:f>"998326"</x:f>
        <x:v>998326</x:v>
      </x:c>
      <x:c r="M79" s="12" t="s">
        <x:v>489</x:v>
      </x:c>
      <x:c r="N79" s="8">
        <x:v>0</x:v>
      </x:c>
      <x:c r="O79" s="11" t="n">
        <x:f>IF(B79="KEEP EXISTING",N79,'Cost Review'!H74)</x:f>
        <x:v>70</x:v>
      </x:c>
      <x:c r="P79" s="8" t="str">
        <x:f t="shared" si="8">IF(B79="EXCLUDE","Excluded",IF(B79="REVIEW MATCH","Review match",IF(B79="KEEP EXISTING","Existing",IF(O79&lt;=0,"MISSING","REVIEW"))))</x:f>
        <x:v>REVIEW</x:v>
      </x:c>
      <x:c r="Q79" s="8">
        <x:v>85</x:v>
      </x:c>
      <x:c r="R79" s="11" t="n">
        <x:f>IF(B79="KEEP EXISTING",Q79,'Cost Review'!J74)</x:f>
        <x:v>85</x:v>
      </x:c>
      <x:c r="S79" s="6" t="str">
        <x:f t="shared" si="9">IF(B79="EXCLUDE","Excluded",IF(B79="REVIEW MATCH","Review match",IF(B79="KEEP EXISTING","Existing",IF(OR(R79&lt;=0,R79&gt;100000),"CHECK","OK"))))</x:f>
        <x:v>OK</x:v>
      </x:c>
      <x:c r="T79" s="9" t="str">
        <x:f>"2998000099835"</x:f>
        <x:v>2998000099835</x:v>
      </x:c>
      <x:c r="U79" s="10"/>
      <x:c r="V79" s="6" t="str">
        <x:f t="shared" si="10">IF(B79="EXCLUDE","Excluded",IF(B79="REVIEW MATCH","Review match",IF(B79="KEEP EXISTING","Existing",IF(U79="","MISSING","FOUND"))))</x:f>
        <x:v>MISSING</x:v>
      </x:c>
      <x:c r="W79" s="9">
        <x:v>0</x:v>
      </x:c>
      <x:c r="X79" s="9">
        <x:v>0</x:v>
      </x:c>
      <x:c r="Y79" s="6" t="str">
        <x:f>IF(B79="EXCLUDE","Excluded by user",IF(B79="REVIEW MATCH","Review current POS match",IF(B79="KEEP EXISTING","Already in POS",IF(O79&lt;=0,"Blocked: cost",IF(OR(R79&lt;=0,R79&gt;100000),"Blocked: retail",IF(U79="","Blocked: image",IF('Summary'!$B$3="APPROVED","READY","Pending approval")))))))</x:f>
        <x:v>Blocked: image</x:v>
      </x:c>
      <x:c r="Z79" s="6" t="str">
        <x:v>Cost must be entered before import. No RepairDesk image found; provide the correct main image URL.</x:v>
      </x:c>
    </x:row>
    <x:row r="80" ht="43.5">
      <x:c r="A80" s="12" t="s">
        <x:v>227</x:v>
      </x:c>
      <x:c r="B80" s="6" t="str">
        <x:v>IMPORT</x:v>
      </x:c>
      <x:c r="C80" s="6"/>
      <x:c r="D80" s="6"/>
      <x:c r="E80" s="6" t="s">
        <x:v>508</x:v>
      </x:c>
      <x:c r="F80" s="6" t="s">
        <x:v>52</x:v>
      </x:c>
      <x:c r="G80" s="6" t="s">
        <x:v>53</x:v>
      </x:c>
      <x:c r="H80" s="6" t="s">
        <x:v>228</x:v>
      </x:c>
      <x:c r="I80" s="10" t="s">
        <x:v>228</x:v>
      </x:c>
      <x:c r="J80" s="10" t="s">
        <x:v>221</x:v>
      </x:c>
      <x:c r="K80" s="9" t="str">
        <x:f>"997824"</x:f>
        <x:v>997824</x:v>
      </x:c>
      <x:c r="L80" s="9" t="str">
        <x:f>"997824"</x:f>
        <x:v>997824</x:v>
      </x:c>
      <x:c r="M80" s="12" t="s">
        <x:v>489</x:v>
      </x:c>
      <x:c r="N80" s="8">
        <x:v>0</x:v>
      </x:c>
      <x:c r="O80" s="11" t="n">
        <x:f>IF(B80="KEEP EXISTING",N80,'Cost Review'!H75)</x:f>
        <x:v>50</x:v>
      </x:c>
      <x:c r="P80" s="8" t="str">
        <x:f t="shared" si="8">IF(B80="EXCLUDE","Excluded",IF(B80="REVIEW MATCH","Review match",IF(B80="KEEP EXISTING","Existing",IF(O80&lt;=0,"MISSING","REVIEW"))))</x:f>
        <x:v>REVIEW</x:v>
      </x:c>
      <x:c r="Q80" s="8">
        <x:v>69</x:v>
      </x:c>
      <x:c r="R80" s="11" t="n">
        <x:f>IF(B80="KEEP EXISTING",Q80,'Cost Review'!J75)</x:f>
        <x:v>69</x:v>
      </x:c>
      <x:c r="S80" s="6" t="str">
        <x:f t="shared" si="9">IF(B80="EXCLUDE","Excluded",IF(B80="REVIEW MATCH","Review match",IF(B80="KEEP EXISTING","Existing",IF(OR(R80&lt;=0,R80&gt;100000),"CHECK","OK"))))</x:f>
        <x:v>OK</x:v>
      </x:c>
      <x:c r="T80" s="9" t="str">
        <x:f>"2998000099781"</x:f>
        <x:v>2998000099781</x:v>
      </x:c>
      <x:c r="U80" s="10"/>
      <x:c r="V80" s="6" t="str">
        <x:f t="shared" si="10">IF(B80="EXCLUDE","Excluded",IF(B80="REVIEW MATCH","Review match",IF(B80="KEEP EXISTING","Existing",IF(U80="","MISSING","FOUND"))))</x:f>
        <x:v>MISSING</x:v>
      </x:c>
      <x:c r="W80" s="9">
        <x:v>0</x:v>
      </x:c>
      <x:c r="X80" s="9">
        <x:v>0</x:v>
      </x:c>
      <x:c r="Y80" s="6" t="str">
        <x:f>IF(B80="EXCLUDE","Excluded by user",IF(B80="REVIEW MATCH","Review current POS match",IF(B80="KEEP EXISTING","Already in POS",IF(O80&lt;=0,"Blocked: cost",IF(OR(R80&lt;=0,R80&gt;100000),"Blocked: retail",IF(U80="","Blocked: image",IF('Summary'!$B$3="APPROVED","READY","Pending approval")))))))</x:f>
        <x:v>Blocked: image</x:v>
      </x:c>
      <x:c r="Z80" s="6" t="str">
        <x:v>Cost must be entered before import. No RepairDesk image found; provide the correct main image URL.</x:v>
      </x:c>
    </x:row>
    <x:row r="81" ht="43.5">
      <x:c r="A81" s="12" t="s">
        <x:v>229</x:v>
      </x:c>
      <x:c r="B81" s="25" t="str">
        <x:v>EXCLUDE</x:v>
      </x:c>
      <x:c r="C81" s="6"/>
      <x:c r="D81" s="6"/>
      <x:c r="E81" s="6" t="s">
        <x:v>508</x:v>
      </x:c>
      <x:c r="F81" s="6" t="s">
        <x:v>52</x:v>
      </x:c>
      <x:c r="G81" s="6" t="s">
        <x:v>53</x:v>
      </x:c>
      <x:c r="H81" s="6" t="s">
        <x:v>230</x:v>
      </x:c>
      <x:c r="I81" s="10" t="s">
        <x:v>230</x:v>
      </x:c>
      <x:c r="J81" s="10" t="s">
        <x:v>231</x:v>
      </x:c>
      <x:c r="K81" s="9" t="str">
        <x:f>"964912"</x:f>
        <x:v>964912</x:v>
      </x:c>
      <x:c r="L81" s="9" t="str">
        <x:f>"TM8-COMP-9672"</x:f>
        <x:v>TM8-COMP-9672</x:v>
      </x:c>
      <x:c r="M81" s="12" t="s">
        <x:v>536</x:v>
      </x:c>
      <x:c r="N81" s="8">
        <x:v>2.5</x:v>
      </x:c>
      <x:c r="O81" s="11" t="n">
        <x:f>IF(B81="KEEP EXISTING",N81,'Cost Review'!H76)</x:f>
        <x:v>2.5</x:v>
      </x:c>
      <x:c r="P81" s="8" t="str">
        <x:f t="shared" si="8">IF(B81="EXCLUDE","Excluded",IF(B81="REVIEW MATCH","Review match",IF(B81="KEEP EXISTING","Existing",IF(O81&lt;=0,"MISSING","REVIEW"))))</x:f>
        <x:v>Excluded</x:v>
      </x:c>
      <x:c r="Q81" s="8">
        <x:v>9.99</x:v>
      </x:c>
      <x:c r="R81" s="11" t="n">
        <x:f>IF(B81="KEEP EXISTING",Q81,'Cost Review'!J76)</x:f>
        <x:v>9.99</x:v>
      </x:c>
      <x:c r="S81" s="6" t="str">
        <x:f t="shared" si="9">IF(B81="EXCLUDE","Excluded",IF(B81="REVIEW MATCH","Review match",IF(B81="KEEP EXISTING","Existing",IF(OR(R81&lt;=0,R81&gt;100000),"CHECK","OK"))))</x:f>
        <x:v>Excluded</x:v>
      </x:c>
      <x:c r="T81" s="9" t="str">
        <x:f>"2998000096728"</x:f>
        <x:v>2998000096728</x:v>
      </x:c>
      <x:c r="U81" s="10" t="s">
        <x:v>601</x:v>
      </x:c>
      <x:c r="V81" s="6" t="str">
        <x:f t="shared" si="10">IF(B81="EXCLUDE","Excluded",IF(B81="REVIEW MATCH","Review match",IF(B81="KEEP EXISTING","Existing",IF(U81="","MISSING","FOUND"))))</x:f>
        <x:v>Excluded</x:v>
      </x:c>
      <x:c r="W81" s="9">
        <x:v>-1</x:v>
      </x:c>
      <x:c r="X81" s="9">
        <x:v>0</x:v>
      </x:c>
      <x:c r="Y81" s="26" t="str">
        <x:f>IF(B81="EXCLUDE","Excluded by user",IF(B81="REVIEW MATCH","Review current POS match",IF(B81="KEEP EXISTING","Already in POS",IF(O81&lt;=0,"Blocked: cost",IF(OR(R81&lt;=0,R81&gt;100000),"Blocked: retail",IF(U81="","Blocked: image",IF('Summary'!$B$3="APPROVED","READY","Pending approval")))))))</x:f>
        <x:v>Excluded by user</x:v>
      </x:c>
      <x:c r="Z81" s="26" t="str">
        <x:v>Source stock -1 is reference only; POS starts at 0. USER EXCLUSION: red-marked item; do not import.</x:v>
      </x:c>
    </x:row>
    <x:row r="82" ht="43.5">
      <x:c r="A82" s="12" t="s">
        <x:v>232</x:v>
      </x:c>
      <x:c r="B82" s="25" t="str">
        <x:v>EXCLUDE</x:v>
      </x:c>
      <x:c r="C82" s="6"/>
      <x:c r="D82" s="6"/>
      <x:c r="E82" s="6" t="s">
        <x:v>508</x:v>
      </x:c>
      <x:c r="F82" s="6" t="s">
        <x:v>52</x:v>
      </x:c>
      <x:c r="G82" s="6" t="s">
        <x:v>53</x:v>
      </x:c>
      <x:c r="H82" s="6" t="s">
        <x:v>233</x:v>
      </x:c>
      <x:c r="I82" s="10" t="s">
        <x:v>233</x:v>
      </x:c>
      <x:c r="J82" s="10" t="s">
        <x:v>234</x:v>
      </x:c>
      <x:c r="K82" s="9" t="str">
        <x:f>"964912"</x:f>
        <x:v>964912</x:v>
      </x:c>
      <x:c r="L82" s="9" t="str">
        <x:f>"TM8-COMP-9671"</x:f>
        <x:v>TM8-COMP-9671</x:v>
      </x:c>
      <x:c r="M82" s="12" t="s">
        <x:v>536</x:v>
      </x:c>
      <x:c r="N82" s="8">
        <x:v>12</x:v>
      </x:c>
      <x:c r="O82" s="11" t="n">
        <x:f>IF(B82="KEEP EXISTING",N82,'Cost Review'!H77)</x:f>
        <x:v>12</x:v>
      </x:c>
      <x:c r="P82" s="8" t="str">
        <x:f t="shared" si="8">IF(B82="EXCLUDE","Excluded",IF(B82="REVIEW MATCH","Review match",IF(B82="KEEP EXISTING","Existing",IF(O82&lt;=0,"MISSING","REVIEW"))))</x:f>
        <x:v>Excluded</x:v>
      </x:c>
      <x:c r="Q82" s="8">
        <x:v>19</x:v>
      </x:c>
      <x:c r="R82" s="11" t="n">
        <x:f>IF(B82="KEEP EXISTING",Q82,'Cost Review'!J77)</x:f>
        <x:v>19</x:v>
      </x:c>
      <x:c r="S82" s="6" t="str">
        <x:f t="shared" si="9">IF(B82="EXCLUDE","Excluded",IF(B82="REVIEW MATCH","Review match",IF(B82="KEEP EXISTING","Existing",IF(OR(R82&lt;=0,R82&gt;100000),"CHECK","OK"))))</x:f>
        <x:v>Excluded</x:v>
      </x:c>
      <x:c r="T82" s="9" t="str">
        <x:f>"2998000096711"</x:f>
        <x:v>2998000096711</x:v>
      </x:c>
      <x:c r="U82" s="10" t="s">
        <x:v>602</x:v>
      </x:c>
      <x:c r="V82" s="6" t="str">
        <x:f t="shared" si="10">IF(B82="EXCLUDE","Excluded",IF(B82="REVIEW MATCH","Review match",IF(B82="KEEP EXISTING","Existing",IF(U82="","MISSING","FOUND"))))</x:f>
        <x:v>Excluded</x:v>
      </x:c>
      <x:c r="W82" s="9">
        <x:v>0</x:v>
      </x:c>
      <x:c r="X82" s="9">
        <x:v>0</x:v>
      </x:c>
      <x:c r="Y82" s="26" t="str">
        <x:f>IF(B82="EXCLUDE","Excluded by user",IF(B82="REVIEW MATCH","Review current POS match",IF(B82="KEEP EXISTING","Already in POS",IF(O82&lt;=0,"Blocked: cost",IF(OR(R82&lt;=0,R82&gt;100000),"Blocked: retail",IF(U82="","Blocked: image",IF('Summary'!$B$3="APPROVED","READY","Pending approval")))))))</x:f>
        <x:v>Excluded by user</x:v>
      </x:c>
      <x:c r="Z82" s="26" t="str">
        <x:v>USER EXCLUSION: red-marked item; do not import.</x:v>
      </x:c>
    </x:row>
    <x:row r="83" ht="43.5">
      <x:c r="A83" s="12" t="s">
        <x:v>235</x:v>
      </x:c>
      <x:c r="B83" s="25" t="str">
        <x:v>EXCLUDE</x:v>
      </x:c>
      <x:c r="C83" s="6"/>
      <x:c r="D83" s="6"/>
      <x:c r="E83" s="6" t="s">
        <x:v>510</x:v>
      </x:c>
      <x:c r="F83" s="6" t="s">
        <x:v>86</x:v>
      </x:c>
      <x:c r="G83" s="6" t="s">
        <x:v>87</x:v>
      </x:c>
      <x:c r="H83" s="6" t="s">
        <x:v>236</x:v>
      </x:c>
      <x:c r="I83" s="10" t="s">
        <x:v>236</x:v>
      </x:c>
      <x:c r="J83" s="10" t="s">
        <x:v>85</x:v>
      </x:c>
      <x:c r="K83" s="9" t="str">
        <x:f>"966019"</x:f>
        <x:v>966019</x:v>
      </x:c>
      <x:c r="L83" s="9" t="str">
        <x:f>"966019"</x:f>
        <x:v>966019</x:v>
      </x:c>
      <x:c r="M83" s="12" t="s">
        <x:v>489</x:v>
      </x:c>
      <x:c r="N83" s="8">
        <x:v>54</x:v>
      </x:c>
      <x:c r="O83" s="11" t="n">
        <x:f>IF(B83="KEEP EXISTING",N83,'Cost Review'!H78)</x:f>
        <x:v>54</x:v>
      </x:c>
      <x:c r="P83" s="8" t="str">
        <x:f t="shared" si="8">IF(B83="EXCLUDE","Excluded",IF(B83="REVIEW MATCH","Review match",IF(B83="KEEP EXISTING","Existing",IF(O83&lt;=0,"MISSING","REVIEW"))))</x:f>
        <x:v>Excluded</x:v>
      </x:c>
      <x:c r="Q83" s="8">
        <x:v>99</x:v>
      </x:c>
      <x:c r="R83" s="11" t="n">
        <x:f>IF(B83="KEEP EXISTING",Q83,'Cost Review'!J78)</x:f>
        <x:v>99</x:v>
      </x:c>
      <x:c r="S83" s="6" t="str">
        <x:f t="shared" si="9">IF(B83="EXCLUDE","Excluded",IF(B83="REVIEW MATCH","Review match",IF(B83="KEEP EXISTING","Existing",IF(OR(R83&lt;=0,R83&gt;100000),"CHECK","OK"))))</x:f>
        <x:v>Excluded</x:v>
      </x:c>
      <x:c r="T83" s="9" t="str">
        <x:f>"2998000096605"</x:f>
        <x:v>2998000096605</x:v>
      </x:c>
      <x:c r="U83" s="10" t="s">
        <x:v>603</x:v>
      </x:c>
      <x:c r="V83" s="6" t="str">
        <x:f t="shared" si="10">IF(B83="EXCLUDE","Excluded",IF(B83="REVIEW MATCH","Review match",IF(B83="KEEP EXISTING","Existing",IF(U83="","MISSING","FOUND"))))</x:f>
        <x:v>Excluded</x:v>
      </x:c>
      <x:c r="W83" s="9">
        <x:v>0</x:v>
      </x:c>
      <x:c r="X83" s="9">
        <x:v>0</x:v>
      </x:c>
      <x:c r="Y83" s="26" t="str">
        <x:f>IF(B83="EXCLUDE","Excluded by user",IF(B83="REVIEW MATCH","Review current POS match",IF(B83="KEEP EXISTING","Already in POS",IF(O83&lt;=0,"Blocked: cost",IF(OR(R83&lt;=0,R83&gt;100000),"Blocked: retail",IF(U83="","Blocked: image",IF('Summary'!$B$3="APPROVED","READY","Pending approval")))))))</x:f>
        <x:v>Excluded by user</x:v>
      </x:c>
      <x:c r="Z83" s="26" t="str">
        <x:v>USER EXCLUSION: red-marked item; do not import.</x:v>
      </x:c>
    </x:row>
    <x:row r="84" ht="43.5">
      <x:c r="A84" s="12" t="s">
        <x:v>237</x:v>
      </x:c>
      <x:c r="B84" s="25" t="str">
        <x:v>EXCLUDE</x:v>
      </x:c>
      <x:c r="C84" s="6"/>
      <x:c r="D84" s="6"/>
      <x:c r="E84" s="6" t="s">
        <x:v>510</x:v>
      </x:c>
      <x:c r="F84" s="6" t="s">
        <x:v>86</x:v>
      </x:c>
      <x:c r="G84" s="6" t="s">
        <x:v>87</x:v>
      </x:c>
      <x:c r="H84" s="6" t="s">
        <x:v>238</x:v>
      </x:c>
      <x:c r="I84" s="10" t="s">
        <x:v>238</x:v>
      </x:c>
      <x:c r="J84" s="10" t="s">
        <x:v>85</x:v>
      </x:c>
      <x:c r="K84" s="9" t="str">
        <x:f>"965988818"</x:f>
        <x:v>965988818</x:v>
      </x:c>
      <x:c r="L84" s="9" t="str">
        <x:f>"965988818"</x:f>
        <x:v>965988818</x:v>
      </x:c>
      <x:c r="M84" s="12" t="s">
        <x:v>489</x:v>
      </x:c>
      <x:c r="N84" s="8">
        <x:v>54</x:v>
      </x:c>
      <x:c r="O84" s="11" t="n">
        <x:f>IF(B84="KEEP EXISTING",N84,'Cost Review'!H79)</x:f>
        <x:v>54</x:v>
      </x:c>
      <x:c r="P84" s="8" t="str">
        <x:f t="shared" si="8">IF(B84="EXCLUDE","Excluded",IF(B84="REVIEW MATCH","Review match",IF(B84="KEEP EXISTING","Existing",IF(O84&lt;=0,"MISSING","REVIEW"))))</x:f>
        <x:v>Excluded</x:v>
      </x:c>
      <x:c r="Q84" s="8">
        <x:v>149</x:v>
      </x:c>
      <x:c r="R84" s="11" t="n">
        <x:f>IF(B84="KEEP EXISTING",Q84,'Cost Review'!J79)</x:f>
        <x:v>149</x:v>
      </x:c>
      <x:c r="S84" s="6" t="str">
        <x:f t="shared" si="9">IF(B84="EXCLUDE","Excluded",IF(B84="REVIEW MATCH","Review match",IF(B84="KEEP EXISTING","Existing",IF(OR(R84&lt;=0,R84&gt;100000),"CHECK","OK"))))</x:f>
        <x:v>Excluded</x:v>
      </x:c>
      <x:c r="T84" s="9" t="str">
        <x:f>"965988818"</x:f>
        <x:v>965988818</x:v>
      </x:c>
      <x:c r="U84" s="10" t="s">
        <x:v>604</x:v>
      </x:c>
      <x:c r="V84" s="6" t="str">
        <x:f t="shared" si="10">IF(B84="EXCLUDE","Excluded",IF(B84="REVIEW MATCH","Review match",IF(B84="KEEP EXISTING","Existing",IF(U84="","MISSING","FOUND"))))</x:f>
        <x:v>Excluded</x:v>
      </x:c>
      <x:c r="W84" s="9">
        <x:v>0</x:v>
      </x:c>
      <x:c r="X84" s="9">
        <x:v>0</x:v>
      </x:c>
      <x:c r="Y84" s="26" t="str">
        <x:f>IF(B84="EXCLUDE","Excluded by user",IF(B84="REVIEW MATCH","Review current POS match",IF(B84="KEEP EXISTING","Already in POS",IF(O84&lt;=0,"Blocked: cost",IF(OR(R84&lt;=0,R84&gt;100000),"Blocked: retail",IF(U84="","Blocked: image",IF('Summary'!$B$3="APPROVED","READY","Pending approval")))))))</x:f>
        <x:v>Excluded by user</x:v>
      </x:c>
      <x:c r="Z84" s="26" t="str">
        <x:v>USER EXCLUSION: red-marked item; do not import.</x:v>
      </x:c>
    </x:row>
    <x:row r="85" ht="29.25">
      <x:c r="A85" s="12" t="s">
        <x:v>239</x:v>
      </x:c>
      <x:c r="B85" s="6" t="str">
        <x:v>IMPORT</x:v>
      </x:c>
      <x:c r="C85" s="6"/>
      <x:c r="D85" s="6"/>
      <x:c r="E85" s="6" t="s">
        <x:v>515</x:v>
      </x:c>
      <x:c r="F85" s="6" t="s">
        <x:v>52</x:v>
      </x:c>
      <x:c r="G85" s="6" t="s">
        <x:v>58</x:v>
      </x:c>
      <x:c r="H85" s="6" t="s">
        <x:v>240</x:v>
      </x:c>
      <x:c r="I85" s="10" t="s">
        <x:v>240</x:v>
      </x:c>
      <x:c r="J85" s="10" t="s">
        <x:v>136</x:v>
      </x:c>
      <x:c r="K85" s="9" t="str">
        <x:f>"965717"</x:f>
        <x:v>965717</x:v>
      </x:c>
      <x:c r="L85" s="9" t="str">
        <x:f>"TM8-COMP-9658"</x:f>
        <x:v>TM8-COMP-9658</x:v>
      </x:c>
      <x:c r="M85" s="12" t="s">
        <x:v>536</x:v>
      </x:c>
      <x:c r="N85" s="8">
        <x:v>7</x:v>
      </x:c>
      <x:c r="O85" s="11" t="n">
        <x:f>IF(B85="KEEP EXISTING",N85,'Cost Review'!H80)</x:f>
        <x:v>7</x:v>
      </x:c>
      <x:c r="P85" s="8" t="str">
        <x:f t="shared" si="8">IF(B85="EXCLUDE","Excluded",IF(B85="REVIEW MATCH","Review match",IF(B85="KEEP EXISTING","Existing",IF(O85&lt;=0,"MISSING","REVIEW"))))</x:f>
        <x:v>REVIEW</x:v>
      </x:c>
      <x:c r="Q85" s="8">
        <x:v>49.95</x:v>
      </x:c>
      <x:c r="R85" s="11" t="n">
        <x:f>IF(B85="KEEP EXISTING",Q85,'Cost Review'!J80)</x:f>
        <x:v>49.95</x:v>
      </x:c>
      <x:c r="S85" s="6" t="str">
        <x:f t="shared" si="9">IF(B85="EXCLUDE","Excluded",IF(B85="REVIEW MATCH","Review match",IF(B85="KEEP EXISTING","Existing",IF(OR(R85&lt;=0,R85&gt;100000),"CHECK","OK"))))</x:f>
        <x:v>OK</x:v>
      </x:c>
      <x:c r="T85" s="9" t="str">
        <x:f>"2998000096582"</x:f>
        <x:v>2998000096582</x:v>
      </x:c>
      <x:c r="U85" s="10" t="s">
        <x:v>605</x:v>
      </x:c>
      <x:c r="V85" s="6" t="str">
        <x:f t="shared" si="10">IF(B85="EXCLUDE","Excluded",IF(B85="REVIEW MATCH","Review match",IF(B85="KEEP EXISTING","Existing",IF(U85="","MISSING","FOUND"))))</x:f>
        <x:v>FOUND</x:v>
      </x:c>
      <x:c r="W85" s="9">
        <x:v>37</x:v>
      </x:c>
      <x:c r="X85" s="9">
        <x:v>0</x:v>
      </x:c>
      <x:c r="Y85" s="6" t="str">
        <x:f>IF(B85="EXCLUDE","Excluded by user",IF(B85="REVIEW MATCH","Review current POS match",IF(B85="KEEP EXISTING","Already in POS",IF(O85&lt;=0,"Blocked: cost",IF(OR(R85&lt;=0,R85&gt;100000),"Blocked: retail",IF(U85="","Blocked: image",IF('Summary'!$B$3="APPROVED","READY","Pending approval")))))))</x:f>
        <x:v>Pending approval</x:v>
      </x:c>
      <x:c r="Z85" s="6" t="str">
        <x:v>Source stock 37 is reference only; POS starts at 0.</x:v>
      </x:c>
    </x:row>
    <x:row r="86" ht="43.5">
      <x:c r="A86" s="12" t="s">
        <x:v>242</x:v>
      </x:c>
      <x:c r="B86" s="6" t="str">
        <x:v>IMPORT</x:v>
      </x:c>
      <x:c r="C86" s="6"/>
      <x:c r="D86" s="6"/>
      <x:c r="E86" s="6" t="s">
        <x:v>515</x:v>
      </x:c>
      <x:c r="F86" s="6" t="s">
        <x:v>52</x:v>
      </x:c>
      <x:c r="G86" s="6" t="s">
        <x:v>58</x:v>
      </x:c>
      <x:c r="H86" s="6" t="s">
        <x:v>243</x:v>
      </x:c>
      <x:c r="I86" s="10" t="s">
        <x:v>243</x:v>
      </x:c>
      <x:c r="J86" s="10" t="s">
        <x:v>136</x:v>
      </x:c>
      <x:c r="K86" s="9" t="str">
        <x:f>"965717"</x:f>
        <x:v>965717</x:v>
      </x:c>
      <x:c r="L86" s="9" t="str">
        <x:f>"TM8-COMP-9657"</x:f>
        <x:v>TM8-COMP-9657</x:v>
      </x:c>
      <x:c r="M86" s="12" t="s">
        <x:v>536</x:v>
      </x:c>
      <x:c r="N86" s="8">
        <x:v>7</x:v>
      </x:c>
      <x:c r="O86" s="11" t="n">
        <x:f>IF(B86="KEEP EXISTING",N86,'Cost Review'!H81)</x:f>
        <x:v>7</x:v>
      </x:c>
      <x:c r="P86" s="8" t="str">
        <x:f t="shared" si="8">IF(B86="EXCLUDE","Excluded",IF(B86="REVIEW MATCH","Review match",IF(B86="KEEP EXISTING","Existing",IF(O86&lt;=0,"MISSING","REVIEW"))))</x:f>
        <x:v>REVIEW</x:v>
      </x:c>
      <x:c r="Q86" s="8">
        <x:v>49.95</x:v>
      </x:c>
      <x:c r="R86" s="11" t="n">
        <x:f>IF(B86="KEEP EXISTING",Q86,'Cost Review'!J81)</x:f>
        <x:v>49.95</x:v>
      </x:c>
      <x:c r="S86" s="6" t="str">
        <x:f t="shared" si="9">IF(B86="EXCLUDE","Excluded",IF(B86="REVIEW MATCH","Review match",IF(B86="KEEP EXISTING","Existing",IF(OR(R86&lt;=0,R86&gt;100000),"CHECK","OK"))))</x:f>
        <x:v>OK</x:v>
      </x:c>
      <x:c r="T86" s="9" t="str">
        <x:f>"2998000096575"</x:f>
        <x:v>2998000096575</x:v>
      </x:c>
      <x:c r="U86" s="10" t="s">
        <x:v>606</x:v>
      </x:c>
      <x:c r="V86" s="6" t="str">
        <x:f t="shared" si="10">IF(B86="EXCLUDE","Excluded",IF(B86="REVIEW MATCH","Review match",IF(B86="KEEP EXISTING","Existing",IF(U86="","MISSING","FOUND"))))</x:f>
        <x:v>FOUND</x:v>
      </x:c>
      <x:c r="W86" s="9">
        <x:v>0</x:v>
      </x:c>
      <x:c r="X86" s="9">
        <x:v>0</x:v>
      </x:c>
      <x:c r="Y86" s="6" t="str">
        <x:f>IF(B86="EXCLUDE","Excluded by user",IF(B86="REVIEW MATCH","Review current POS match",IF(B86="KEEP EXISTING","Already in POS",IF(O86&lt;=0,"Blocked: cost",IF(OR(R86&lt;=0,R86&gt;100000),"Blocked: retail",IF(U86="","Blocked: image",IF('Summary'!$B$3="APPROVED","READY","Pending approval")))))))</x:f>
        <x:v>Pending approval</x:v>
      </x:c>
      <x:c r="Z86" s="6" t="str"/>
    </x:row>
    <x:row r="87" ht="43.5">
      <x:c r="A87" s="12" t="s">
        <x:v>244</x:v>
      </x:c>
      <x:c r="B87" s="6" t="str">
        <x:v>IMPORT</x:v>
      </x:c>
      <x:c r="C87" s="6"/>
      <x:c r="D87" s="6"/>
      <x:c r="E87" s="6" t="s">
        <x:v>515</x:v>
      </x:c>
      <x:c r="F87" s="6" t="s">
        <x:v>52</x:v>
      </x:c>
      <x:c r="G87" s="6" t="s">
        <x:v>58</x:v>
      </x:c>
      <x:c r="H87" s="6" t="s">
        <x:v>245</x:v>
      </x:c>
      <x:c r="I87" s="10" t="s">
        <x:v>245</x:v>
      </x:c>
      <x:c r="J87" s="10" t="s">
        <x:v>37</x:v>
      </x:c>
      <x:c r="K87" s="9" t="str">
        <x:f>"965616"</x:f>
        <x:v>965616</x:v>
      </x:c>
      <x:c r="L87" s="9" t="str">
        <x:f>"965616"</x:f>
        <x:v>965616</x:v>
      </x:c>
      <x:c r="M87" s="12" t="s">
        <x:v>489</x:v>
      </x:c>
      <x:c r="N87" s="8">
        <x:v>20</x:v>
      </x:c>
      <x:c r="O87" s="11" t="n">
        <x:f>IF(B87="KEEP EXISTING",N87,'Cost Review'!H82)</x:f>
        <x:v>20</x:v>
      </x:c>
      <x:c r="P87" s="8" t="str">
        <x:f t="shared" si="8">IF(B87="EXCLUDE","Excluded",IF(B87="REVIEW MATCH","Review match",IF(B87="KEEP EXISTING","Existing",IF(O87&lt;=0,"MISSING","REVIEW"))))</x:f>
        <x:v>REVIEW</x:v>
      </x:c>
      <x:c r="Q87" s="8">
        <x:v>99</x:v>
      </x:c>
      <x:c r="R87" s="11" t="n">
        <x:f>IF(B87="KEEP EXISTING",Q87,'Cost Review'!J82)</x:f>
        <x:v>99</x:v>
      </x:c>
      <x:c r="S87" s="6" t="str">
        <x:f t="shared" si="9">IF(B87="EXCLUDE","Excluded",IF(B87="REVIEW MATCH","Review match",IF(B87="KEEP EXISTING","Existing",IF(OR(R87&lt;=0,R87&gt;100000),"CHECK","OK"))))</x:f>
        <x:v>OK</x:v>
      </x:c>
      <x:c r="T87" s="9" t="str">
        <x:f>"2998000096568"</x:f>
        <x:v>2998000096568</x:v>
      </x:c>
      <x:c r="U87" s="10" t="s">
        <x:v>607</x:v>
      </x:c>
      <x:c r="V87" s="6" t="str">
        <x:f t="shared" si="10">IF(B87="EXCLUDE","Excluded",IF(B87="REVIEW MATCH","Review match",IF(B87="KEEP EXISTING","Existing",IF(U87="","MISSING","FOUND"))))</x:f>
        <x:v>FOUND</x:v>
      </x:c>
      <x:c r="W87" s="9">
        <x:v>31</x:v>
      </x:c>
      <x:c r="X87" s="9">
        <x:v>0</x:v>
      </x:c>
      <x:c r="Y87" s="6" t="str">
        <x:f>IF(B87="EXCLUDE","Excluded by user",IF(B87="REVIEW MATCH","Review current POS match",IF(B87="KEEP EXISTING","Already in POS",IF(O87&lt;=0,"Blocked: cost",IF(OR(R87&lt;=0,R87&gt;100000),"Blocked: retail",IF(U87="","Blocked: image",IF('Summary'!$B$3="APPROVED","READY","Pending approval")))))))</x:f>
        <x:v>Pending approval</x:v>
      </x:c>
      <x:c r="Z87" s="6" t="str">
        <x:v>Source stock 31 is reference only; POS starts at 0.</x:v>
      </x:c>
    </x:row>
    <x:row r="88" ht="43.5">
      <x:c r="A88" s="12" t="s">
        <x:v>247</x:v>
      </x:c>
      <x:c r="B88" s="6" t="str">
        <x:v>IMPORT</x:v>
      </x:c>
      <x:c r="C88" s="6"/>
      <x:c r="D88" s="6"/>
      <x:c r="E88" s="6" t="s">
        <x:v>515</x:v>
      </x:c>
      <x:c r="F88" s="6" t="s">
        <x:v>52</x:v>
      </x:c>
      <x:c r="G88" s="6" t="s">
        <x:v>58</x:v>
      </x:c>
      <x:c r="H88" s="6" t="s">
        <x:v>248</x:v>
      </x:c>
      <x:c r="I88" s="10" t="s">
        <x:v>248</x:v>
      </x:c>
      <x:c r="J88" s="10" t="s">
        <x:v>136</x:v>
      </x:c>
      <x:c r="K88" s="9" t="str">
        <x:f>"965515"</x:f>
        <x:v>965515</x:v>
      </x:c>
      <x:c r="L88" s="9" t="str">
        <x:f>"965515"</x:f>
        <x:v>965515</x:v>
      </x:c>
      <x:c r="M88" s="12" t="s">
        <x:v>489</x:v>
      </x:c>
      <x:c r="N88" s="8">
        <x:v>20</x:v>
      </x:c>
      <x:c r="O88" s="11" t="n">
        <x:f>IF(B88="KEEP EXISTING",N88,'Cost Review'!H83)</x:f>
        <x:v>20</x:v>
      </x:c>
      <x:c r="P88" s="8" t="str">
        <x:f t="shared" si="8">IF(B88="EXCLUDE","Excluded",IF(B88="REVIEW MATCH","Review match",IF(B88="KEEP EXISTING","Existing",IF(O88&lt;=0,"MISSING","REVIEW"))))</x:f>
        <x:v>REVIEW</x:v>
      </x:c>
      <x:c r="Q88" s="8">
        <x:v>79</x:v>
      </x:c>
      <x:c r="R88" s="11" t="n">
        <x:f>IF(B88="KEEP EXISTING",Q88,'Cost Review'!J83)</x:f>
        <x:v>79</x:v>
      </x:c>
      <x:c r="S88" s="6" t="str">
        <x:f t="shared" si="9">IF(B88="EXCLUDE","Excluded",IF(B88="REVIEW MATCH","Review match",IF(B88="KEEP EXISTING","Existing",IF(OR(R88&lt;=0,R88&gt;100000),"CHECK","OK"))))</x:f>
        <x:v>OK</x:v>
      </x:c>
      <x:c r="T88" s="9" t="str">
        <x:f>"2998000096551"</x:f>
        <x:v>2998000096551</x:v>
      </x:c>
      <x:c r="U88" s="10" t="s">
        <x:v>608</x:v>
      </x:c>
      <x:c r="V88" s="6" t="str">
        <x:f t="shared" si="10">IF(B88="EXCLUDE","Excluded",IF(B88="REVIEW MATCH","Review match",IF(B88="KEEP EXISTING","Existing",IF(U88="","MISSING","FOUND"))))</x:f>
        <x:v>FOUND</x:v>
      </x:c>
      <x:c r="W88" s="9">
        <x:v>1</x:v>
      </x:c>
      <x:c r="X88" s="9">
        <x:v>0</x:v>
      </x:c>
      <x:c r="Y88" s="6" t="str">
        <x:f>IF(B88="EXCLUDE","Excluded by user",IF(B88="REVIEW MATCH","Review current POS match",IF(B88="KEEP EXISTING","Already in POS",IF(O88&lt;=0,"Blocked: cost",IF(OR(R88&lt;=0,R88&gt;100000),"Blocked: retail",IF(U88="","Blocked: image",IF('Summary'!$B$3="APPROVED","READY","Pending approval")))))))</x:f>
        <x:v>Pending approval</x:v>
      </x:c>
      <x:c r="Z88" s="6" t="str">
        <x:v>Source stock 1 is reference only; POS starts at 0.</x:v>
      </x:c>
    </x:row>
    <x:row r="89" ht="43.5">
      <x:c r="A89" s="12" t="s">
        <x:v>249</x:v>
      </x:c>
      <x:c r="B89" s="6" t="str">
        <x:v>IMPORT</x:v>
      </x:c>
      <x:c r="C89" s="6"/>
      <x:c r="D89" s="6"/>
      <x:c r="E89" s="6" t="s">
        <x:v>497</x:v>
      </x:c>
      <x:c r="F89" s="6" t="s">
        <x:v>52</x:v>
      </x:c>
      <x:c r="G89" s="6" t="s">
        <x:v>58</x:v>
      </x:c>
      <x:c r="H89" s="6" t="s">
        <x:v>250</x:v>
      </x:c>
      <x:c r="I89" s="10" t="s">
        <x:v>250</x:v>
      </x:c>
      <x:c r="J89" s="10" t="s">
        <x:v>136</x:v>
      </x:c>
      <x:c r="K89" s="9" t="str">
        <x:f>"965414"</x:f>
        <x:v>965414</x:v>
      </x:c>
      <x:c r="L89" s="9" t="str">
        <x:f>"965414"</x:f>
        <x:v>965414</x:v>
      </x:c>
      <x:c r="M89" s="12" t="s">
        <x:v>489</x:v>
      </x:c>
      <x:c r="N89" s="8">
        <x:v>25</x:v>
      </x:c>
      <x:c r="O89" s="11" t="n">
        <x:f>IF(B89="KEEP EXISTING",N89,'Cost Review'!H84)</x:f>
        <x:v>25</x:v>
      </x:c>
      <x:c r="P89" s="8" t="str">
        <x:f t="shared" si="8">IF(B89="EXCLUDE","Excluded",IF(B89="REVIEW MATCH","Review match",IF(B89="KEEP EXISTING","Existing",IF(O89&lt;=0,"MISSING","REVIEW"))))</x:f>
        <x:v>REVIEW</x:v>
      </x:c>
      <x:c r="Q89" s="8">
        <x:v>99</x:v>
      </x:c>
      <x:c r="R89" s="11" t="n">
        <x:f>IF(B89="KEEP EXISTING",Q89,'Cost Review'!J84)</x:f>
        <x:v>99</x:v>
      </x:c>
      <x:c r="S89" s="6" t="str">
        <x:f t="shared" si="9">IF(B89="EXCLUDE","Excluded",IF(B89="REVIEW MATCH","Review match",IF(B89="KEEP EXISTING","Existing",IF(OR(R89&lt;=0,R89&gt;100000),"CHECK","OK"))))</x:f>
        <x:v>OK</x:v>
      </x:c>
      <x:c r="T89" s="9" t="str">
        <x:f>"2998000096544"</x:f>
        <x:v>2998000096544</x:v>
      </x:c>
      <x:c r="U89" s="10" t="s">
        <x:v>609</x:v>
      </x:c>
      <x:c r="V89" s="6" t="str">
        <x:f t="shared" si="10">IF(B89="EXCLUDE","Excluded",IF(B89="REVIEW MATCH","Review match",IF(B89="KEEP EXISTING","Existing",IF(U89="","MISSING","FOUND"))))</x:f>
        <x:v>FOUND</x:v>
      </x:c>
      <x:c r="W89" s="9">
        <x:v>17</x:v>
      </x:c>
      <x:c r="X89" s="9">
        <x:v>0</x:v>
      </x:c>
      <x:c r="Y89" s="6" t="str">
        <x:f>IF(B89="EXCLUDE","Excluded by user",IF(B89="REVIEW MATCH","Review current POS match",IF(B89="KEEP EXISTING","Already in POS",IF(O89&lt;=0,"Blocked: cost",IF(OR(R89&lt;=0,R89&gt;100000),"Blocked: retail",IF(U89="","Blocked: image",IF('Summary'!$B$3="APPROVED","READY","Pending approval")))))))</x:f>
        <x:v>Pending approval</x:v>
      </x:c>
      <x:c r="Z89" s="6" t="str">
        <x:v>Source stock 17 is reference only; POS starts at 0.</x:v>
      </x:c>
    </x:row>
    <x:row r="90" ht="43.5">
      <x:c r="A90" s="12" t="s">
        <x:v>252</x:v>
      </x:c>
      <x:c r="B90" s="6" t="str">
        <x:v>IMPORT</x:v>
      </x:c>
      <x:c r="C90" s="6"/>
      <x:c r="D90" s="6"/>
      <x:c r="E90" s="6" t="s">
        <x:v>515</x:v>
      </x:c>
      <x:c r="F90" s="6" t="s">
        <x:v>52</x:v>
      </x:c>
      <x:c r="G90" s="6" t="s">
        <x:v>58</x:v>
      </x:c>
      <x:c r="H90" s="6" t="s">
        <x:v>253</x:v>
      </x:c>
      <x:c r="I90" s="10" t="s">
        <x:v>253</x:v>
      </x:c>
      <x:c r="J90" s="10" t="s">
        <x:v>254</x:v>
      </x:c>
      <x:c r="K90" s="9" t="str">
        <x:f>"965313"</x:f>
        <x:v>965313</x:v>
      </x:c>
      <x:c r="L90" s="9" t="str">
        <x:f>"965313"</x:f>
        <x:v>965313</x:v>
      </x:c>
      <x:c r="M90" s="12" t="s">
        <x:v>489</x:v>
      </x:c>
      <x:c r="N90" s="8">
        <x:v>45</x:v>
      </x:c>
      <x:c r="O90" s="11" t="n">
        <x:f>IF(B90="KEEP EXISTING",N90,'Cost Review'!H85)</x:f>
        <x:v>45</x:v>
      </x:c>
      <x:c r="P90" s="8" t="str">
        <x:f t="shared" si="8">IF(B90="EXCLUDE","Excluded",IF(B90="REVIEW MATCH","Review match",IF(B90="KEEP EXISTING","Existing",IF(O90&lt;=0,"MISSING","REVIEW"))))</x:f>
        <x:v>REVIEW</x:v>
      </x:c>
      <x:c r="Q90" s="8">
        <x:v>69</x:v>
      </x:c>
      <x:c r="R90" s="11" t="n">
        <x:f>IF(B90="KEEP EXISTING",Q90,'Cost Review'!J85)</x:f>
        <x:v>69</x:v>
      </x:c>
      <x:c r="S90" s="6" t="str">
        <x:f t="shared" si="9">IF(B90="EXCLUDE","Excluded",IF(B90="REVIEW MATCH","Review match",IF(B90="KEEP EXISTING","Existing",IF(OR(R90&lt;=0,R90&gt;100000),"CHECK","OK"))))</x:f>
        <x:v>OK</x:v>
      </x:c>
      <x:c r="T90" s="9" t="str">
        <x:f>"2998000096537"</x:f>
        <x:v>2998000096537</x:v>
      </x:c>
      <x:c r="U90" s="10" t="s">
        <x:v>610</x:v>
      </x:c>
      <x:c r="V90" s="6" t="str">
        <x:f t="shared" si="10">IF(B90="EXCLUDE","Excluded",IF(B90="REVIEW MATCH","Review match",IF(B90="KEEP EXISTING","Existing",IF(U90="","MISSING","FOUND"))))</x:f>
        <x:v>FOUND</x:v>
      </x:c>
      <x:c r="W90" s="9">
        <x:v>0</x:v>
      </x:c>
      <x:c r="X90" s="9">
        <x:v>0</x:v>
      </x:c>
      <x:c r="Y90" s="6" t="str">
        <x:f>IF(B90="EXCLUDE","Excluded by user",IF(B90="REVIEW MATCH","Review current POS match",IF(B90="KEEP EXISTING","Already in POS",IF(O90&lt;=0,"Blocked: cost",IF(OR(R90&lt;=0,R90&gt;100000),"Blocked: retail",IF(U90="","Blocked: image",IF('Summary'!$B$3="APPROVED","READY","Pending approval")))))))</x:f>
        <x:v>Pending approval</x:v>
      </x:c>
      <x:c r="Z90" s="6" t="str"/>
    </x:row>
    <x:row r="91" ht="43.5">
      <x:c r="A91" s="12" t="s">
        <x:v>255</x:v>
      </x:c>
      <x:c r="B91" s="25" t="str">
        <x:v>EXCLUDE</x:v>
      </x:c>
      <x:c r="C91" s="6"/>
      <x:c r="D91" s="6"/>
      <x:c r="E91" s="6" t="s">
        <x:v>508</x:v>
      </x:c>
      <x:c r="F91" s="6" t="s">
        <x:v>52</x:v>
      </x:c>
      <x:c r="G91" s="6" t="s">
        <x:v>53</x:v>
      </x:c>
      <x:c r="H91" s="6" t="s">
        <x:v>256</x:v>
      </x:c>
      <x:c r="I91" s="10" t="s">
        <x:v>256</x:v>
      </x:c>
      <x:c r="J91" s="10" t="s">
        <x:v>221</x:v>
      </x:c>
      <x:c r="K91" s="9" t="str">
        <x:f>"964912"</x:f>
        <x:v>964912</x:v>
      </x:c>
      <x:c r="L91" s="9" t="str">
        <x:f>"TM8-COMP-9649"</x:f>
        <x:v>TM8-COMP-9649</x:v>
      </x:c>
      <x:c r="M91" s="12" t="s">
        <x:v>536</x:v>
      </x:c>
      <x:c r="N91" s="8">
        <x:v>0</x:v>
      </x:c>
      <x:c r="O91" s="11" t="n">
        <x:f>IF(B91="KEEP EXISTING",N91,'Cost Review'!H86)</x:f>
        <x:v>0</x:v>
      </x:c>
      <x:c r="P91" s="8" t="str">
        <x:f t="shared" si="8">IF(B91="EXCLUDE","Excluded",IF(B91="REVIEW MATCH","Review match",IF(B91="KEEP EXISTING","Existing",IF(O91&lt;=0,"MISSING","REVIEW"))))</x:f>
        <x:v>Excluded</x:v>
      </x:c>
      <x:c r="Q91" s="8">
        <x:v>119</x:v>
      </x:c>
      <x:c r="R91" s="11" t="n">
        <x:f>IF(B91="KEEP EXISTING",Q91,'Cost Review'!J86)</x:f>
        <x:v>119</x:v>
      </x:c>
      <x:c r="S91" s="6" t="str">
        <x:f t="shared" si="9">IF(B91="EXCLUDE","Excluded",IF(B91="REVIEW MATCH","Review match",IF(B91="KEEP EXISTING","Existing",IF(OR(R91&lt;=0,R91&gt;100000),"CHECK","OK"))))</x:f>
        <x:v>Excluded</x:v>
      </x:c>
      <x:c r="T91" s="9" t="str">
        <x:f>"2998000096490"</x:f>
        <x:v>2998000096490</x:v>
      </x:c>
      <x:c r="U91" s="10" t="s">
        <x:v>611</x:v>
      </x:c>
      <x:c r="V91" s="6" t="str">
        <x:f t="shared" si="10">IF(B91="EXCLUDE","Excluded",IF(B91="REVIEW MATCH","Review match",IF(B91="KEEP EXISTING","Existing",IF(U91="","MISSING","FOUND"))))</x:f>
        <x:v>Excluded</x:v>
      </x:c>
      <x:c r="W91" s="9">
        <x:v>0</x:v>
      </x:c>
      <x:c r="X91" s="9">
        <x:v>0</x:v>
      </x:c>
      <x:c r="Y91" s="26" t="str">
        <x:f>IF(B91="EXCLUDE","Excluded by user",IF(B91="REVIEW MATCH","Review current POS match",IF(B91="KEEP EXISTING","Already in POS",IF(O91&lt;=0,"Blocked: cost",IF(OR(R91&lt;=0,R91&gt;100000),"Blocked: retail",IF(U91="","Blocked: image",IF('Summary'!$B$3="APPROVED","READY","Pending approval")))))))</x:f>
        <x:v>Excluded by user</x:v>
      </x:c>
      <x:c r="Z91" s="26" t="str">
        <x:v>Cost must be entered before import. USER EXCLUSION: red-marked item; do not import.</x:v>
      </x:c>
    </x:row>
    <x:row r="92" ht="43.5">
      <x:c r="A92" s="12" t="s">
        <x:v>257</x:v>
      </x:c>
      <x:c r="B92" s="6" t="str">
        <x:v>IMPORT</x:v>
      </x:c>
      <x:c r="C92" s="6"/>
      <x:c r="D92" s="6"/>
      <x:c r="E92" s="6" t="s">
        <x:v>512</x:v>
      </x:c>
      <x:c r="F92" s="6" t="s">
        <x:v>67</x:v>
      </x:c>
      <x:c r="G92" s="6" t="s">
        <x:v>91</x:v>
      </x:c>
      <x:c r="H92" s="6" t="s">
        <x:v>258</x:v>
      </x:c>
      <x:c r="I92" s="10" t="s">
        <x:v>258</x:v>
      </x:c>
      <x:c r="J92" s="10" t="s">
        <x:v>136</x:v>
      </x:c>
      <x:c r="K92" s="9" t="str">
        <x:f>"964710"</x:f>
        <x:v>964710</x:v>
      </x:c>
      <x:c r="L92" s="9" t="str">
        <x:f>"964710"</x:f>
        <x:v>964710</x:v>
      </x:c>
      <x:c r="M92" s="12" t="s">
        <x:v>489</x:v>
      </x:c>
      <x:c r="N92" s="8">
        <x:v>7</x:v>
      </x:c>
      <x:c r="O92" s="11" t="n">
        <x:f>IF(B92="KEEP EXISTING",N92,'Cost Review'!H87)</x:f>
        <x:v>7</x:v>
      </x:c>
      <x:c r="P92" s="8" t="str">
        <x:f t="shared" si="8">IF(B92="EXCLUDE","Excluded",IF(B92="REVIEW MATCH","Review match",IF(B92="KEEP EXISTING","Existing",IF(O92&lt;=0,"MISSING","REVIEW"))))</x:f>
        <x:v>REVIEW</x:v>
      </x:c>
      <x:c r="Q92" s="8">
        <x:v>29</x:v>
      </x:c>
      <x:c r="R92" s="11" t="n">
        <x:f>IF(B92="KEEP EXISTING",Q92,'Cost Review'!J87)</x:f>
        <x:v>29</x:v>
      </x:c>
      <x:c r="S92" s="6" t="str">
        <x:f t="shared" si="9">IF(B92="EXCLUDE","Excluded",IF(B92="REVIEW MATCH","Review match",IF(B92="KEEP EXISTING","Existing",IF(OR(R92&lt;=0,R92&gt;100000),"CHECK","OK"))))</x:f>
        <x:v>OK</x:v>
      </x:c>
      <x:c r="T92" s="9" t="str">
        <x:f>"2998000096476"</x:f>
        <x:v>2998000096476</x:v>
      </x:c>
      <x:c r="U92" s="10" t="s">
        <x:v>612</x:v>
      </x:c>
      <x:c r="V92" s="6" t="str">
        <x:f t="shared" si="10">IF(B92="EXCLUDE","Excluded",IF(B92="REVIEW MATCH","Review match",IF(B92="KEEP EXISTING","Existing",IF(U92="","MISSING","FOUND"))))</x:f>
        <x:v>FOUND</x:v>
      </x:c>
      <x:c r="W92" s="9">
        <x:v>19</x:v>
      </x:c>
      <x:c r="X92" s="9">
        <x:v>0</x:v>
      </x:c>
      <x:c r="Y92" s="6" t="str">
        <x:f>IF(B92="EXCLUDE","Excluded by user",IF(B92="REVIEW MATCH","Review current POS match",IF(B92="KEEP EXISTING","Already in POS",IF(O92&lt;=0,"Blocked: cost",IF(OR(R92&lt;=0,R92&gt;100000),"Blocked: retail",IF(U92="","Blocked: image",IF('Summary'!$B$3="APPROVED","READY","Pending approval")))))))</x:f>
        <x:v>Pending approval</x:v>
      </x:c>
      <x:c r="Z92" s="6" t="str">
        <x:v>Source stock 19 is reference only; POS starts at 0.</x:v>
      </x:c>
    </x:row>
    <x:row r="93" ht="43.5">
      <x:c r="A93" s="12" t="s">
        <x:v>260</x:v>
      </x:c>
      <x:c r="B93" s="6" t="str">
        <x:v>IMPORT</x:v>
      </x:c>
      <x:c r="C93" s="6"/>
      <x:c r="D93" s="6"/>
      <x:c r="E93" s="6" t="s">
        <x:v>512</x:v>
      </x:c>
      <x:c r="F93" s="6" t="s">
        <x:v>67</x:v>
      </x:c>
      <x:c r="G93" s="6" t="s">
        <x:v>91</x:v>
      </x:c>
      <x:c r="H93" s="6" t="s">
        <x:v>261</x:v>
      </x:c>
      <x:c r="I93" s="10" t="s">
        <x:v>261</x:v>
      </x:c>
      <x:c r="J93" s="10" t="s">
        <x:v>262</x:v>
      </x:c>
      <x:c r="K93" s="9" t="str">
        <x:f>"96469"</x:f>
        <x:v>96469</x:v>
      </x:c>
      <x:c r="L93" s="9" t="str">
        <x:f>"96469"</x:f>
        <x:v>96469</x:v>
      </x:c>
      <x:c r="M93" s="12" t="s">
        <x:v>489</x:v>
      </x:c>
      <x:c r="N93" s="8">
        <x:v>91</x:v>
      </x:c>
      <x:c r="O93" s="11" t="n">
        <x:f>IF(B93="KEEP EXISTING",N93,'Cost Review'!H88)</x:f>
        <x:v>91</x:v>
      </x:c>
      <x:c r="P93" s="8" t="str">
        <x:f t="shared" si="8">IF(B93="EXCLUDE","Excluded",IF(B93="REVIEW MATCH","Review match",IF(B93="KEEP EXISTING","Existing",IF(O93&lt;=0,"MISSING","REVIEW"))))</x:f>
        <x:v>REVIEW</x:v>
      </x:c>
      <x:c r="Q93" s="8">
        <x:v>159</x:v>
      </x:c>
      <x:c r="R93" s="11" t="n">
        <x:f>IF(B93="KEEP EXISTING",Q93,'Cost Review'!J88)</x:f>
        <x:v>159</x:v>
      </x:c>
      <x:c r="S93" s="6" t="str">
        <x:f t="shared" si="9">IF(B93="EXCLUDE","Excluded",IF(B93="REVIEW MATCH","Review match",IF(B93="KEEP EXISTING","Existing",IF(OR(R93&lt;=0,R93&gt;100000),"CHECK","OK"))))</x:f>
        <x:v>OK</x:v>
      </x:c>
      <x:c r="T93" s="9" t="str">
        <x:f>"2998000096469"</x:f>
        <x:v>2998000096469</x:v>
      </x:c>
      <x:c r="U93" s="10" t="s">
        <x:v>613</x:v>
      </x:c>
      <x:c r="V93" s="6" t="str">
        <x:f t="shared" si="10">IF(B93="EXCLUDE","Excluded",IF(B93="REVIEW MATCH","Review match",IF(B93="KEEP EXISTING","Existing",IF(U93="","MISSING","FOUND"))))</x:f>
        <x:v>FOUND</x:v>
      </x:c>
      <x:c r="W93" s="9">
        <x:v>-1</x:v>
      </x:c>
      <x:c r="X93" s="9">
        <x:v>0</x:v>
      </x:c>
      <x:c r="Y93" s="6" t="str">
        <x:f>IF(B93="EXCLUDE","Excluded by user",IF(B93="REVIEW MATCH","Review current POS match",IF(B93="KEEP EXISTING","Already in POS",IF(O93&lt;=0,"Blocked: cost",IF(OR(R93&lt;=0,R93&gt;100000),"Blocked: retail",IF(U93="","Blocked: image",IF('Summary'!$B$3="APPROVED","READY","Pending approval")))))))</x:f>
        <x:v>Pending approval</x:v>
      </x:c>
      <x:c r="Z93" s="6" t="str">
        <x:v>Source stock -1 is reference only; POS starts at 0.</x:v>
      </x:c>
    </x:row>
    <x:row r="94" ht="43.5">
      <x:c r="A94" s="12" t="s">
        <x:v>264</x:v>
      </x:c>
      <x:c r="B94" s="6" t="str">
        <x:v>IMPORT</x:v>
      </x:c>
      <x:c r="C94" s="6"/>
      <x:c r="D94" s="6"/>
      <x:c r="E94" s="6" t="s">
        <x:v>512</x:v>
      </x:c>
      <x:c r="F94" s="6" t="s">
        <x:v>67</x:v>
      </x:c>
      <x:c r="G94" s="6" t="s">
        <x:v>91</x:v>
      </x:c>
      <x:c r="H94" s="6" t="s">
        <x:v>265</x:v>
      </x:c>
      <x:c r="I94" s="10" t="s">
        <x:v>265</x:v>
      </x:c>
      <x:c r="J94" s="10" t="s">
        <x:v>262</x:v>
      </x:c>
      <x:c r="K94" s="9" t="str">
        <x:f>"96458"</x:f>
        <x:v>96458</x:v>
      </x:c>
      <x:c r="L94" s="9" t="str">
        <x:f>"96458"</x:f>
        <x:v>96458</x:v>
      </x:c>
      <x:c r="M94" s="12" t="s">
        <x:v>489</x:v>
      </x:c>
      <x:c r="N94" s="8">
        <x:v>180</x:v>
      </x:c>
      <x:c r="O94" s="11" t="n">
        <x:f>IF(B94="KEEP EXISTING",N94,'Cost Review'!H89)</x:f>
        <x:v>180</x:v>
      </x:c>
      <x:c r="P94" s="8" t="str">
        <x:f t="shared" si="8">IF(B94="EXCLUDE","Excluded",IF(B94="REVIEW MATCH","Review match",IF(B94="KEEP EXISTING","Existing",IF(O94&lt;=0,"MISSING","REVIEW"))))</x:f>
        <x:v>REVIEW</x:v>
      </x:c>
      <x:c r="Q94" s="8">
        <x:v>269</x:v>
      </x:c>
      <x:c r="R94" s="11" t="n">
        <x:f>IF(B94="KEEP EXISTING",Q94,'Cost Review'!J89)</x:f>
        <x:v>269</x:v>
      </x:c>
      <x:c r="S94" s="6" t="str">
        <x:f t="shared" si="9">IF(B94="EXCLUDE","Excluded",IF(B94="REVIEW MATCH","Review match",IF(B94="KEEP EXISTING","Existing",IF(OR(R94&lt;=0,R94&gt;100000),"CHECK","OK"))))</x:f>
        <x:v>OK</x:v>
      </x:c>
      <x:c r="T94" s="9" t="str">
        <x:f>"2998000096452"</x:f>
        <x:v>2998000096452</x:v>
      </x:c>
      <x:c r="U94" s="10" t="s">
        <x:v>614</x:v>
      </x:c>
      <x:c r="V94" s="6" t="str">
        <x:f t="shared" si="10">IF(B94="EXCLUDE","Excluded",IF(B94="REVIEW MATCH","Review match",IF(B94="KEEP EXISTING","Existing",IF(U94="","MISSING","FOUND"))))</x:f>
        <x:v>FOUND</x:v>
      </x:c>
      <x:c r="W94" s="9">
        <x:v>0</x:v>
      </x:c>
      <x:c r="X94" s="9">
        <x:v>0</x:v>
      </x:c>
      <x:c r="Y94" s="6" t="str">
        <x:f>IF(B94="EXCLUDE","Excluded by user",IF(B94="REVIEW MATCH","Review current POS match",IF(B94="KEEP EXISTING","Already in POS",IF(O94&lt;=0,"Blocked: cost",IF(OR(R94&lt;=0,R94&gt;100000),"Blocked: retail",IF(U94="","Blocked: image",IF('Summary'!$B$3="APPROVED","READY","Pending approval")))))))</x:f>
        <x:v>Pending approval</x:v>
      </x:c>
      <x:c r="Z94" s="6" t="str"/>
    </x:row>
    <x:row r="95" ht="43.5">
      <x:c r="A95" s="12" t="s">
        <x:v>266</x:v>
      </x:c>
      <x:c r="B95" s="6" t="str">
        <x:v>IMPORT</x:v>
      </x:c>
      <x:c r="C95" s="6"/>
      <x:c r="D95" s="6"/>
      <x:c r="E95" s="6" t="s">
        <x:v>512</x:v>
      </x:c>
      <x:c r="F95" s="6" t="s">
        <x:v>67</x:v>
      </x:c>
      <x:c r="G95" s="6" t="s">
        <x:v>91</x:v>
      </x:c>
      <x:c r="H95" s="6" t="s">
        <x:v>267</x:v>
      </x:c>
      <x:c r="I95" s="10" t="s">
        <x:v>267</x:v>
      </x:c>
      <x:c r="J95" s="10" t="s">
        <x:v>262</x:v>
      </x:c>
      <x:c r="K95" s="9" t="str">
        <x:f>"96447"</x:f>
        <x:v>96447</x:v>
      </x:c>
      <x:c r="L95" s="9" t="str">
        <x:f>"96447"</x:f>
        <x:v>96447</x:v>
      </x:c>
      <x:c r="M95" s="12" t="s">
        <x:v>489</x:v>
      </x:c>
      <x:c r="N95" s="8">
        <x:v>110</x:v>
      </x:c>
      <x:c r="O95" s="11" t="n">
        <x:f>IF(B95="KEEP EXISTING",N95,'Cost Review'!H90)</x:f>
        <x:v>110</x:v>
      </x:c>
      <x:c r="P95" s="8" t="str">
        <x:f t="shared" si="8">IF(B95="EXCLUDE","Excluded",IF(B95="REVIEW MATCH","Review match",IF(B95="KEEP EXISTING","Existing",IF(O95&lt;=0,"MISSING","REVIEW"))))</x:f>
        <x:v>REVIEW</x:v>
      </x:c>
      <x:c r="Q95" s="8">
        <x:v>149</x:v>
      </x:c>
      <x:c r="R95" s="11" t="n">
        <x:f>IF(B95="KEEP EXISTING",Q95,'Cost Review'!J90)</x:f>
        <x:v>149</x:v>
      </x:c>
      <x:c r="S95" s="6" t="str">
        <x:f t="shared" si="9">IF(B95="EXCLUDE","Excluded",IF(B95="REVIEW MATCH","Review match",IF(B95="KEEP EXISTING","Existing",IF(OR(R95&lt;=0,R95&gt;100000),"CHECK","OK"))))</x:f>
        <x:v>OK</x:v>
      </x:c>
      <x:c r="T95" s="9" t="str">
        <x:f>"2998000096445"</x:f>
        <x:v>2998000096445</x:v>
      </x:c>
      <x:c r="U95" s="10" t="s">
        <x:v>615</x:v>
      </x:c>
      <x:c r="V95" s="6" t="str">
        <x:f t="shared" si="10">IF(B95="EXCLUDE","Excluded",IF(B95="REVIEW MATCH","Review match",IF(B95="KEEP EXISTING","Existing",IF(U95="","MISSING","FOUND"))))</x:f>
        <x:v>FOUND</x:v>
      </x:c>
      <x:c r="W95" s="9">
        <x:v>0</x:v>
      </x:c>
      <x:c r="X95" s="9">
        <x:v>0</x:v>
      </x:c>
      <x:c r="Y95" s="6" t="str">
        <x:f>IF(B95="EXCLUDE","Excluded by user",IF(B95="REVIEW MATCH","Review current POS match",IF(B95="KEEP EXISTING","Already in POS",IF(O95&lt;=0,"Blocked: cost",IF(OR(R95&lt;=0,R95&gt;100000),"Blocked: retail",IF(U95="","Blocked: image",IF('Summary'!$B$3="APPROVED","READY","Pending approval")))))))</x:f>
        <x:v>Pending approval</x:v>
      </x:c>
      <x:c r="Z95" s="6" t="str"/>
    </x:row>
    <x:row r="96" ht="43.5">
      <x:c r="A96" s="12" t="s">
        <x:v>268</x:v>
      </x:c>
      <x:c r="B96" s="6" t="str">
        <x:v>IMPORT</x:v>
      </x:c>
      <x:c r="C96" s="6"/>
      <x:c r="D96" s="6"/>
      <x:c r="E96" s="6" t="s">
        <x:v>512</x:v>
      </x:c>
      <x:c r="F96" s="6" t="s">
        <x:v>67</x:v>
      </x:c>
      <x:c r="G96" s="6" t="s">
        <x:v>91</x:v>
      </x:c>
      <x:c r="H96" s="6" t="s">
        <x:v>269</x:v>
      </x:c>
      <x:c r="I96" s="10" t="s">
        <x:v>269</x:v>
      </x:c>
      <x:c r="J96" s="10" t="s">
        <x:v>262</x:v>
      </x:c>
      <x:c r="K96" s="9" t="str">
        <x:f>"96392"</x:f>
        <x:v>96392</x:v>
      </x:c>
      <x:c r="L96" s="9" t="str">
        <x:f>"96392"</x:f>
        <x:v>96392</x:v>
      </x:c>
      <x:c r="M96" s="12" t="s">
        <x:v>489</x:v>
      </x:c>
      <x:c r="N96" s="8">
        <x:v>0</x:v>
      </x:c>
      <x:c r="O96" s="11" t="n">
        <x:f>IF(B96="KEEP EXISTING",N96,'Cost Review'!H91)</x:f>
        <x:v>170</x:v>
      </x:c>
      <x:c r="P96" s="8" t="str">
        <x:f t="shared" si="8">IF(B96="EXCLUDE","Excluded",IF(B96="REVIEW MATCH","Review match",IF(B96="KEEP EXISTING","Existing",IF(O96&lt;=0,"MISSING","REVIEW"))))</x:f>
        <x:v>REVIEW</x:v>
      </x:c>
      <x:c r="Q96" s="8">
        <x:v>319</x:v>
      </x:c>
      <x:c r="R96" s="11" t="n">
        <x:f>IF(B96="KEEP EXISTING",Q96,'Cost Review'!J91)</x:f>
        <x:v>319</x:v>
      </x:c>
      <x:c r="S96" s="6" t="str">
        <x:f t="shared" si="9">IF(B96="EXCLUDE","Excluded",IF(B96="REVIEW MATCH","Review match",IF(B96="KEEP EXISTING","Existing",IF(OR(R96&lt;=0,R96&gt;100000),"CHECK","OK"))))</x:f>
        <x:v>OK</x:v>
      </x:c>
      <x:c r="T96" s="9" t="str">
        <x:f>"2998000096391"</x:f>
        <x:v>2998000096391</x:v>
      </x:c>
      <x:c r="U96" s="10" t="s">
        <x:v>616</x:v>
      </x:c>
      <x:c r="V96" s="6" t="str">
        <x:f t="shared" si="10">IF(B96="EXCLUDE","Excluded",IF(B96="REVIEW MATCH","Review match",IF(B96="KEEP EXISTING","Existing",IF(U96="","MISSING","FOUND"))))</x:f>
        <x:v>FOUND</x:v>
      </x:c>
      <x:c r="W96" s="9">
        <x:v>0</x:v>
      </x:c>
      <x:c r="X96" s="9">
        <x:v>0</x:v>
      </x:c>
      <x:c r="Y96" s="6" t="str">
        <x:f>IF(B96="EXCLUDE","Excluded by user",IF(B96="REVIEW MATCH","Review current POS match",IF(B96="KEEP EXISTING","Already in POS",IF(O96&lt;=0,"Blocked: cost",IF(OR(R96&lt;=0,R96&gt;100000),"Blocked: retail",IF(U96="","Blocked: image",IF('Summary'!$B$3="APPROVED","READY","Pending approval")))))))</x:f>
        <x:v>Pending approval</x:v>
      </x:c>
      <x:c r="Z96" s="6" t="str">
        <x:v>Cost must be entered before import.</x:v>
      </x:c>
    </x:row>
    <x:row r="97" ht="29.25">
      <x:c r="A97" s="12" t="s">
        <x:v>270</x:v>
      </x:c>
      <x:c r="B97" s="6" t="str">
        <x:v>IMPORT</x:v>
      </x:c>
      <x:c r="C97" s="6"/>
      <x:c r="D97" s="6"/>
      <x:c r="E97" s="6" t="s">
        <x:v>515</x:v>
      </x:c>
      <x:c r="F97" s="6" t="s">
        <x:v>52</x:v>
      </x:c>
      <x:c r="G97" s="6" t="s">
        <x:v>58</x:v>
      </x:c>
      <x:c r="H97" s="6" t="s">
        <x:v>271</x:v>
      </x:c>
      <x:c r="I97" s="10" t="s">
        <x:v>271</x:v>
      </x:c>
      <x:c r="J97" s="10" t="s">
        <x:v>254</x:v>
      </x:c>
      <x:c r="K97" s="9" t="str">
        <x:f>"6920377913779"</x:f>
        <x:v>6920377913779</x:v>
      </x:c>
      <x:c r="L97" s="9" t="str">
        <x:f>"6920377913779"</x:f>
        <x:v>6920377913779</x:v>
      </x:c>
      <x:c r="M97" s="12" t="s">
        <x:v>489</x:v>
      </x:c>
      <x:c r="N97" s="8">
        <x:v>102</x:v>
      </x:c>
      <x:c r="O97" s="11" t="n">
        <x:f>IF(B97="KEEP EXISTING",N97,'Cost Review'!H92)</x:f>
        <x:v>102</x:v>
      </x:c>
      <x:c r="P97" s="8" t="str">
        <x:f t="shared" si="8">IF(B97="EXCLUDE","Excluded",IF(B97="REVIEW MATCH","Review match",IF(B97="KEEP EXISTING","Existing",IF(O97&lt;=0,"MISSING","REVIEW"))))</x:f>
        <x:v>REVIEW</x:v>
      </x:c>
      <x:c r="Q97" s="8">
        <x:v>249</x:v>
      </x:c>
      <x:c r="R97" s="11" t="n">
        <x:f>IF(B97="KEEP EXISTING",Q97,'Cost Review'!J92)</x:f>
        <x:v>249</x:v>
      </x:c>
      <x:c r="S97" s="6" t="str">
        <x:f t="shared" si="9">IF(B97="EXCLUDE","Excluded",IF(B97="REVIEW MATCH","Review match",IF(B97="KEEP EXISTING","Existing",IF(OR(R97&lt;=0,R97&gt;100000),"CHECK","OK"))))</x:f>
        <x:v>OK</x:v>
      </x:c>
      <x:c r="T97" s="9" t="str">
        <x:f>"6920377913779"</x:f>
        <x:v>6920377913779</x:v>
      </x:c>
      <x:c r="U97" s="10" t="s">
        <x:v>617</x:v>
      </x:c>
      <x:c r="V97" s="6" t="str">
        <x:f t="shared" si="10">IF(B97="EXCLUDE","Excluded",IF(B97="REVIEW MATCH","Review match",IF(B97="KEEP EXISTING","Existing",IF(U97="","MISSING","FOUND"))))</x:f>
        <x:v>FOUND</x:v>
      </x:c>
      <x:c r="W97" s="9">
        <x:v>0</x:v>
      </x:c>
      <x:c r="X97" s="9">
        <x:v>0</x:v>
      </x:c>
      <x:c r="Y97" s="6" t="str">
        <x:f>IF(B97="EXCLUDE","Excluded by user",IF(B97="REVIEW MATCH","Review current POS match",IF(B97="KEEP EXISTING","Already in POS",IF(O97&lt;=0,"Blocked: cost",IF(OR(R97&lt;=0,R97&gt;100000),"Blocked: retail",IF(U97="","Blocked: image",IF('Summary'!$B$3="APPROVED","READY","Pending approval")))))))</x:f>
        <x:v>Pending approval</x:v>
      </x:c>
      <x:c r="Z97" s="6" t="str"/>
    </x:row>
    <x:row r="98" ht="29.25">
      <x:c r="A98" s="12" t="s">
        <x:v>272</x:v>
      </x:c>
      <x:c r="B98" s="6" t="str">
        <x:v>IMPORT</x:v>
      </x:c>
      <x:c r="C98" s="6"/>
      <x:c r="D98" s="6"/>
      <x:c r="E98" s="6" t="s">
        <x:v>515</x:v>
      </x:c>
      <x:c r="F98" s="6" t="s">
        <x:v>52</x:v>
      </x:c>
      <x:c r="G98" s="6" t="s">
        <x:v>58</x:v>
      </x:c>
      <x:c r="H98" s="6" t="s">
        <x:v>273</x:v>
      </x:c>
      <x:c r="I98" s="10" t="s">
        <x:v>273</x:v>
      </x:c>
      <x:c r="J98" s="10" t="s">
        <x:v>254</x:v>
      </x:c>
      <x:c r="K98" s="9" t="str">
        <x:f>"6920377913786"</x:f>
        <x:v>6920377913786</x:v>
      </x:c>
      <x:c r="L98" s="9" t="str">
        <x:f>"6920377913786"</x:f>
        <x:v>6920377913786</x:v>
      </x:c>
      <x:c r="M98" s="12" t="s">
        <x:v>489</x:v>
      </x:c>
      <x:c r="N98" s="8">
        <x:v>102</x:v>
      </x:c>
      <x:c r="O98" s="11" t="n">
        <x:f>IF(B98="KEEP EXISTING",N98,'Cost Review'!H93)</x:f>
        <x:v>102</x:v>
      </x:c>
      <x:c r="P98" s="8" t="str">
        <x:f t="shared" ref="P98:P129" si="11">IF(B98="EXCLUDE","Excluded",IF(B98="REVIEW MATCH","Review match",IF(B98="KEEP EXISTING","Existing",IF(O98&lt;=0,"MISSING","REVIEW"))))</x:f>
        <x:v>REVIEW</x:v>
      </x:c>
      <x:c r="Q98" s="8">
        <x:v>249</x:v>
      </x:c>
      <x:c r="R98" s="11" t="n">
        <x:f>IF(B98="KEEP EXISTING",Q98,'Cost Review'!J93)</x:f>
        <x:v>249</x:v>
      </x:c>
      <x:c r="S98" s="6" t="str">
        <x:f t="shared" ref="S98:S129" si="12">IF(B98="EXCLUDE","Excluded",IF(B98="REVIEW MATCH","Review match",IF(B98="KEEP EXISTING","Existing",IF(OR(R98&lt;=0,R98&gt;100000),"CHECK","OK"))))</x:f>
        <x:v>OK</x:v>
      </x:c>
      <x:c r="T98" s="9" t="str">
        <x:f>"6920377913786"</x:f>
        <x:v>6920377913786</x:v>
      </x:c>
      <x:c r="U98" s="10" t="s">
        <x:v>618</x:v>
      </x:c>
      <x:c r="V98" s="6" t="str">
        <x:f t="shared" ref="V98:V129" si="13">IF(B98="EXCLUDE","Excluded",IF(B98="REVIEW MATCH","Review match",IF(B98="KEEP EXISTING","Existing",IF(U98="","MISSING","FOUND"))))</x:f>
        <x:v>FOUND</x:v>
      </x:c>
      <x:c r="W98" s="9">
        <x:v>0</x:v>
      </x:c>
      <x:c r="X98" s="9">
        <x:v>0</x:v>
      </x:c>
      <x:c r="Y98" s="6" t="str">
        <x:f>IF(B98="EXCLUDE","Excluded by user",IF(B98="REVIEW MATCH","Review current POS match",IF(B98="KEEP EXISTING","Already in POS",IF(O98&lt;=0,"Blocked: cost",IF(OR(R98&lt;=0,R98&gt;100000),"Blocked: retail",IF(U98="","Blocked: image",IF('Summary'!$B$3="APPROVED","READY","Pending approval")))))))</x:f>
        <x:v>Pending approval</x:v>
      </x:c>
      <x:c r="Z98" s="6" t="str"/>
    </x:row>
    <x:row r="99" ht="29.25">
      <x:c r="A99" s="12" t="s">
        <x:v>274</x:v>
      </x:c>
      <x:c r="B99" s="6" t="str">
        <x:v>IMPORT</x:v>
      </x:c>
      <x:c r="C99" s="6"/>
      <x:c r="D99" s="6"/>
      <x:c r="E99" s="6" t="s">
        <x:v>515</x:v>
      </x:c>
      <x:c r="F99" s="6" t="s">
        <x:v>52</x:v>
      </x:c>
      <x:c r="G99" s="6" t="s">
        <x:v>58</x:v>
      </x:c>
      <x:c r="H99" s="6" t="s">
        <x:v>275</x:v>
      </x:c>
      <x:c r="I99" s="10" t="s">
        <x:v>275</x:v>
      </x:c>
      <x:c r="J99" s="10" t="s">
        <x:v>254</x:v>
      </x:c>
      <x:c r="K99" s="9" t="str">
        <x:f>"6920377913748"</x:f>
        <x:v>6920377913748</x:v>
      </x:c>
      <x:c r="L99" s="9" t="str">
        <x:f>"6920377913748"</x:f>
        <x:v>6920377913748</x:v>
      </x:c>
      <x:c r="M99" s="12" t="s">
        <x:v>489</x:v>
      </x:c>
      <x:c r="N99" s="8">
        <x:v>65</x:v>
      </x:c>
      <x:c r="O99" s="11" t="n">
        <x:f>IF(B99="KEEP EXISTING",N99,'Cost Review'!H94)</x:f>
        <x:v>65</x:v>
      </x:c>
      <x:c r="P99" s="8" t="str">
        <x:f t="shared" si="11">IF(B99="EXCLUDE","Excluded",IF(B99="REVIEW MATCH","Review match",IF(B99="KEEP EXISTING","Existing",IF(O99&lt;=0,"MISSING","REVIEW"))))</x:f>
        <x:v>REVIEW</x:v>
      </x:c>
      <x:c r="Q99" s="8">
        <x:v>149</x:v>
      </x:c>
      <x:c r="R99" s="11" t="n">
        <x:f>IF(B99="KEEP EXISTING",Q99,'Cost Review'!J94)</x:f>
        <x:v>149</x:v>
      </x:c>
      <x:c r="S99" s="6" t="str">
        <x:f t="shared" si="12">IF(B99="EXCLUDE","Excluded",IF(B99="REVIEW MATCH","Review match",IF(B99="KEEP EXISTING","Existing",IF(OR(R99&lt;=0,R99&gt;100000),"CHECK","OK"))))</x:f>
        <x:v>OK</x:v>
      </x:c>
      <x:c r="T99" s="9" t="str">
        <x:f>"6920377913748"</x:f>
        <x:v>6920377913748</x:v>
      </x:c>
      <x:c r="U99" s="10" t="s">
        <x:v>619</x:v>
      </x:c>
      <x:c r="V99" s="6" t="str">
        <x:f t="shared" si="13">IF(B99="EXCLUDE","Excluded",IF(B99="REVIEW MATCH","Review match",IF(B99="KEEP EXISTING","Existing",IF(U99="","MISSING","FOUND"))))</x:f>
        <x:v>FOUND</x:v>
      </x:c>
      <x:c r="W99" s="9">
        <x:v>0</x:v>
      </x:c>
      <x:c r="X99" s="9">
        <x:v>0</x:v>
      </x:c>
      <x:c r="Y99" s="6" t="str">
        <x:f>IF(B99="EXCLUDE","Excluded by user",IF(B99="REVIEW MATCH","Review current POS match",IF(B99="KEEP EXISTING","Already in POS",IF(O99&lt;=0,"Blocked: cost",IF(OR(R99&lt;=0,R99&gt;100000),"Blocked: retail",IF(U99="","Blocked: image",IF('Summary'!$B$3="APPROVED","READY","Pending approval")))))))</x:f>
        <x:v>Pending approval</x:v>
      </x:c>
      <x:c r="Z99" s="6" t="str"/>
    </x:row>
    <x:row r="100" ht="29.25">
      <x:c r="A100" s="12" t="s">
        <x:v>276</x:v>
      </x:c>
      <x:c r="B100" s="6" t="str">
        <x:v>IMPORT</x:v>
      </x:c>
      <x:c r="C100" s="6"/>
      <x:c r="D100" s="6"/>
      <x:c r="E100" s="6" t="s">
        <x:v>515</x:v>
      </x:c>
      <x:c r="F100" s="6" t="s">
        <x:v>52</x:v>
      </x:c>
      <x:c r="G100" s="6" t="s">
        <x:v>58</x:v>
      </x:c>
      <x:c r="H100" s="6" t="s">
        <x:v>277</x:v>
      </x:c>
      <x:c r="I100" s="10" t="s">
        <x:v>277</x:v>
      </x:c>
      <x:c r="J100" s="10" t="s">
        <x:v>254</x:v>
      </x:c>
      <x:c r="K100" s="9" t="str">
        <x:f>"6920377913731"</x:f>
        <x:v>6920377913731</x:v>
      </x:c>
      <x:c r="L100" s="9" t="str">
        <x:f>"6920377913731"</x:f>
        <x:v>6920377913731</x:v>
      </x:c>
      <x:c r="M100" s="12" t="s">
        <x:v>489</x:v>
      </x:c>
      <x:c r="N100" s="8">
        <x:v>65</x:v>
      </x:c>
      <x:c r="O100" s="11" t="n">
        <x:f>IF(B100="KEEP EXISTING",N100,'Cost Review'!H95)</x:f>
        <x:v>65</x:v>
      </x:c>
      <x:c r="P100" s="8" t="str">
        <x:f t="shared" si="11">IF(B100="EXCLUDE","Excluded",IF(B100="REVIEW MATCH","Review match",IF(B100="KEEP EXISTING","Existing",IF(O100&lt;=0,"MISSING","REVIEW"))))</x:f>
        <x:v>REVIEW</x:v>
      </x:c>
      <x:c r="Q100" s="8">
        <x:v>149</x:v>
      </x:c>
      <x:c r="R100" s="11" t="n">
        <x:f>IF(B100="KEEP EXISTING",Q100,'Cost Review'!J95)</x:f>
        <x:v>149</x:v>
      </x:c>
      <x:c r="S100" s="6" t="str">
        <x:f t="shared" si="12">IF(B100="EXCLUDE","Excluded",IF(B100="REVIEW MATCH","Review match",IF(B100="KEEP EXISTING","Existing",IF(OR(R100&lt;=0,R100&gt;100000),"CHECK","OK"))))</x:f>
        <x:v>OK</x:v>
      </x:c>
      <x:c r="T100" s="9" t="str">
        <x:f>"6920377913731"</x:f>
        <x:v>6920377913731</x:v>
      </x:c>
      <x:c r="U100" s="10" t="s">
        <x:v>620</x:v>
      </x:c>
      <x:c r="V100" s="6" t="str">
        <x:f t="shared" si="13">IF(B100="EXCLUDE","Excluded",IF(B100="REVIEW MATCH","Review match",IF(B100="KEEP EXISTING","Existing",IF(U100="","MISSING","FOUND"))))</x:f>
        <x:v>FOUND</x:v>
      </x:c>
      <x:c r="W100" s="9">
        <x:v>0</x:v>
      </x:c>
      <x:c r="X100" s="9">
        <x:v>0</x:v>
      </x:c>
      <x:c r="Y100" s="6" t="str">
        <x:f>IF(B100="EXCLUDE","Excluded by user",IF(B100="REVIEW MATCH","Review current POS match",IF(B100="KEEP EXISTING","Already in POS",IF(O100&lt;=0,"Blocked: cost",IF(OR(R100&lt;=0,R100&gt;100000),"Blocked: retail",IF(U100="","Blocked: image",IF('Summary'!$B$3="APPROVED","READY","Pending approval")))))))</x:f>
        <x:v>Pending approval</x:v>
      </x:c>
      <x:c r="Z100" s="6" t="str"/>
    </x:row>
    <x:row r="101" ht="29.25">
      <x:c r="A101" s="12" t="s">
        <x:v>278</x:v>
      </x:c>
      <x:c r="B101" s="6" t="str">
        <x:v>IMPORT</x:v>
      </x:c>
      <x:c r="C101" s="6"/>
      <x:c r="D101" s="6"/>
      <x:c r="E101" s="6" t="s">
        <x:v>621</x:v>
      </x:c>
      <x:c r="F101" s="6" t="s">
        <x:v>52</x:v>
      </x:c>
      <x:c r="G101" s="6" t="s">
        <x:v>58</x:v>
      </x:c>
      <x:c r="H101" s="6" t="s">
        <x:v>279</x:v>
      </x:c>
      <x:c r="I101" s="10" t="s">
        <x:v>279</x:v>
      </x:c>
      <x:c r="J101" s="10" t="s">
        <x:v>254</x:v>
      </x:c>
      <x:c r="K101" s="9" t="str">
        <x:f>"097855078001"</x:f>
        <x:v>097855078001</x:v>
      </x:c>
      <x:c r="L101" s="9" t="str">
        <x:f>"097855078001"</x:f>
        <x:v>097855078001</x:v>
      </x:c>
      <x:c r="M101" s="12" t="s">
        <x:v>489</x:v>
      </x:c>
      <x:c r="N101" s="8">
        <x:v>20</x:v>
      </x:c>
      <x:c r="O101" s="11" t="n">
        <x:f>IF(B101="KEEP EXISTING",N101,'Cost Review'!H96)</x:f>
        <x:v>20</x:v>
      </x:c>
      <x:c r="P101" s="8" t="str">
        <x:f t="shared" si="11">IF(B101="EXCLUDE","Excluded",IF(B101="REVIEW MATCH","Review match",IF(B101="KEEP EXISTING","Existing",IF(O101&lt;=0,"MISSING","REVIEW"))))</x:f>
        <x:v>REVIEW</x:v>
      </x:c>
      <x:c r="Q101" s="8">
        <x:v>54.99</x:v>
      </x:c>
      <x:c r="R101" s="11" t="n">
        <x:f>IF(B101="KEEP EXISTING",Q101,'Cost Review'!J96)</x:f>
        <x:v>54.99</x:v>
      </x:c>
      <x:c r="S101" s="6" t="str">
        <x:f t="shared" si="12">IF(B101="EXCLUDE","Excluded",IF(B101="REVIEW MATCH","Review match",IF(B101="KEEP EXISTING","Existing",IF(OR(R101&lt;=0,R101&gt;100000),"CHECK","OK"))))</x:f>
        <x:v>OK</x:v>
      </x:c>
      <x:c r="T101" s="9" t="str">
        <x:f>"097855078001"</x:f>
        <x:v>097855078001</x:v>
      </x:c>
      <x:c r="U101" s="10" t="s">
        <x:v>622</x:v>
      </x:c>
      <x:c r="V101" s="6" t="str">
        <x:f t="shared" si="13">IF(B101="EXCLUDE","Excluded",IF(B101="REVIEW MATCH","Review match",IF(B101="KEEP EXISTING","Existing",IF(U101="","MISSING","FOUND"))))</x:f>
        <x:v>FOUND</x:v>
      </x:c>
      <x:c r="W101" s="9">
        <x:v>1</x:v>
      </x:c>
      <x:c r="X101" s="9">
        <x:v>0</x:v>
      </x:c>
      <x:c r="Y101" s="6" t="str">
        <x:f>IF(B101="EXCLUDE","Excluded by user",IF(B101="REVIEW MATCH","Review current POS match",IF(B101="KEEP EXISTING","Already in POS",IF(O101&lt;=0,"Blocked: cost",IF(OR(R101&lt;=0,R101&gt;100000),"Blocked: retail",IF(U101="","Blocked: image",IF('Summary'!$B$3="APPROVED","READY","Pending approval")))))))</x:f>
        <x:v>Pending approval</x:v>
      </x:c>
      <x:c r="Z101" s="6" t="str">
        <x:v>Source stock 1 is reference only; POS starts at 0.</x:v>
      </x:c>
    </x:row>
    <x:row r="102" ht="29.25">
      <x:c r="A102" s="12" t="s">
        <x:v>280</x:v>
      </x:c>
      <x:c r="B102" s="6" t="str">
        <x:v>IMPORT</x:v>
      </x:c>
      <x:c r="C102" s="6"/>
      <x:c r="D102" s="6"/>
      <x:c r="E102" s="6" t="s">
        <x:v>621</x:v>
      </x:c>
      <x:c r="F102" s="6" t="s">
        <x:v>52</x:v>
      </x:c>
      <x:c r="G102" s="6" t="s">
        <x:v>58</x:v>
      </x:c>
      <x:c r="H102" s="6" t="s">
        <x:v>281</x:v>
      </x:c>
      <x:c r="I102" s="10" t="s">
        <x:v>281</x:v>
      </x:c>
      <x:c r="J102" s="10" t="s">
        <x:v>254</x:v>
      </x:c>
      <x:c r="K102" s="9" t="str">
        <x:f>"097855067067"</x:f>
        <x:v>097855067067</x:v>
      </x:c>
      <x:c r="L102" s="9" t="str">
        <x:f>"097855067067"</x:f>
        <x:v>097855067067</x:v>
      </x:c>
      <x:c r="M102" s="12" t="s">
        <x:v>489</x:v>
      </x:c>
      <x:c r="N102" s="8">
        <x:v>20</x:v>
      </x:c>
      <x:c r="O102" s="11" t="n">
        <x:f>IF(B102="KEEP EXISTING",N102,'Cost Review'!H97)</x:f>
        <x:v>20</x:v>
      </x:c>
      <x:c r="P102" s="8" t="str">
        <x:f t="shared" si="11">IF(B102="EXCLUDE","Excluded",IF(B102="REVIEW MATCH","Review match",IF(B102="KEEP EXISTING","Existing",IF(O102&lt;=0,"MISSING","REVIEW"))))</x:f>
        <x:v>REVIEW</x:v>
      </x:c>
      <x:c r="Q102" s="8">
        <x:v>39</x:v>
      </x:c>
      <x:c r="R102" s="11" t="n">
        <x:f>IF(B102="KEEP EXISTING",Q102,'Cost Review'!J97)</x:f>
        <x:v>39</x:v>
      </x:c>
      <x:c r="S102" s="6" t="str">
        <x:f t="shared" si="12">IF(B102="EXCLUDE","Excluded",IF(B102="REVIEW MATCH","Review match",IF(B102="KEEP EXISTING","Existing",IF(OR(R102&lt;=0,R102&gt;100000),"CHECK","OK"))))</x:f>
        <x:v>OK</x:v>
      </x:c>
      <x:c r="T102" s="9" t="str">
        <x:f>"097855067067"</x:f>
        <x:v>097855067067</x:v>
      </x:c>
      <x:c r="U102" s="10" t="s">
        <x:v>623</x:v>
      </x:c>
      <x:c r="V102" s="6" t="str">
        <x:f t="shared" si="13">IF(B102="EXCLUDE","Excluded",IF(B102="REVIEW MATCH","Review match",IF(B102="KEEP EXISTING","Existing",IF(U102="","MISSING","FOUND"))))</x:f>
        <x:v>FOUND</x:v>
      </x:c>
      <x:c r="W102" s="9">
        <x:v>4</x:v>
      </x:c>
      <x:c r="X102" s="9">
        <x:v>0</x:v>
      </x:c>
      <x:c r="Y102" s="6" t="str">
        <x:f>IF(B102="EXCLUDE","Excluded by user",IF(B102="REVIEW MATCH","Review current POS match",IF(B102="KEEP EXISTING","Already in POS",IF(O102&lt;=0,"Blocked: cost",IF(OR(R102&lt;=0,R102&gt;100000),"Blocked: retail",IF(U102="","Blocked: image",IF('Summary'!$B$3="APPROVED","READY","Pending approval")))))))</x:f>
        <x:v>Pending approval</x:v>
      </x:c>
      <x:c r="Z102" s="6" t="str">
        <x:v>Source stock 4 is reference only; POS starts at 0.</x:v>
      </x:c>
    </x:row>
    <x:row r="103" ht="43.5">
      <x:c r="A103" s="12" t="s">
        <x:v>282</x:v>
      </x:c>
      <x:c r="B103" s="6" t="str">
        <x:v>IMPORT</x:v>
      </x:c>
      <x:c r="C103" s="6"/>
      <x:c r="D103" s="6"/>
      <x:c r="E103" s="6" t="s">
        <x:v>497</x:v>
      </x:c>
      <x:c r="F103" s="6" t="s">
        <x:v>52</x:v>
      </x:c>
      <x:c r="G103" s="6" t="s">
        <x:v>58</x:v>
      </x:c>
      <x:c r="H103" s="6" t="s">
        <x:v>283</x:v>
      </x:c>
      <x:c r="I103" s="10" t="s">
        <x:v>283</x:v>
      </x:c>
      <x:c r="J103" s="10" t="s">
        <x:v>262</x:v>
      </x:c>
      <x:c r="K103" s="9" t="str">
        <x:f>"196188049273"</x:f>
        <x:v>196188049273</x:v>
      </x:c>
      <x:c r="L103" s="9" t="str">
        <x:f>"196188049273"</x:f>
        <x:v>196188049273</x:v>
      </x:c>
      <x:c r="M103" s="12" t="s">
        <x:v>489</x:v>
      </x:c>
      <x:c r="N103" s="8">
        <x:v>90</x:v>
      </x:c>
      <x:c r="O103" s="11" t="n">
        <x:f>IF(B103="KEEP EXISTING",N103,'Cost Review'!H98)</x:f>
        <x:v>90</x:v>
      </x:c>
      <x:c r="P103" s="8" t="str">
        <x:f t="shared" si="11">IF(B103="EXCLUDE","Excluded",IF(B103="REVIEW MATCH","Review match",IF(B103="KEEP EXISTING","Existing",IF(O103&lt;=0,"MISSING","REVIEW"))))</x:f>
        <x:v>REVIEW</x:v>
      </x:c>
      <x:c r="Q103" s="8">
        <x:v>179</x:v>
      </x:c>
      <x:c r="R103" s="11" t="n">
        <x:f>IF(B103="KEEP EXISTING",Q103,'Cost Review'!J98)</x:f>
        <x:v>179</x:v>
      </x:c>
      <x:c r="S103" s="6" t="str">
        <x:f t="shared" si="12">IF(B103="EXCLUDE","Excluded",IF(B103="REVIEW MATCH","Review match",IF(B103="KEEP EXISTING","Existing",IF(OR(R103&lt;=0,R103&gt;100000),"CHECK","OK"))))</x:f>
        <x:v>OK</x:v>
      </x:c>
      <x:c r="T103" s="9" t="str">
        <x:f>"196188049273"</x:f>
        <x:v>196188049273</x:v>
      </x:c>
      <x:c r="U103" s="10" t="s">
        <x:v>624</x:v>
      </x:c>
      <x:c r="V103" s="6" t="str">
        <x:f t="shared" si="13">IF(B103="EXCLUDE","Excluded",IF(B103="REVIEW MATCH","Review match",IF(B103="KEEP EXISTING","Existing",IF(U103="","MISSING","FOUND"))))</x:f>
        <x:v>FOUND</x:v>
      </x:c>
      <x:c r="W103" s="9">
        <x:v>1</x:v>
      </x:c>
      <x:c r="X103" s="9">
        <x:v>0</x:v>
      </x:c>
      <x:c r="Y103" s="6" t="str">
        <x:f>IF(B103="EXCLUDE","Excluded by user",IF(B103="REVIEW MATCH","Review current POS match",IF(B103="KEEP EXISTING","Already in POS",IF(O103&lt;=0,"Blocked: cost",IF(OR(R103&lt;=0,R103&gt;100000),"Blocked: retail",IF(U103="","Blocked: image",IF('Summary'!$B$3="APPROVED","READY","Pending approval")))))))</x:f>
        <x:v>Pending approval</x:v>
      </x:c>
      <x:c r="Z103" s="6" t="str">
        <x:v>Source stock 1 is reference only; POS starts at 0.</x:v>
      </x:c>
    </x:row>
    <x:row r="104" ht="43.5">
      <x:c r="A104" s="12" t="s">
        <x:v>284</x:v>
      </x:c>
      <x:c r="B104" s="6" t="str">
        <x:v>IMPORT</x:v>
      </x:c>
      <x:c r="C104" s="6"/>
      <x:c r="D104" s="6"/>
      <x:c r="E104" s="6" t="s">
        <x:v>497</x:v>
      </x:c>
      <x:c r="F104" s="6" t="s">
        <x:v>52</x:v>
      </x:c>
      <x:c r="G104" s="6" t="s">
        <x:v>58</x:v>
      </x:c>
      <x:c r="H104" s="6" t="s">
        <x:v>285</x:v>
      </x:c>
      <x:c r="I104" s="10" t="s">
        <x:v>285</x:v>
      </x:c>
      <x:c r="J104" s="10" t="s">
        <x:v>262</x:v>
      </x:c>
      <x:c r="K104" s="9" t="str">
        <x:f>"196188046074"</x:f>
        <x:v>196188046074</x:v>
      </x:c>
      <x:c r="L104" s="9" t="str">
        <x:f>"196188046074"</x:f>
        <x:v>196188046074</x:v>
      </x:c>
      <x:c r="M104" s="12" t="s">
        <x:v>489</x:v>
      </x:c>
      <x:c r="N104" s="8">
        <x:v>90</x:v>
      </x:c>
      <x:c r="O104" s="11" t="n">
        <x:f>IF(B104="KEEP EXISTING",N104,'Cost Review'!H99)</x:f>
        <x:v>90</x:v>
      </x:c>
      <x:c r="P104" s="8" t="str">
        <x:f t="shared" si="11">IF(B104="EXCLUDE","Excluded",IF(B104="REVIEW MATCH","Review match",IF(B104="KEEP EXISTING","Existing",IF(O104&lt;=0,"MISSING","REVIEW"))))</x:f>
        <x:v>REVIEW</x:v>
      </x:c>
      <x:c r="Q104" s="8">
        <x:v>179</x:v>
      </x:c>
      <x:c r="R104" s="11" t="n">
        <x:f>IF(B104="KEEP EXISTING",Q104,'Cost Review'!J99)</x:f>
        <x:v>179</x:v>
      </x:c>
      <x:c r="S104" s="6" t="str">
        <x:f t="shared" si="12">IF(B104="EXCLUDE","Excluded",IF(B104="REVIEW MATCH","Review match",IF(B104="KEEP EXISTING","Existing",IF(OR(R104&lt;=0,R104&gt;100000),"CHECK","OK"))))</x:f>
        <x:v>OK</x:v>
      </x:c>
      <x:c r="T104" s="9" t="str">
        <x:f>"196188046074"</x:f>
        <x:v>196188046074</x:v>
      </x:c>
      <x:c r="U104" s="10" t="s">
        <x:v>625</x:v>
      </x:c>
      <x:c r="V104" s="6" t="str">
        <x:f t="shared" si="13">IF(B104="EXCLUDE","Excluded",IF(B104="REVIEW MATCH","Review match",IF(B104="KEEP EXISTING","Existing",IF(U104="","MISSING","FOUND"))))</x:f>
        <x:v>FOUND</x:v>
      </x:c>
      <x:c r="W104" s="9">
        <x:v>1</x:v>
      </x:c>
      <x:c r="X104" s="9">
        <x:v>0</x:v>
      </x:c>
      <x:c r="Y104" s="6" t="str">
        <x:f>IF(B104="EXCLUDE","Excluded by user",IF(B104="REVIEW MATCH","Review current POS match",IF(B104="KEEP EXISTING","Already in POS",IF(O104&lt;=0,"Blocked: cost",IF(OR(R104&lt;=0,R104&gt;100000),"Blocked: retail",IF(U104="","Blocked: image",IF('Summary'!$B$3="APPROVED","READY","Pending approval")))))))</x:f>
        <x:v>Pending approval</x:v>
      </x:c>
      <x:c r="Z104" s="6" t="str">
        <x:v>Source stock 1 is reference only; POS starts at 0.</x:v>
      </x:c>
    </x:row>
    <x:row r="105" ht="43.5">
      <x:c r="A105" s="12" t="s">
        <x:v>286</x:v>
      </x:c>
      <x:c r="B105" s="6" t="str">
        <x:v>IMPORT</x:v>
      </x:c>
      <x:c r="C105" s="6"/>
      <x:c r="D105" s="6"/>
      <x:c r="E105" s="6" t="s">
        <x:v>497</x:v>
      </x:c>
      <x:c r="F105" s="6" t="s">
        <x:v>52</x:v>
      </x:c>
      <x:c r="G105" s="6" t="s">
        <x:v>58</x:v>
      </x:c>
      <x:c r="H105" s="6" t="s">
        <x:v>287</x:v>
      </x:c>
      <x:c r="I105" s="10" t="s">
        <x:v>287</x:v>
      </x:c>
      <x:c r="J105" s="10" t="s">
        <x:v>262</x:v>
      </x:c>
      <x:c r="K105" s="9" t="str">
        <x:f>"196188048948"</x:f>
        <x:v>196188048948</x:v>
      </x:c>
      <x:c r="L105" s="9" t="str">
        <x:f>"196188048948"</x:f>
        <x:v>196188048948</x:v>
      </x:c>
      <x:c r="M105" s="12" t="s">
        <x:v>489</x:v>
      </x:c>
      <x:c r="N105" s="8">
        <x:v>90</x:v>
      </x:c>
      <x:c r="O105" s="11" t="n">
        <x:f>IF(B105="KEEP EXISTING",N105,'Cost Review'!H100)</x:f>
        <x:v>90</x:v>
      </x:c>
      <x:c r="P105" s="8" t="str">
        <x:f t="shared" si="11">IF(B105="EXCLUDE","Excluded",IF(B105="REVIEW MATCH","Review match",IF(B105="KEEP EXISTING","Existing",IF(O105&lt;=0,"MISSING","REVIEW"))))</x:f>
        <x:v>REVIEW</x:v>
      </x:c>
      <x:c r="Q105" s="8">
        <x:v>179</x:v>
      </x:c>
      <x:c r="R105" s="11" t="n">
        <x:f>IF(B105="KEEP EXISTING",Q105,'Cost Review'!J100)</x:f>
        <x:v>179</x:v>
      </x:c>
      <x:c r="S105" s="6" t="str">
        <x:f t="shared" si="12">IF(B105="EXCLUDE","Excluded",IF(B105="REVIEW MATCH","Review match",IF(B105="KEEP EXISTING","Existing",IF(OR(R105&lt;=0,R105&gt;100000),"CHECK","OK"))))</x:f>
        <x:v>OK</x:v>
      </x:c>
      <x:c r="T105" s="9" t="str">
        <x:f>"196188048948"</x:f>
        <x:v>196188048948</x:v>
      </x:c>
      <x:c r="U105" s="10" t="s">
        <x:v>626</x:v>
      </x:c>
      <x:c r="V105" s="6" t="str">
        <x:f t="shared" si="13">IF(B105="EXCLUDE","Excluded",IF(B105="REVIEW MATCH","Review match",IF(B105="KEEP EXISTING","Existing",IF(U105="","MISSING","FOUND"))))</x:f>
        <x:v>FOUND</x:v>
      </x:c>
      <x:c r="W105" s="9">
        <x:v>0</x:v>
      </x:c>
      <x:c r="X105" s="9">
        <x:v>0</x:v>
      </x:c>
      <x:c r="Y105" s="6" t="str">
        <x:f>IF(B105="EXCLUDE","Excluded by user",IF(B105="REVIEW MATCH","Review current POS match",IF(B105="KEEP EXISTING","Already in POS",IF(O105&lt;=0,"Blocked: cost",IF(OR(R105&lt;=0,R105&gt;100000),"Blocked: retail",IF(U105="","Blocked: image",IF('Summary'!$B$3="APPROVED","READY","Pending approval")))))))</x:f>
        <x:v>Pending approval</x:v>
      </x:c>
      <x:c r="Z105" s="6" t="str"/>
    </x:row>
    <x:row r="106" ht="43.5">
      <x:c r="A106" s="12" t="s">
        <x:v>288</x:v>
      </x:c>
      <x:c r="B106" s="6" t="str">
        <x:v>IMPORT</x:v>
      </x:c>
      <x:c r="C106" s="6"/>
      <x:c r="D106" s="6"/>
      <x:c r="E106" s="6" t="s">
        <x:v>497</x:v>
      </x:c>
      <x:c r="F106" s="6" t="s">
        <x:v>52</x:v>
      </x:c>
      <x:c r="G106" s="6" t="s">
        <x:v>58</x:v>
      </x:c>
      <x:c r="H106" s="6" t="s">
        <x:v>289</x:v>
      </x:c>
      <x:c r="I106" s="10" t="s">
        <x:v>289</x:v>
      </x:c>
      <x:c r="J106" s="10" t="s">
        <x:v>262</x:v>
      </x:c>
      <x:c r="K106" s="9" t="str">
        <x:f>"196188042779"</x:f>
        <x:v>196188042779</x:v>
      </x:c>
      <x:c r="L106" s="9" t="str">
        <x:f>"196188042779"</x:f>
        <x:v>196188042779</x:v>
      </x:c>
      <x:c r="M106" s="12" t="s">
        <x:v>489</x:v>
      </x:c>
      <x:c r="N106" s="8">
        <x:v>90</x:v>
      </x:c>
      <x:c r="O106" s="11" t="n">
        <x:f>IF(B106="KEEP EXISTING",N106,'Cost Review'!H101)</x:f>
        <x:v>90</x:v>
      </x:c>
      <x:c r="P106" s="8" t="str">
        <x:f t="shared" si="11">IF(B106="EXCLUDE","Excluded",IF(B106="REVIEW MATCH","Review match",IF(B106="KEEP EXISTING","Existing",IF(O106&lt;=0,"MISSING","REVIEW"))))</x:f>
        <x:v>REVIEW</x:v>
      </x:c>
      <x:c r="Q106" s="8">
        <x:v>179</x:v>
      </x:c>
      <x:c r="R106" s="11" t="n">
        <x:f>IF(B106="KEEP EXISTING",Q106,'Cost Review'!J101)</x:f>
        <x:v>179</x:v>
      </x:c>
      <x:c r="S106" s="6" t="str">
        <x:f t="shared" si="12">IF(B106="EXCLUDE","Excluded",IF(B106="REVIEW MATCH","Review match",IF(B106="KEEP EXISTING","Existing",IF(OR(R106&lt;=0,R106&gt;100000),"CHECK","OK"))))</x:f>
        <x:v>OK</x:v>
      </x:c>
      <x:c r="T106" s="9" t="str">
        <x:f>"196188042779"</x:f>
        <x:v>196188042779</x:v>
      </x:c>
      <x:c r="U106" s="10" t="s">
        <x:v>627</x:v>
      </x:c>
      <x:c r="V106" s="6" t="str">
        <x:f t="shared" si="13">IF(B106="EXCLUDE","Excluded",IF(B106="REVIEW MATCH","Review match",IF(B106="KEEP EXISTING","Existing",IF(U106="","MISSING","FOUND"))))</x:f>
        <x:v>FOUND</x:v>
      </x:c>
      <x:c r="W106" s="9">
        <x:v>1</x:v>
      </x:c>
      <x:c r="X106" s="9">
        <x:v>0</x:v>
      </x:c>
      <x:c r="Y106" s="6" t="str">
        <x:f>IF(B106="EXCLUDE","Excluded by user",IF(B106="REVIEW MATCH","Review current POS match",IF(B106="KEEP EXISTING","Already in POS",IF(O106&lt;=0,"Blocked: cost",IF(OR(R106&lt;=0,R106&gt;100000),"Blocked: retail",IF(U106="","Blocked: image",IF('Summary'!$B$3="APPROVED","READY","Pending approval")))))))</x:f>
        <x:v>Pending approval</x:v>
      </x:c>
      <x:c r="Z106" s="6" t="str">
        <x:v>Source stock 1 is reference only; POS starts at 0.</x:v>
      </x:c>
    </x:row>
    <x:row r="107" ht="43.5">
      <x:c r="A107" s="12" t="s">
        <x:v>290</x:v>
      </x:c>
      <x:c r="B107" s="6" t="str">
        <x:v>IMPORT</x:v>
      </x:c>
      <x:c r="C107" s="6"/>
      <x:c r="D107" s="6"/>
      <x:c r="E107" s="6" t="s">
        <x:v>541</x:v>
      </x:c>
      <x:c r="F107" s="6" t="s">
        <x:v>52</x:v>
      </x:c>
      <x:c r="G107" s="6" t="s">
        <x:v>58</x:v>
      </x:c>
      <x:c r="H107" s="6" t="s">
        <x:v>628</x:v>
      </x:c>
      <x:c r="I107" s="10" t="s">
        <x:v>628</x:v>
      </x:c>
      <x:c r="J107" s="10" t="s">
        <x:v>37</x:v>
      </x:c>
      <x:c r="K107" s="9" t="str">
        <x:f>"302949478033"</x:f>
        <x:v>302949478033</x:v>
      </x:c>
      <x:c r="L107" s="9" t="str">
        <x:f>"302949478033"</x:f>
        <x:v>302949478033</x:v>
      </x:c>
      <x:c r="M107" s="12" t="s">
        <x:v>489</x:v>
      </x:c>
      <x:c r="N107" s="8">
        <x:v>10</x:v>
      </x:c>
      <x:c r="O107" s="11" t="n">
        <x:f>IF(B107="KEEP EXISTING",N107,'Cost Review'!H102)</x:f>
        <x:v>15</x:v>
      </x:c>
      <x:c r="P107" s="8" t="str">
        <x:f t="shared" si="11">IF(B107="EXCLUDE","Excluded",IF(B107="REVIEW MATCH","Review match",IF(B107="KEEP EXISTING","Existing",IF(O107&lt;=0,"MISSING","REVIEW"))))</x:f>
        <x:v>REVIEW</x:v>
      </x:c>
      <x:c r="Q107" s="8">
        <x:v>69</x:v>
      </x:c>
      <x:c r="R107" s="11" t="n">
        <x:f>IF(B107="KEEP EXISTING",Q107,'Cost Review'!J102)</x:f>
        <x:v>69</x:v>
      </x:c>
      <x:c r="S107" s="6" t="str">
        <x:f t="shared" si="12">IF(B107="EXCLUDE","Excluded",IF(B107="REVIEW MATCH","Review match",IF(B107="KEEP EXISTING","Existing",IF(OR(R107&lt;=0,R107&gt;100000),"CHECK","OK"))))</x:f>
        <x:v>OK</x:v>
      </x:c>
      <x:c r="T107" s="9" t="str">
        <x:f>"302949478033"</x:f>
        <x:v>302949478033</x:v>
      </x:c>
      <x:c r="U107" s="10" t="s">
        <x:v>629</x:v>
      </x:c>
      <x:c r="V107" s="6" t="str">
        <x:f t="shared" si="13">IF(B107="EXCLUDE","Excluded",IF(B107="REVIEW MATCH","Review match",IF(B107="KEEP EXISTING","Existing",IF(U107="","MISSING","FOUND"))))</x:f>
        <x:v>FOUND</x:v>
      </x:c>
      <x:c r="W107" s="9">
        <x:v>2</x:v>
      </x:c>
      <x:c r="X107" s="9">
        <x:v>0</x:v>
      </x:c>
      <x:c r="Y107" s="6" t="str">
        <x:f>IF(B107="EXCLUDE","Excluded by user",IF(B107="REVIEW MATCH","Review current POS match",IF(B107="KEEP EXISTING","Already in POS",IF(O107&lt;=0,"Blocked: cost",IF(OR(R107&lt;=0,R107&gt;100000),"Blocked: retail",IF(U107="","Blocked: image",IF('Summary'!$B$3="APPROVED","READY","Pending approval")))))))</x:f>
        <x:v>Pending approval</x:v>
      </x:c>
      <x:c r="Z107" s="6" t="str">
        <x:v>Source stock 2 is reference only; POS starts at 0.</x:v>
      </x:c>
    </x:row>
    <x:row r="108" ht="43.5">
      <x:c r="A108" s="12" t="s">
        <x:v>292</x:v>
      </x:c>
      <x:c r="B108" s="25" t="str">
        <x:v>EXCLUDE</x:v>
      </x:c>
      <x:c r="C108" s="6"/>
      <x:c r="D108" s="6"/>
      <x:c r="E108" s="6" t="s">
        <x:v>541</x:v>
      </x:c>
      <x:c r="F108" s="6" t="s">
        <x:v>52</x:v>
      </x:c>
      <x:c r="G108" s="6" t="s">
        <x:v>58</x:v>
      </x:c>
      <x:c r="H108" s="6" t="s">
        <x:v>293</x:v>
      </x:c>
      <x:c r="I108" s="10" t="s">
        <x:v>293</x:v>
      </x:c>
      <x:c r="J108" s="10" t="s">
        <x:v>37</x:v>
      </x:c>
      <x:c r="K108" s="9" t="str">
        <x:f>"384483204910"</x:f>
        <x:v>384483204910</x:v>
      </x:c>
      <x:c r="L108" s="9" t="str">
        <x:f>"384483204910"</x:f>
        <x:v>384483204910</x:v>
      </x:c>
      <x:c r="M108" s="12" t="s">
        <x:v>489</x:v>
      </x:c>
      <x:c r="N108" s="8">
        <x:v>20</x:v>
      </x:c>
      <x:c r="O108" s="11" t="n">
        <x:f>IF(B108="KEEP EXISTING",N108,'Cost Review'!H103)</x:f>
        <x:v>20</x:v>
      </x:c>
      <x:c r="P108" s="8" t="str">
        <x:f t="shared" si="11">IF(B108="EXCLUDE","Excluded",IF(B108="REVIEW MATCH","Review match",IF(B108="KEEP EXISTING","Existing",IF(O108&lt;=0,"MISSING","REVIEW"))))</x:f>
        <x:v>Excluded</x:v>
      </x:c>
      <x:c r="Q108" s="8">
        <x:v>69</x:v>
      </x:c>
      <x:c r="R108" s="11" t="n">
        <x:f>IF(B108="KEEP EXISTING",Q108,'Cost Review'!J103)</x:f>
        <x:v>69</x:v>
      </x:c>
      <x:c r="S108" s="6" t="str">
        <x:f t="shared" si="12">IF(B108="EXCLUDE","Excluded",IF(B108="REVIEW MATCH","Review match",IF(B108="KEEP EXISTING","Existing",IF(OR(R108&lt;=0,R108&gt;100000),"CHECK","OK"))))</x:f>
        <x:v>Excluded</x:v>
      </x:c>
      <x:c r="T108" s="9" t="str">
        <x:f>"384483204910"</x:f>
        <x:v>384483204910</x:v>
      </x:c>
      <x:c r="U108" s="10" t="s">
        <x:v>630</x:v>
      </x:c>
      <x:c r="V108" s="6" t="str">
        <x:f t="shared" si="13">IF(B108="EXCLUDE","Excluded",IF(B108="REVIEW MATCH","Review match",IF(B108="KEEP EXISTING","Existing",IF(U108="","MISSING","FOUND"))))</x:f>
        <x:v>Excluded</x:v>
      </x:c>
      <x:c r="W108" s="9">
        <x:v>0</x:v>
      </x:c>
      <x:c r="X108" s="9">
        <x:v>0</x:v>
      </x:c>
      <x:c r="Y108" s="26" t="str">
        <x:f>IF(B108="EXCLUDE","Excluded by user",IF(B108="REVIEW MATCH","Review current POS match",IF(B108="KEEP EXISTING","Already in POS",IF(O108&lt;=0,"Blocked: cost",IF(OR(R108&lt;=0,R108&gt;100000),"Blocked: retail",IF(U108="","Blocked: image",IF('Summary'!$B$3="APPROVED","READY","Pending approval")))))))</x:f>
        <x:v>Excluded by user</x:v>
      </x:c>
      <x:c r="Z108" s="26" t="str">
        <x:v>USER EXCLUSION: red-marked item; do not import.</x:v>
      </x:c>
    </x:row>
    <x:row r="109" ht="43.5">
      <x:c r="A109" s="12" t="s">
        <x:v>294</x:v>
      </x:c>
      <x:c r="B109" s="25" t="str">
        <x:v>EXCLUDE</x:v>
      </x:c>
      <x:c r="C109" s="6"/>
      <x:c r="D109" s="6"/>
      <x:c r="E109" s="6" t="s">
        <x:v>541</x:v>
      </x:c>
      <x:c r="F109" s="6" t="s">
        <x:v>52</x:v>
      </x:c>
      <x:c r="G109" s="6" t="s">
        <x:v>58</x:v>
      </x:c>
      <x:c r="H109" s="6" t="s">
        <x:v>295</x:v>
      </x:c>
      <x:c r="I109" s="10" t="s">
        <x:v>295</x:v>
      </x:c>
      <x:c r="J109" s="10" t="s">
        <x:v>37</x:v>
      </x:c>
      <x:c r="K109" s="9" t="str">
        <x:f>"6941592742128"</x:f>
        <x:v>6941592742128</x:v>
      </x:c>
      <x:c r="L109" s="9" t="str">
        <x:f>"6941592742128"</x:f>
        <x:v>6941592742128</x:v>
      </x:c>
      <x:c r="M109" s="12" t="s">
        <x:v>489</x:v>
      </x:c>
      <x:c r="N109" s="8">
        <x:v>10</x:v>
      </x:c>
      <x:c r="O109" s="11" t="n">
        <x:f>IF(B109="KEEP EXISTING",N109,'Cost Review'!H104)</x:f>
        <x:v>10</x:v>
      </x:c>
      <x:c r="P109" s="8" t="str">
        <x:f t="shared" si="11">IF(B109="EXCLUDE","Excluded",IF(B109="REVIEW MATCH","Review match",IF(B109="KEEP EXISTING","Existing",IF(O109&lt;=0,"MISSING","REVIEW"))))</x:f>
        <x:v>Excluded</x:v>
      </x:c>
      <x:c r="Q109" s="8">
        <x:v>69</x:v>
      </x:c>
      <x:c r="R109" s="11" t="n">
        <x:f>IF(B109="KEEP EXISTING",Q109,'Cost Review'!J104)</x:f>
        <x:v>69</x:v>
      </x:c>
      <x:c r="S109" s="6" t="str">
        <x:f t="shared" si="12">IF(B109="EXCLUDE","Excluded",IF(B109="REVIEW MATCH","Review match",IF(B109="KEEP EXISTING","Existing",IF(OR(R109&lt;=0,R109&gt;100000),"CHECK","OK"))))</x:f>
        <x:v>Excluded</x:v>
      </x:c>
      <x:c r="T109" s="9" t="str">
        <x:f>"6941592742128"</x:f>
        <x:v>6941592742128</x:v>
      </x:c>
      <x:c r="U109" s="10" t="s">
        <x:v>631</x:v>
      </x:c>
      <x:c r="V109" s="6" t="str">
        <x:f t="shared" si="13">IF(B109="EXCLUDE","Excluded",IF(B109="REVIEW MATCH","Review match",IF(B109="KEEP EXISTING","Existing",IF(U109="","MISSING","FOUND"))))</x:f>
        <x:v>Excluded</x:v>
      </x:c>
      <x:c r="W109" s="9">
        <x:v>1</x:v>
      </x:c>
      <x:c r="X109" s="9">
        <x:v>0</x:v>
      </x:c>
      <x:c r="Y109" s="26" t="str">
        <x:f>IF(B109="EXCLUDE","Excluded by user",IF(B109="REVIEW MATCH","Review current POS match",IF(B109="KEEP EXISTING","Already in POS",IF(O109&lt;=0,"Blocked: cost",IF(OR(R109&lt;=0,R109&gt;100000),"Blocked: retail",IF(U109="","Blocked: image",IF('Summary'!$B$3="APPROVED","READY","Pending approval")))))))</x:f>
        <x:v>Excluded by user</x:v>
      </x:c>
      <x:c r="Z109" s="26" t="str">
        <x:v>Source stock 1 is reference only; POS starts at 0. USER EXCLUSION: red-marked item; do not import.</x:v>
      </x:c>
    </x:row>
    <x:row r="110" ht="29.25">
      <x:c r="A110" s="12" t="s">
        <x:v>296</x:v>
      </x:c>
      <x:c r="B110" s="6" t="str">
        <x:v>IMPORT</x:v>
      </x:c>
      <x:c r="C110" s="6"/>
      <x:c r="D110" s="6"/>
      <x:c r="E110" s="6" t="s">
        <x:v>515</x:v>
      </x:c>
      <x:c r="F110" s="6" t="s">
        <x:v>52</x:v>
      </x:c>
      <x:c r="G110" s="6" t="s">
        <x:v>58</x:v>
      </x:c>
      <x:c r="H110" s="6" t="s">
        <x:v>297</x:v>
      </x:c>
      <x:c r="I110" s="10" t="s">
        <x:v>297</x:v>
      </x:c>
      <x:c r="J110" s="10" t="s">
        <x:v>37</x:v>
      </x:c>
      <x:c r="K110" s="9" t="str">
        <x:f>"6970344732452"</x:f>
        <x:v>6970344732452</x:v>
      </x:c>
      <x:c r="L110" s="9" t="str">
        <x:f>"TM8-COMP-9198"</x:f>
        <x:v>TM8-COMP-9198</x:v>
      </x:c>
      <x:c r="M110" s="12" t="s">
        <x:v>536</x:v>
      </x:c>
      <x:c r="N110" s="8">
        <x:v>4</x:v>
      </x:c>
      <x:c r="O110" s="11" t="n">
        <x:f>IF(B110="KEEP EXISTING",N110,'Cost Review'!H105)</x:f>
        <x:v>4</x:v>
      </x:c>
      <x:c r="P110" s="8" t="str">
        <x:f t="shared" si="11">IF(B110="EXCLUDE","Excluded",IF(B110="REVIEW MATCH","Review match",IF(B110="KEEP EXISTING","Existing",IF(O110&lt;=0,"MISSING","REVIEW"))))</x:f>
        <x:v>REVIEW</x:v>
      </x:c>
      <x:c r="Q110" s="8">
        <x:v>24.99</x:v>
      </x:c>
      <x:c r="R110" s="11" t="n">
        <x:f>IF(B110="KEEP EXISTING",Q110,'Cost Review'!J105)</x:f>
        <x:v>24.99</x:v>
      </x:c>
      <x:c r="S110" s="6" t="str">
        <x:f t="shared" si="12">IF(B110="EXCLUDE","Excluded",IF(B110="REVIEW MATCH","Review match",IF(B110="KEEP EXISTING","Existing",IF(OR(R110&lt;=0,R110&gt;100000),"CHECK","OK"))))</x:f>
        <x:v>OK</x:v>
      </x:c>
      <x:c r="T110" s="9" t="str">
        <x:f>"2998000091983"</x:f>
        <x:v>2998000091983</x:v>
      </x:c>
      <x:c r="U110" s="10" t="s">
        <x:v>632</x:v>
      </x:c>
      <x:c r="V110" s="6" t="str">
        <x:f t="shared" si="13">IF(B110="EXCLUDE","Excluded",IF(B110="REVIEW MATCH","Review match",IF(B110="KEEP EXISTING","Existing",IF(U110="","MISSING","FOUND"))))</x:f>
        <x:v>FOUND</x:v>
      </x:c>
      <x:c r="W110" s="9">
        <x:v>0</x:v>
      </x:c>
      <x:c r="X110" s="9">
        <x:v>0</x:v>
      </x:c>
      <x:c r="Y110" s="6" t="str">
        <x:f>IF(B110="EXCLUDE","Excluded by user",IF(B110="REVIEW MATCH","Review current POS match",IF(B110="KEEP EXISTING","Already in POS",IF(O110&lt;=0,"Blocked: cost",IF(OR(R110&lt;=0,R110&gt;100000),"Blocked: retail",IF(U110="","Blocked: image",IF('Summary'!$B$3="APPROVED","READY","Pending approval")))))))</x:f>
        <x:v>Pending approval</x:v>
      </x:c>
      <x:c r="Z110" s="6" t="str"/>
    </x:row>
    <x:row r="111" ht="43.5">
      <x:c r="A111" s="12" t="s">
        <x:v>298</x:v>
      </x:c>
      <x:c r="B111" s="6" t="str">
        <x:v>IMPORT</x:v>
      </x:c>
      <x:c r="C111" s="6"/>
      <x:c r="D111" s="6"/>
      <x:c r="E111" s="6" t="s">
        <x:v>528</x:v>
      </x:c>
      <x:c r="F111" s="6" t="s">
        <x:v>52</x:v>
      </x:c>
      <x:c r="G111" s="6" t="s">
        <x:v>123</x:v>
      </x:c>
      <x:c r="H111" s="6" t="s">
        <x:v>299</x:v>
      </x:c>
      <x:c r="I111" s="10" t="s">
        <x:v>299</x:v>
      </x:c>
      <x:c r="J111" s="10" t="s">
        <x:v>37</x:v>
      </x:c>
      <x:c r="K111" s="9" t="str">
        <x:f>"281783162660"</x:f>
        <x:v>281783162660</x:v>
      </x:c>
      <x:c r="L111" s="9" t="str">
        <x:f>"281783162660"</x:f>
        <x:v>281783162660</x:v>
      </x:c>
      <x:c r="M111" s="12" t="s">
        <x:v>489</x:v>
      </x:c>
      <x:c r="N111" s="8">
        <x:v>5</x:v>
      </x:c>
      <x:c r="O111" s="11" t="n">
        <x:f>IF(B111="KEEP EXISTING",N111,'Cost Review'!H106)</x:f>
        <x:v>5</x:v>
      </x:c>
      <x:c r="P111" s="8" t="str">
        <x:f t="shared" si="11">IF(B111="EXCLUDE","Excluded",IF(B111="REVIEW MATCH","Review match",IF(B111="KEEP EXISTING","Existing",IF(O111&lt;=0,"MISSING","REVIEW"))))</x:f>
        <x:v>REVIEW</x:v>
      </x:c>
      <x:c r="Q111" s="8">
        <x:v>15.99</x:v>
      </x:c>
      <x:c r="R111" s="11" t="n">
        <x:f>IF(B111="KEEP EXISTING",Q111,'Cost Review'!J106)</x:f>
        <x:v>15.99</x:v>
      </x:c>
      <x:c r="S111" s="6" t="str">
        <x:f t="shared" si="12">IF(B111="EXCLUDE","Excluded",IF(B111="REVIEW MATCH","Review match",IF(B111="KEEP EXISTING","Existing",IF(OR(R111&lt;=0,R111&gt;100000),"CHECK","OK"))))</x:f>
        <x:v>OK</x:v>
      </x:c>
      <x:c r="T111" s="9" t="str">
        <x:f>"281783162660"</x:f>
        <x:v>281783162660</x:v>
      </x:c>
      <x:c r="U111" s="10" t="s">
        <x:v>633</x:v>
      </x:c>
      <x:c r="V111" s="6" t="str">
        <x:f t="shared" si="13">IF(B111="EXCLUDE","Excluded",IF(B111="REVIEW MATCH","Review match",IF(B111="KEEP EXISTING","Existing",IF(U111="","MISSING","FOUND"))))</x:f>
        <x:v>FOUND</x:v>
      </x:c>
      <x:c r="W111" s="9">
        <x:v>0</x:v>
      </x:c>
      <x:c r="X111" s="9">
        <x:v>0</x:v>
      </x:c>
      <x:c r="Y111" s="6" t="str">
        <x:f>IF(B111="EXCLUDE","Excluded by user",IF(B111="REVIEW MATCH","Review current POS match",IF(B111="KEEP EXISTING","Already in POS",IF(O111&lt;=0,"Blocked: cost",IF(OR(R111&lt;=0,R111&gt;100000),"Blocked: retail",IF(U111="","Blocked: image",IF('Summary'!$B$3="APPROVED","READY","Pending approval")))))))</x:f>
        <x:v>Pending approval</x:v>
      </x:c>
      <x:c r="Z111" s="6" t="str"/>
    </x:row>
    <x:row r="112" ht="43.5">
      <x:c r="A112" s="12" t="s">
        <x:v>300</x:v>
      </x:c>
      <x:c r="B112" s="6" t="str">
        <x:v>IMPORT</x:v>
      </x:c>
      <x:c r="C112" s="6"/>
      <x:c r="D112" s="6"/>
      <x:c r="E112" s="6" t="s">
        <x:v>528</x:v>
      </x:c>
      <x:c r="F112" s="6" t="s">
        <x:v>52</x:v>
      </x:c>
      <x:c r="G112" s="6" t="s">
        <x:v>123</x:v>
      </x:c>
      <x:c r="H112" s="6" t="s">
        <x:v>301</x:v>
      </x:c>
      <x:c r="I112" s="10" t="s">
        <x:v>301</x:v>
      </x:c>
      <x:c r="J112" s="10" t="s">
        <x:v>37</x:v>
      </x:c>
      <x:c r="K112" s="9" t="str">
        <x:f>"6972989040367"</x:f>
        <x:v>6972989040367</x:v>
      </x:c>
      <x:c r="L112" s="9" t="str">
        <x:f>"6972989040367"</x:f>
        <x:v>6972989040367</x:v>
      </x:c>
      <x:c r="M112" s="12" t="s">
        <x:v>489</x:v>
      </x:c>
      <x:c r="N112" s="8">
        <x:v>9</x:v>
      </x:c>
      <x:c r="O112" s="11" t="n">
        <x:f>IF(B112="KEEP EXISTING",N112,'Cost Review'!H107)</x:f>
        <x:v>9</x:v>
      </x:c>
      <x:c r="P112" s="8" t="str">
        <x:f t="shared" si="11">IF(B112="EXCLUDE","Excluded",IF(B112="REVIEW MATCH","Review match",IF(B112="KEEP EXISTING","Existing",IF(O112&lt;=0,"MISSING","REVIEW"))))</x:f>
        <x:v>REVIEW</x:v>
      </x:c>
      <x:c r="Q112" s="8">
        <x:v>39.950000000000003</x:v>
      </x:c>
      <x:c r="R112" s="11" t="n">
        <x:f>IF(B112="KEEP EXISTING",Q112,'Cost Review'!J107)</x:f>
        <x:v>39.95</x:v>
      </x:c>
      <x:c r="S112" s="6" t="str">
        <x:f t="shared" si="12">IF(B112="EXCLUDE","Excluded",IF(B112="REVIEW MATCH","Review match",IF(B112="KEEP EXISTING","Existing",IF(OR(R112&lt;=0,R112&gt;100000),"CHECK","OK"))))</x:f>
        <x:v>OK</x:v>
      </x:c>
      <x:c r="T112" s="9" t="str">
        <x:f>"6972989040367"</x:f>
        <x:v>6972989040367</x:v>
      </x:c>
      <x:c r="U112" s="10" t="s">
        <x:v>634</x:v>
      </x:c>
      <x:c r="V112" s="6" t="str">
        <x:f t="shared" si="13">IF(B112="EXCLUDE","Excluded",IF(B112="REVIEW MATCH","Review match",IF(B112="KEEP EXISTING","Existing",IF(U112="","MISSING","FOUND"))))</x:f>
        <x:v>FOUND</x:v>
      </x:c>
      <x:c r="W112" s="9">
        <x:v>4</x:v>
      </x:c>
      <x:c r="X112" s="9">
        <x:v>0</x:v>
      </x:c>
      <x:c r="Y112" s="6" t="str">
        <x:f>IF(B112="EXCLUDE","Excluded by user",IF(B112="REVIEW MATCH","Review current POS match",IF(B112="KEEP EXISTING","Already in POS",IF(O112&lt;=0,"Blocked: cost",IF(OR(R112&lt;=0,R112&gt;100000),"Blocked: retail",IF(U112="","Blocked: image",IF('Summary'!$B$3="APPROVED","READY","Pending approval")))))))</x:f>
        <x:v>Pending approval</x:v>
      </x:c>
      <x:c r="Z112" s="6" t="str">
        <x:v>Source stock 4 is reference only; POS starts at 0.</x:v>
      </x:c>
    </x:row>
    <x:row r="113" ht="43.5">
      <x:c r="A113" s="12" t="s">
        <x:v>302</x:v>
      </x:c>
      <x:c r="B113" s="6" t="str">
        <x:v>IMPORT</x:v>
      </x:c>
      <x:c r="C113" s="6"/>
      <x:c r="D113" s="6"/>
      <x:c r="E113" s="6" t="s">
        <x:v>528</x:v>
      </x:c>
      <x:c r="F113" s="6" t="s">
        <x:v>52</x:v>
      </x:c>
      <x:c r="G113" s="6" t="s">
        <x:v>123</x:v>
      </x:c>
      <x:c r="H113" s="6" t="s">
        <x:v>303</x:v>
      </x:c>
      <x:c r="I113" s="10" t="s">
        <x:v>303</x:v>
      </x:c>
      <x:c r="J113" s="10" t="s">
        <x:v>37</x:v>
      </x:c>
      <x:c r="K113" s="9" t="str">
        <x:f>"6972989041326"</x:f>
        <x:v>6972989041326</x:v>
      </x:c>
      <x:c r="L113" s="9" t="str">
        <x:f>"6972989041326"</x:f>
        <x:v>6972989041326</x:v>
      </x:c>
      <x:c r="M113" s="12" t="s">
        <x:v>489</x:v>
      </x:c>
      <x:c r="N113" s="8">
        <x:v>17</x:v>
      </x:c>
      <x:c r="O113" s="11" t="n">
        <x:f>IF(B113="KEEP EXISTING",N113,'Cost Review'!H108)</x:f>
        <x:v>17</x:v>
      </x:c>
      <x:c r="P113" s="8" t="str">
        <x:f t="shared" si="11">IF(B113="EXCLUDE","Excluded",IF(B113="REVIEW MATCH","Review match",IF(B113="KEEP EXISTING","Existing",IF(O113&lt;=0,"MISSING","REVIEW"))))</x:f>
        <x:v>REVIEW</x:v>
      </x:c>
      <x:c r="Q113" s="8">
        <x:v>39.950000000000003</x:v>
      </x:c>
      <x:c r="R113" s="11" t="n">
        <x:f>IF(B113="KEEP EXISTING",Q113,'Cost Review'!J108)</x:f>
        <x:v>39.95</x:v>
      </x:c>
      <x:c r="S113" s="6" t="str">
        <x:f t="shared" si="12">IF(B113="EXCLUDE","Excluded",IF(B113="REVIEW MATCH","Review match",IF(B113="KEEP EXISTING","Existing",IF(OR(R113&lt;=0,R113&gt;100000),"CHECK","OK"))))</x:f>
        <x:v>OK</x:v>
      </x:c>
      <x:c r="T113" s="9" t="str">
        <x:f>"6972989041326"</x:f>
        <x:v>6972989041326</x:v>
      </x:c>
      <x:c r="U113" s="10" t="s">
        <x:v>635</x:v>
      </x:c>
      <x:c r="V113" s="6" t="str">
        <x:f t="shared" si="13">IF(B113="EXCLUDE","Excluded",IF(B113="REVIEW MATCH","Review match",IF(B113="KEEP EXISTING","Existing",IF(U113="","MISSING","FOUND"))))</x:f>
        <x:v>FOUND</x:v>
      </x:c>
      <x:c r="W113" s="9">
        <x:v>1</x:v>
      </x:c>
      <x:c r="X113" s="9">
        <x:v>0</x:v>
      </x:c>
      <x:c r="Y113" s="6" t="str">
        <x:f>IF(B113="EXCLUDE","Excluded by user",IF(B113="REVIEW MATCH","Review current POS match",IF(B113="KEEP EXISTING","Already in POS",IF(O113&lt;=0,"Blocked: cost",IF(OR(R113&lt;=0,R113&gt;100000),"Blocked: retail",IF(U113="","Blocked: image",IF('Summary'!$B$3="APPROVED","READY","Pending approval")))))))</x:f>
        <x:v>Pending approval</x:v>
      </x:c>
      <x:c r="Z113" s="6" t="str">
        <x:v>Source stock 1 is reference only; POS starts at 0.</x:v>
      </x:c>
    </x:row>
    <x:row r="114" ht="43.5">
      <x:c r="A114" s="12" t="s">
        <x:v>304</x:v>
      </x:c>
      <x:c r="B114" s="6" t="str">
        <x:v>IMPORT</x:v>
      </x:c>
      <x:c r="C114" s="6"/>
      <x:c r="D114" s="6"/>
      <x:c r="E114" s="6" t="s">
        <x:v>528</x:v>
      </x:c>
      <x:c r="F114" s="6" t="s">
        <x:v>52</x:v>
      </x:c>
      <x:c r="G114" s="6" t="s">
        <x:v>123</x:v>
      </x:c>
      <x:c r="H114" s="6" t="s">
        <x:v>305</x:v>
      </x:c>
      <x:c r="I114" s="10" t="s">
        <x:v>305</x:v>
      </x:c>
      <x:c r="J114" s="10" t="s">
        <x:v>122</x:v>
      </x:c>
      <x:c r="K114" s="9" t="str">
        <x:f>"9166454"</x:f>
        <x:v>9166454</x:v>
      </x:c>
      <x:c r="L114" s="9" t="str">
        <x:f>"9166454"</x:f>
        <x:v>9166454</x:v>
      </x:c>
      <x:c r="M114" s="12" t="s">
        <x:v>489</x:v>
      </x:c>
      <x:c r="N114" s="8">
        <x:v>7</x:v>
      </x:c>
      <x:c r="O114" s="11" t="n">
        <x:f>IF(B114="KEEP EXISTING",N114,'Cost Review'!H109)</x:f>
        <x:v>7</x:v>
      </x:c>
      <x:c r="P114" s="8" t="str">
        <x:f t="shared" si="11">IF(B114="EXCLUDE","Excluded",IF(B114="REVIEW MATCH","Review match",IF(B114="KEEP EXISTING","Existing",IF(O114&lt;=0,"MISSING","REVIEW"))))</x:f>
        <x:v>REVIEW</x:v>
      </x:c>
      <x:c r="Q114" s="8">
        <x:v>25</x:v>
      </x:c>
      <x:c r="R114" s="11" t="n">
        <x:f>IF(B114="KEEP EXISTING",Q114,'Cost Review'!J109)</x:f>
        <x:v>25</x:v>
      </x:c>
      <x:c r="S114" s="6" t="str">
        <x:f t="shared" si="12">IF(B114="EXCLUDE","Excluded",IF(B114="REVIEW MATCH","Review match",IF(B114="KEEP EXISTING","Existing",IF(OR(R114&lt;=0,R114&gt;100000),"CHECK","OK"))))</x:f>
        <x:v>OK</x:v>
      </x:c>
      <x:c r="T114" s="9" t="str">
        <x:f>"2998000091662"</x:f>
        <x:v>2998000091662</x:v>
      </x:c>
      <x:c r="U114" s="10" t="s">
        <x:v>636</x:v>
      </x:c>
      <x:c r="V114" s="6" t="str">
        <x:f t="shared" si="13">IF(B114="EXCLUDE","Excluded",IF(B114="REVIEW MATCH","Review match",IF(B114="KEEP EXISTING","Existing",IF(U114="","MISSING","FOUND"))))</x:f>
        <x:v>FOUND</x:v>
      </x:c>
      <x:c r="W114" s="9">
        <x:v>8</x:v>
      </x:c>
      <x:c r="X114" s="9">
        <x:v>0</x:v>
      </x:c>
      <x:c r="Y114" s="6" t="str">
        <x:f>IF(B114="EXCLUDE","Excluded by user",IF(B114="REVIEW MATCH","Review current POS match",IF(B114="KEEP EXISTING","Already in POS",IF(O114&lt;=0,"Blocked: cost",IF(OR(R114&lt;=0,R114&gt;100000),"Blocked: retail",IF(U114="","Blocked: image",IF('Summary'!$B$3="APPROVED","READY","Pending approval")))))))</x:f>
        <x:v>Pending approval</x:v>
      </x:c>
      <x:c r="Z114" s="6" t="str">
        <x:v>Source stock 8 is reference only; POS starts at 0.</x:v>
      </x:c>
    </x:row>
    <x:row r="115" ht="29.25">
      <x:c r="A115" s="12" t="s">
        <x:v>306</x:v>
      </x:c>
      <x:c r="B115" s="25" t="str">
        <x:v>EXCLUDE</x:v>
      </x:c>
      <x:c r="C115" s="6"/>
      <x:c r="D115" s="6"/>
      <x:c r="E115" s="6" t="s">
        <x:v>573</x:v>
      </x:c>
      <x:c r="F115" s="6" t="s">
        <x:v>52</x:v>
      </x:c>
      <x:c r="G115" s="6" t="s">
        <x:v>211</x:v>
      </x:c>
      <x:c r="H115" s="6" t="s">
        <x:v>307</x:v>
      </x:c>
      <x:c r="I115" s="10" t="s">
        <x:v>307</x:v>
      </x:c>
      <x:c r="J115" s="10" t="s">
        <x:v>308</x:v>
      </x:c>
      <x:c r="K115" s="9" t="str">
        <x:f>"6935364088897"</x:f>
        <x:v>6935364088897</x:v>
      </x:c>
      <x:c r="L115" s="9" t="str">
        <x:f>"6935364088897"</x:f>
        <x:v>6935364088897</x:v>
      </x:c>
      <x:c r="M115" s="12" t="s">
        <x:v>489</x:v>
      </x:c>
      <x:c r="N115" s="8">
        <x:v>0</x:v>
      </x:c>
      <x:c r="O115" s="11" t="n">
        <x:f>IF(B115="KEEP EXISTING",N115,'Cost Review'!H110)</x:f>
        <x:v>0</x:v>
      </x:c>
      <x:c r="P115" s="8" t="str">
        <x:f t="shared" si="11">IF(B115="EXCLUDE","Excluded",IF(B115="REVIEW MATCH","Review match",IF(B115="KEEP EXISTING","Existing",IF(O115&lt;=0,"MISSING","REVIEW"))))</x:f>
        <x:v>Excluded</x:v>
      </x:c>
      <x:c r="Q115" s="8">
        <x:v>99</x:v>
      </x:c>
      <x:c r="R115" s="11" t="n">
        <x:f>IF(B115="KEEP EXISTING",Q115,'Cost Review'!J110)</x:f>
        <x:v>99</x:v>
      </x:c>
      <x:c r="S115" s="6" t="str">
        <x:f t="shared" si="12">IF(B115="EXCLUDE","Excluded",IF(B115="REVIEW MATCH","Review match",IF(B115="KEEP EXISTING","Existing",IF(OR(R115&lt;=0,R115&gt;100000),"CHECK","OK"))))</x:f>
        <x:v>Excluded</x:v>
      </x:c>
      <x:c r="T115" s="9" t="str">
        <x:f>"6935364088897"</x:f>
        <x:v>6935364088897</x:v>
      </x:c>
      <x:c r="U115" s="10" t="s">
        <x:v>637</x:v>
      </x:c>
      <x:c r="V115" s="6" t="str">
        <x:f t="shared" si="13">IF(B115="EXCLUDE","Excluded",IF(B115="REVIEW MATCH","Review match",IF(B115="KEEP EXISTING","Existing",IF(U115="","MISSING","FOUND"))))</x:f>
        <x:v>Excluded</x:v>
      </x:c>
      <x:c r="W115" s="9">
        <x:v>0</x:v>
      </x:c>
      <x:c r="X115" s="9">
        <x:v>0</x:v>
      </x:c>
      <x:c r="Y115" s="26" t="str">
        <x:f>IF(B115="EXCLUDE","Excluded by user",IF(B115="REVIEW MATCH","Review current POS match",IF(B115="KEEP EXISTING","Already in POS",IF(O115&lt;=0,"Blocked: cost",IF(OR(R115&lt;=0,R115&gt;100000),"Blocked: retail",IF(U115="","Blocked: image",IF('Summary'!$B$3="APPROVED","READY","Pending approval")))))))</x:f>
        <x:v>Excluded by user</x:v>
      </x:c>
      <x:c r="Z115" s="26" t="str">
        <x:v>Cost must be entered before import. USER EXCLUSION: red-marked item; do not import.</x:v>
      </x:c>
    </x:row>
    <x:row r="116" ht="29.25">
      <x:c r="A116" s="12" t="s">
        <x:v>309</x:v>
      </x:c>
      <x:c r="B116" s="25" t="str">
        <x:v>EXCLUDE</x:v>
      </x:c>
      <x:c r="C116" s="6"/>
      <x:c r="D116" s="6"/>
      <x:c r="E116" s="6" t="s">
        <x:v>573</x:v>
      </x:c>
      <x:c r="F116" s="6" t="s">
        <x:v>52</x:v>
      </x:c>
      <x:c r="G116" s="6" t="s">
        <x:v>211</x:v>
      </x:c>
      <x:c r="H116" s="6" t="s">
        <x:v>310</x:v>
      </x:c>
      <x:c r="I116" s="10" t="s">
        <x:v>310</x:v>
      </x:c>
      <x:c r="J116" s="10" t="s">
        <x:v>308</x:v>
      </x:c>
      <x:c r="K116" s="9" t="str">
        <x:f>"6935364050368"</x:f>
        <x:v>6935364050368</x:v>
      </x:c>
      <x:c r="L116" s="9" t="str">
        <x:f>"6935364050368"</x:f>
        <x:v>6935364050368</x:v>
      </x:c>
      <x:c r="M116" s="12" t="s">
        <x:v>489</x:v>
      </x:c>
      <x:c r="N116" s="8">
        <x:v>0</x:v>
      </x:c>
      <x:c r="O116" s="11" t="n">
        <x:f>IF(B116="KEEP EXISTING",N116,'Cost Review'!H111)</x:f>
        <x:v>0</x:v>
      </x:c>
      <x:c r="P116" s="8" t="str">
        <x:f t="shared" si="11">IF(B116="EXCLUDE","Excluded",IF(B116="REVIEW MATCH","Review match",IF(B116="KEEP EXISTING","Existing",IF(O116&lt;=0,"MISSING","REVIEW"))))</x:f>
        <x:v>Excluded</x:v>
      </x:c>
      <x:c r="Q116" s="8">
        <x:v>55</x:v>
      </x:c>
      <x:c r="R116" s="11" t="n">
        <x:f>IF(B116="KEEP EXISTING",Q116,'Cost Review'!J111)</x:f>
        <x:v>55</x:v>
      </x:c>
      <x:c r="S116" s="6" t="str">
        <x:f t="shared" si="12">IF(B116="EXCLUDE","Excluded",IF(B116="REVIEW MATCH","Review match",IF(B116="KEEP EXISTING","Existing",IF(OR(R116&lt;=0,R116&gt;100000),"CHECK","OK"))))</x:f>
        <x:v>Excluded</x:v>
      </x:c>
      <x:c r="T116" s="9" t="str">
        <x:f>"6935364050368"</x:f>
        <x:v>6935364050368</x:v>
      </x:c>
      <x:c r="U116" s="10" t="s">
        <x:v>638</x:v>
      </x:c>
      <x:c r="V116" s="6" t="str">
        <x:f t="shared" si="13">IF(B116="EXCLUDE","Excluded",IF(B116="REVIEW MATCH","Review match",IF(B116="KEEP EXISTING","Existing",IF(U116="","MISSING","FOUND"))))</x:f>
        <x:v>Excluded</x:v>
      </x:c>
      <x:c r="W116" s="9">
        <x:v>2</x:v>
      </x:c>
      <x:c r="X116" s="9">
        <x:v>0</x:v>
      </x:c>
      <x:c r="Y116" s="26" t="str">
        <x:f>IF(B116="EXCLUDE","Excluded by user",IF(B116="REVIEW MATCH","Review current POS match",IF(B116="KEEP EXISTING","Already in POS",IF(O116&lt;=0,"Blocked: cost",IF(OR(R116&lt;=0,R116&gt;100000),"Blocked: retail",IF(U116="","Blocked: image",IF('Summary'!$B$3="APPROVED","READY","Pending approval")))))))</x:f>
        <x:v>Excluded by user</x:v>
      </x:c>
      <x:c r="Z116" s="26" t="str">
        <x:v>Cost must be entered before import. Source stock 2 is reference only; POS starts at 0. USER EXCLUSION: red-marked item; do not import.</x:v>
      </x:c>
    </x:row>
    <x:row r="117" ht="29.25">
      <x:c r="A117" s="12" t="s">
        <x:v>311</x:v>
      </x:c>
      <x:c r="B117" s="6" t="str">
        <x:v>IMPORT</x:v>
      </x:c>
      <x:c r="C117" s="6"/>
      <x:c r="D117" s="6"/>
      <x:c r="E117" s="6" t="s">
        <x:v>488</x:v>
      </x:c>
      <x:c r="F117" s="6" t="s">
        <x:v>38</x:v>
      </x:c>
      <x:c r="G117" s="6" t="s">
        <x:v>39</x:v>
      </x:c>
      <x:c r="H117" s="6" t="s">
        <x:v>312</x:v>
      </x:c>
      <x:c r="I117" s="10" t="s">
        <x:v>312</x:v>
      </x:c>
      <x:c r="J117" s="10" t="s">
        <x:v>37</x:v>
      </x:c>
      <x:c r="K117" s="9" t="str">
        <x:f>"642410771325"</x:f>
        <x:v>642410771325</x:v>
      </x:c>
      <x:c r="L117" s="9" t="str">
        <x:f>"TM8-COMP-8840"</x:f>
        <x:v>TM8-COMP-8840</x:v>
      </x:c>
      <x:c r="M117" s="12" t="s">
        <x:v>536</x:v>
      </x:c>
      <x:c r="N117" s="8">
        <x:v>0</x:v>
      </x:c>
      <x:c r="O117" s="11" t="n">
        <x:f>IF(B117="KEEP EXISTING",N117,'Cost Review'!H112)</x:f>
        <x:v>8</x:v>
      </x:c>
      <x:c r="P117" s="8" t="str">
        <x:f t="shared" si="11">IF(B117="EXCLUDE","Excluded",IF(B117="REVIEW MATCH","Review match",IF(B117="KEEP EXISTING","Existing",IF(O117&lt;=0,"MISSING","REVIEW"))))</x:f>
        <x:v>REVIEW</x:v>
      </x:c>
      <x:c r="Q117" s="8">
        <x:v>29</x:v>
      </x:c>
      <x:c r="R117" s="11" t="n">
        <x:f>IF(B117="KEEP EXISTING",Q117,'Cost Review'!J112)</x:f>
        <x:v>29</x:v>
      </x:c>
      <x:c r="S117" s="6" t="str">
        <x:f t="shared" si="12">IF(B117="EXCLUDE","Excluded",IF(B117="REVIEW MATCH","Review match",IF(B117="KEEP EXISTING","Existing",IF(OR(R117&lt;=0,R117&gt;100000),"CHECK","OK"))))</x:f>
        <x:v>OK</x:v>
      </x:c>
      <x:c r="T117" s="9" t="str">
        <x:f>"2998000088402"</x:f>
        <x:v>2998000088402</x:v>
      </x:c>
      <x:c r="U117" s="10" t="s">
        <x:v>639</x:v>
      </x:c>
      <x:c r="V117" s="6" t="str">
        <x:f t="shared" si="13">IF(B117="EXCLUDE","Excluded",IF(B117="REVIEW MATCH","Review match",IF(B117="KEEP EXISTING","Existing",IF(U117="","MISSING","FOUND"))))</x:f>
        <x:v>FOUND</x:v>
      </x:c>
      <x:c r="W117" s="9">
        <x:v>-1</x:v>
      </x:c>
      <x:c r="X117" s="9">
        <x:v>0</x:v>
      </x:c>
      <x:c r="Y117" s="6" t="str">
        <x:f>IF(B117="EXCLUDE","Excluded by user",IF(B117="REVIEW MATCH","Review current POS match",IF(B117="KEEP EXISTING","Already in POS",IF(O117&lt;=0,"Blocked: cost",IF(OR(R117&lt;=0,R117&gt;100000),"Blocked: retail",IF(U117="","Blocked: image",IF('Summary'!$B$3="APPROVED","READY","Pending approval")))))))</x:f>
        <x:v>Pending approval</x:v>
      </x:c>
      <x:c r="Z117" s="6" t="str">
        <x:v>Cost must be entered before import. Source stock -1 is reference only; POS starts at 0.</x:v>
      </x:c>
    </x:row>
    <x:row r="118" ht="29.25">
      <x:c r="A118" s="12" t="s">
        <x:v>314</x:v>
      </x:c>
      <x:c r="B118" s="25" t="str">
        <x:v>EXCLUDE</x:v>
      </x:c>
      <x:c r="C118" s="6"/>
      <x:c r="D118" s="6"/>
      <x:c r="E118" s="6" t="s">
        <x:v>488</x:v>
      </x:c>
      <x:c r="F118" s="6" t="s">
        <x:v>38</x:v>
      </x:c>
      <x:c r="G118" s="6" t="s">
        <x:v>39</x:v>
      </x:c>
      <x:c r="H118" s="6" t="s">
        <x:v>315</x:v>
      </x:c>
      <x:c r="I118" s="10" t="s">
        <x:v>315</x:v>
      </x:c>
      <x:c r="J118" s="10" t="s">
        <x:v>37</x:v>
      </x:c>
      <x:c r="K118" s="9" t="str">
        <x:f>"030215178096"</x:f>
        <x:v>030215178096</x:v>
      </x:c>
      <x:c r="L118" s="9" t="str">
        <x:f>"030215178096"</x:f>
        <x:v>030215178096</x:v>
      </x:c>
      <x:c r="M118" s="12" t="s">
        <x:v>489</x:v>
      </x:c>
      <x:c r="N118" s="8">
        <x:v>0</x:v>
      </x:c>
      <x:c r="O118" s="11" t="n">
        <x:f>IF(B118="KEEP EXISTING",N118,'Cost Review'!H113)</x:f>
        <x:v>0</x:v>
      </x:c>
      <x:c r="P118" s="8" t="str">
        <x:f t="shared" si="11">IF(B118="EXCLUDE","Excluded",IF(B118="REVIEW MATCH","Review match",IF(B118="KEEP EXISTING","Existing",IF(O118&lt;=0,"MISSING","REVIEW"))))</x:f>
        <x:v>Excluded</x:v>
      </x:c>
      <x:c r="Q118" s="8">
        <x:v>35</x:v>
      </x:c>
      <x:c r="R118" s="11" t="n">
        <x:f>IF(B118="KEEP EXISTING",Q118,'Cost Review'!J113)</x:f>
        <x:v>35</x:v>
      </x:c>
      <x:c r="S118" s="6" t="str">
        <x:f t="shared" si="12">IF(B118="EXCLUDE","Excluded",IF(B118="REVIEW MATCH","Review match",IF(B118="KEEP EXISTING","Existing",IF(OR(R118&lt;=0,R118&gt;100000),"CHECK","OK"))))</x:f>
        <x:v>Excluded</x:v>
      </x:c>
      <x:c r="T118" s="9" t="str">
        <x:f>"030215178096"</x:f>
        <x:v>030215178096</x:v>
      </x:c>
      <x:c r="U118" s="10" t="s">
        <x:v>640</x:v>
      </x:c>
      <x:c r="V118" s="6" t="str">
        <x:f t="shared" si="13">IF(B118="EXCLUDE","Excluded",IF(B118="REVIEW MATCH","Review match",IF(B118="KEEP EXISTING","Existing",IF(U118="","MISSING","FOUND"))))</x:f>
        <x:v>Excluded</x:v>
      </x:c>
      <x:c r="W118" s="9">
        <x:v>2</x:v>
      </x:c>
      <x:c r="X118" s="9">
        <x:v>0</x:v>
      </x:c>
      <x:c r="Y118" s="26" t="str">
        <x:f>IF(B118="EXCLUDE","Excluded by user",IF(B118="REVIEW MATCH","Review current POS match",IF(B118="KEEP EXISTING","Already in POS",IF(O118&lt;=0,"Blocked: cost",IF(OR(R118&lt;=0,R118&gt;100000),"Blocked: retail",IF(U118="","Blocked: image",IF('Summary'!$B$3="APPROVED","READY","Pending approval")))))))</x:f>
        <x:v>Excluded by user</x:v>
      </x:c>
      <x:c r="Z118" s="26" t="str">
        <x:v>Cost must be entered before import. Source stock 2 is reference only; POS starts at 0. USER EXCLUSION: red-marked item; do not import.</x:v>
      </x:c>
    </x:row>
    <x:row r="119" ht="29.25">
      <x:c r="A119" s="12" t="s">
        <x:v>316</x:v>
      </x:c>
      <x:c r="B119" s="25" t="str">
        <x:v>EXCLUDE</x:v>
      </x:c>
      <x:c r="C119" s="6"/>
      <x:c r="D119" s="6"/>
      <x:c r="E119" s="6" t="s">
        <x:v>488</x:v>
      </x:c>
      <x:c r="F119" s="6" t="s">
        <x:v>38</x:v>
      </x:c>
      <x:c r="G119" s="6" t="s">
        <x:v>39</x:v>
      </x:c>
      <x:c r="H119" s="6" t="s">
        <x:v>317</x:v>
      </x:c>
      <x:c r="I119" s="10" t="s">
        <x:v>317</x:v>
      </x:c>
      <x:c r="J119" s="10" t="s">
        <x:v>37</x:v>
      </x:c>
      <x:c r="K119" s="9" t="str">
        <x:f>"459668800598"</x:f>
        <x:v>459668800598</x:v>
      </x:c>
      <x:c r="L119" s="9" t="str">
        <x:f>"459668800598"</x:f>
        <x:v>459668800598</x:v>
      </x:c>
      <x:c r="M119" s="12" t="s">
        <x:v>489</x:v>
      </x:c>
      <x:c r="N119" s="8">
        <x:v>0</x:v>
      </x:c>
      <x:c r="O119" s="11" t="n">
        <x:f>IF(B119="KEEP EXISTING",N119,'Cost Review'!H114)</x:f>
        <x:v>0</x:v>
      </x:c>
      <x:c r="P119" s="8" t="str">
        <x:f t="shared" si="11">IF(B119="EXCLUDE","Excluded",IF(B119="REVIEW MATCH","Review match",IF(B119="KEEP EXISTING","Existing",IF(O119&lt;=0,"MISSING","REVIEW"))))</x:f>
        <x:v>Excluded</x:v>
      </x:c>
      <x:c r="Q119" s="8">
        <x:v>35</x:v>
      </x:c>
      <x:c r="R119" s="11" t="n">
        <x:f>IF(B119="KEEP EXISTING",Q119,'Cost Review'!J114)</x:f>
        <x:v>35</x:v>
      </x:c>
      <x:c r="S119" s="6" t="str">
        <x:f t="shared" si="12">IF(B119="EXCLUDE","Excluded",IF(B119="REVIEW MATCH","Review match",IF(B119="KEEP EXISTING","Existing",IF(OR(R119&lt;=0,R119&gt;100000),"CHECK","OK"))))</x:f>
        <x:v>Excluded</x:v>
      </x:c>
      <x:c r="T119" s="9" t="str">
        <x:f>"459668800598"</x:f>
        <x:v>459668800598</x:v>
      </x:c>
      <x:c r="U119" s="10" t="s">
        <x:v>641</x:v>
      </x:c>
      <x:c r="V119" s="6" t="str">
        <x:f t="shared" si="13">IF(B119="EXCLUDE","Excluded",IF(B119="REVIEW MATCH","Review match",IF(B119="KEEP EXISTING","Existing",IF(U119="","MISSING","FOUND"))))</x:f>
        <x:v>Excluded</x:v>
      </x:c>
      <x:c r="W119" s="9">
        <x:v>1</x:v>
      </x:c>
      <x:c r="X119" s="9">
        <x:v>0</x:v>
      </x:c>
      <x:c r="Y119" s="26" t="str">
        <x:f>IF(B119="EXCLUDE","Excluded by user",IF(B119="REVIEW MATCH","Review current POS match",IF(B119="KEEP EXISTING","Already in POS",IF(O119&lt;=0,"Blocked: cost",IF(OR(R119&lt;=0,R119&gt;100000),"Blocked: retail",IF(U119="","Blocked: image",IF('Summary'!$B$3="APPROVED","READY","Pending approval")))))))</x:f>
        <x:v>Excluded by user</x:v>
      </x:c>
      <x:c r="Z119" s="26" t="str">
        <x:v>Cost must be entered before import. Source stock 1 is reference only; POS starts at 0. USER EXCLUSION: red-marked item; do not import.</x:v>
      </x:c>
    </x:row>
    <x:row r="120" ht="29.25">
      <x:c r="A120" s="12" t="s">
        <x:v>318</x:v>
      </x:c>
      <x:c r="B120" s="25" t="str">
        <x:v>EXCLUDE</x:v>
      </x:c>
      <x:c r="C120" s="6"/>
      <x:c r="D120" s="6"/>
      <x:c r="E120" s="6" t="s">
        <x:v>488</x:v>
      </x:c>
      <x:c r="F120" s="6" t="s">
        <x:v>38</x:v>
      </x:c>
      <x:c r="G120" s="6" t="s">
        <x:v>39</x:v>
      </x:c>
      <x:c r="H120" s="6" t="s">
        <x:v>319</x:v>
      </x:c>
      <x:c r="I120" s="10" t="s">
        <x:v>319</x:v>
      </x:c>
      <x:c r="J120" s="10" t="s">
        <x:v>37</x:v>
      </x:c>
      <x:c r="K120" s="9" t="str">
        <x:f>"057586534054"</x:f>
        <x:v>057586534054</x:v>
      </x:c>
      <x:c r="L120" s="9" t="str">
        <x:f>"057586534054"</x:f>
        <x:v>057586534054</x:v>
      </x:c>
      <x:c r="M120" s="12" t="s">
        <x:v>489</x:v>
      </x:c>
      <x:c r="N120" s="8">
        <x:v>0</x:v>
      </x:c>
      <x:c r="O120" s="11" t="n">
        <x:f>IF(B120="KEEP EXISTING",N120,'Cost Review'!H115)</x:f>
        <x:v>0</x:v>
      </x:c>
      <x:c r="P120" s="8" t="str">
        <x:f t="shared" si="11">IF(B120="EXCLUDE","Excluded",IF(B120="REVIEW MATCH","Review match",IF(B120="KEEP EXISTING","Existing",IF(O120&lt;=0,"MISSING","REVIEW"))))</x:f>
        <x:v>Excluded</x:v>
      </x:c>
      <x:c r="Q120" s="8">
        <x:v>25</x:v>
      </x:c>
      <x:c r="R120" s="11" t="n">
        <x:f>IF(B120="KEEP EXISTING",Q120,'Cost Review'!J115)</x:f>
        <x:v>25</x:v>
      </x:c>
      <x:c r="S120" s="6" t="str">
        <x:f t="shared" si="12">IF(B120="EXCLUDE","Excluded",IF(B120="REVIEW MATCH","Review match",IF(B120="KEEP EXISTING","Existing",IF(OR(R120&lt;=0,R120&gt;100000),"CHECK","OK"))))</x:f>
        <x:v>Excluded</x:v>
      </x:c>
      <x:c r="T120" s="9" t="str">
        <x:f>"057586534054"</x:f>
        <x:v>057586534054</x:v>
      </x:c>
      <x:c r="U120" s="10" t="s">
        <x:v>642</x:v>
      </x:c>
      <x:c r="V120" s="6" t="str">
        <x:f t="shared" si="13">IF(B120="EXCLUDE","Excluded",IF(B120="REVIEW MATCH","Review match",IF(B120="KEEP EXISTING","Existing",IF(U120="","MISSING","FOUND"))))</x:f>
        <x:v>Excluded</x:v>
      </x:c>
      <x:c r="W120" s="9">
        <x:v>7</x:v>
      </x:c>
      <x:c r="X120" s="9">
        <x:v>0</x:v>
      </x:c>
      <x:c r="Y120" s="26" t="str">
        <x:f>IF(B120="EXCLUDE","Excluded by user",IF(B120="REVIEW MATCH","Review current POS match",IF(B120="KEEP EXISTING","Already in POS",IF(O120&lt;=0,"Blocked: cost",IF(OR(R120&lt;=0,R120&gt;100000),"Blocked: retail",IF(U120="","Blocked: image",IF('Summary'!$B$3="APPROVED","READY","Pending approval")))))))</x:f>
        <x:v>Excluded by user</x:v>
      </x:c>
      <x:c r="Z120" s="26" t="str">
        <x:v>Cost must be entered before import. Source stock 7 is reference only; POS starts at 0. USER EXCLUSION: red-marked item; do not import.</x:v>
      </x:c>
    </x:row>
    <x:row r="121" ht="29.25">
      <x:c r="A121" s="12" t="s">
        <x:v>320</x:v>
      </x:c>
      <x:c r="B121" s="6" t="str">
        <x:v>IMPORT</x:v>
      </x:c>
      <x:c r="C121" s="6"/>
      <x:c r="D121" s="6"/>
      <x:c r="E121" s="6" t="s">
        <x:v>488</x:v>
      </x:c>
      <x:c r="F121" s="6" t="s">
        <x:v>38</x:v>
      </x:c>
      <x:c r="G121" s="6" t="s">
        <x:v>39</x:v>
      </x:c>
      <x:c r="H121" s="6" t="s">
        <x:v>321</x:v>
      </x:c>
      <x:c r="I121" s="10" t="s">
        <x:v>321</x:v>
      </x:c>
      <x:c r="J121" s="10" t="s">
        <x:v>37</x:v>
      </x:c>
      <x:c r="K121" s="9" t="str">
        <x:f>"838286574782"</x:f>
        <x:v>838286574782</x:v>
      </x:c>
      <x:c r="L121" s="9" t="str">
        <x:f>"838286574782"</x:f>
        <x:v>838286574782</x:v>
      </x:c>
      <x:c r="M121" s="12" t="s">
        <x:v>489</x:v>
      </x:c>
      <x:c r="N121" s="8">
        <x:v>0</x:v>
      </x:c>
      <x:c r="O121" s="11" t="n">
        <x:f>IF(B121="KEEP EXISTING",N121,'Cost Review'!H116)</x:f>
        <x:v>3.8</x:v>
      </x:c>
      <x:c r="P121" s="8" t="str">
        <x:f t="shared" si="11">IF(B121="EXCLUDE","Excluded",IF(B121="REVIEW MATCH","Review match",IF(B121="KEEP EXISTING","Existing",IF(O121&lt;=0,"MISSING","REVIEW"))))</x:f>
        <x:v>REVIEW</x:v>
      </x:c>
      <x:c r="Q121" s="8">
        <x:v>15</x:v>
      </x:c>
      <x:c r="R121" s="11" t="n">
        <x:f>IF(B121="KEEP EXISTING",Q121,'Cost Review'!J116)</x:f>
        <x:v>15</x:v>
      </x:c>
      <x:c r="S121" s="6" t="str">
        <x:f t="shared" si="12">IF(B121="EXCLUDE","Excluded",IF(B121="REVIEW MATCH","Review match",IF(B121="KEEP EXISTING","Existing",IF(OR(R121&lt;=0,R121&gt;100000),"CHECK","OK"))))</x:f>
        <x:v>OK</x:v>
      </x:c>
      <x:c r="T121" s="9" t="str">
        <x:f>"838286574782"</x:f>
        <x:v>838286574782</x:v>
      </x:c>
      <x:c r="U121" s="10" t="s">
        <x:v>643</x:v>
      </x:c>
      <x:c r="V121" s="6" t="str">
        <x:f t="shared" si="13">IF(B121="EXCLUDE","Excluded",IF(B121="REVIEW MATCH","Review match",IF(B121="KEEP EXISTING","Existing",IF(U121="","MISSING","FOUND"))))</x:f>
        <x:v>FOUND</x:v>
      </x:c>
      <x:c r="W121" s="9">
        <x:v>5</x:v>
      </x:c>
      <x:c r="X121" s="9">
        <x:v>0</x:v>
      </x:c>
      <x:c r="Y121" s="6" t="str">
        <x:f>IF(B121="EXCLUDE","Excluded by user",IF(B121="REVIEW MATCH","Review current POS match",IF(B121="KEEP EXISTING","Already in POS",IF(O121&lt;=0,"Blocked: cost",IF(OR(R121&lt;=0,R121&gt;100000),"Blocked: retail",IF(U121="","Blocked: image",IF('Summary'!$B$3="APPROVED","READY","Pending approval")))))))</x:f>
        <x:v>Pending approval</x:v>
      </x:c>
      <x:c r="Z121" s="6" t="str">
        <x:v>Cost must be entered before import. Source stock 5 is reference only; POS starts at 0.</x:v>
      </x:c>
    </x:row>
    <x:row r="122" ht="29.25">
      <x:c r="A122" s="12" t="s">
        <x:v>323</x:v>
      </x:c>
      <x:c r="B122" s="6" t="str">
        <x:v>IMPORT</x:v>
      </x:c>
      <x:c r="C122" s="6"/>
      <x:c r="D122" s="6"/>
      <x:c r="E122" s="6" t="s">
        <x:v>644</x:v>
      </x:c>
      <x:c r="F122" s="6" t="s">
        <x:v>67</x:v>
      </x:c>
      <x:c r="G122" s="6" t="s">
        <x:v>325</x:v>
      </x:c>
      <x:c r="H122" s="6" t="s">
        <x:v>324</x:v>
      </x:c>
      <x:c r="I122" s="10" t="s">
        <x:v>324</x:v>
      </x:c>
      <x:c r="J122" s="10" t="s">
        <x:v>136</x:v>
      </x:c>
      <x:c r="K122" s="9" t="str">
        <x:f>"6970344732841"</x:f>
        <x:v>6970344732841</x:v>
      </x:c>
      <x:c r="L122" s="9" t="str">
        <x:f>"6970344732841"</x:f>
        <x:v>6970344732841</x:v>
      </x:c>
      <x:c r="M122" s="12" t="s">
        <x:v>489</x:v>
      </x:c>
      <x:c r="N122" s="8">
        <x:v>0</x:v>
      </x:c>
      <x:c r="O122" s="11" t="n">
        <x:f>IF(B122="KEEP EXISTING",N122,'Cost Review'!H117)</x:f>
        <x:v>20</x:v>
      </x:c>
      <x:c r="P122" s="8" t="str">
        <x:f t="shared" si="11">IF(B122="EXCLUDE","Excluded",IF(B122="REVIEW MATCH","Review match",IF(B122="KEEP EXISTING","Existing",IF(O122&lt;=0,"MISSING","REVIEW"))))</x:f>
        <x:v>REVIEW</x:v>
      </x:c>
      <x:c r="Q122" s="8">
        <x:v>49.99</x:v>
      </x:c>
      <x:c r="R122" s="11" t="n">
        <x:f>IF(B122="KEEP EXISTING",Q122,'Cost Review'!J117)</x:f>
        <x:v>49.99</x:v>
      </x:c>
      <x:c r="S122" s="6" t="str">
        <x:f t="shared" si="12">IF(B122="EXCLUDE","Excluded",IF(B122="REVIEW MATCH","Review match",IF(B122="KEEP EXISTING","Existing",IF(OR(R122&lt;=0,R122&gt;100000),"CHECK","OK"))))</x:f>
        <x:v>OK</x:v>
      </x:c>
      <x:c r="T122" s="9" t="str">
        <x:f>"6970344732841"</x:f>
        <x:v>6970344732841</x:v>
      </x:c>
      <x:c r="U122" s="10" t="s">
        <x:v>645</x:v>
      </x:c>
      <x:c r="V122" s="6" t="str">
        <x:f t="shared" si="13">IF(B122="EXCLUDE","Excluded",IF(B122="REVIEW MATCH","Review match",IF(B122="KEEP EXISTING","Existing",IF(U122="","MISSING","FOUND"))))</x:f>
        <x:v>FOUND</x:v>
      </x:c>
      <x:c r="W122" s="9">
        <x:v>2</x:v>
      </x:c>
      <x:c r="X122" s="9">
        <x:v>0</x:v>
      </x:c>
      <x:c r="Y122" s="6" t="str">
        <x:f>IF(B122="EXCLUDE","Excluded by user",IF(B122="REVIEW MATCH","Review current POS match",IF(B122="KEEP EXISTING","Already in POS",IF(O122&lt;=0,"Blocked: cost",IF(OR(R122&lt;=0,R122&gt;100000),"Blocked: retail",IF(U122="","Blocked: image",IF('Summary'!$B$3="APPROVED","READY","Pending approval")))))))</x:f>
        <x:v>Pending approval</x:v>
      </x:c>
      <x:c r="Z122" s="6" t="str">
        <x:v>Cost must be entered before import. Source stock 2 is reference only; POS starts at 0.</x:v>
      </x:c>
    </x:row>
    <x:row r="123" ht="29.25">
      <x:c r="A123" s="12" t="s">
        <x:v>327</x:v>
      </x:c>
      <x:c r="B123" s="6" t="str">
        <x:v>IMPORT</x:v>
      </x:c>
      <x:c r="C123" s="6"/>
      <x:c r="D123" s="6"/>
      <x:c r="E123" s="6" t="s">
        <x:v>515</x:v>
      </x:c>
      <x:c r="F123" s="6" t="s">
        <x:v>52</x:v>
      </x:c>
      <x:c r="G123" s="6" t="s">
        <x:v>58</x:v>
      </x:c>
      <x:c r="H123" s="6" t="s">
        <x:v>328</x:v>
      </x:c>
      <x:c r="I123" s="10" t="s">
        <x:v>328</x:v>
      </x:c>
      <x:c r="J123" s="10" t="s">
        <x:v>37</x:v>
      </x:c>
      <x:c r="K123" s="9" t="str">
        <x:f>"155422166039"</x:f>
        <x:v>155422166039</x:v>
      </x:c>
      <x:c r="L123" s="9" t="str">
        <x:f>"155422166039"</x:f>
        <x:v>155422166039</x:v>
      </x:c>
      <x:c r="M123" s="12" t="s">
        <x:v>489</x:v>
      </x:c>
      <x:c r="N123" s="8">
        <x:v>0</x:v>
      </x:c>
      <x:c r="O123" s="11" t="n">
        <x:f>IF(B123="KEEP EXISTING",N123,'Cost Review'!H118)</x:f>
        <x:v>3</x:v>
      </x:c>
      <x:c r="P123" s="8" t="str">
        <x:f t="shared" si="11">IF(B123="EXCLUDE","Excluded",IF(B123="REVIEW MATCH","Review match",IF(B123="KEEP EXISTING","Existing",IF(O123&lt;=0,"MISSING","REVIEW"))))</x:f>
        <x:v>REVIEW</x:v>
      </x:c>
      <x:c r="Q123" s="8">
        <x:v>15</x:v>
      </x:c>
      <x:c r="R123" s="11" t="n">
        <x:f>IF(B123="KEEP EXISTING",Q123,'Cost Review'!J118)</x:f>
        <x:v>15</x:v>
      </x:c>
      <x:c r="S123" s="6" t="str">
        <x:f t="shared" si="12">IF(B123="EXCLUDE","Excluded",IF(B123="REVIEW MATCH","Review match",IF(B123="KEEP EXISTING","Existing",IF(OR(R123&lt;=0,R123&gt;100000),"CHECK","OK"))))</x:f>
        <x:v>OK</x:v>
      </x:c>
      <x:c r="T123" s="9" t="str">
        <x:f>"155422166039"</x:f>
        <x:v>155422166039</x:v>
      </x:c>
      <x:c r="U123" s="10" t="s">
        <x:v>646</x:v>
      </x:c>
      <x:c r="V123" s="6" t="str">
        <x:f t="shared" si="13">IF(B123="EXCLUDE","Excluded",IF(B123="REVIEW MATCH","Review match",IF(B123="KEEP EXISTING","Existing",IF(U123="","MISSING","FOUND"))))</x:f>
        <x:v>FOUND</x:v>
      </x:c>
      <x:c r="W123" s="9">
        <x:v>36</x:v>
      </x:c>
      <x:c r="X123" s="9">
        <x:v>0</x:v>
      </x:c>
      <x:c r="Y123" s="6" t="str">
        <x:f>IF(B123="EXCLUDE","Excluded by user",IF(B123="REVIEW MATCH","Review current POS match",IF(B123="KEEP EXISTING","Already in POS",IF(O123&lt;=0,"Blocked: cost",IF(OR(R123&lt;=0,R123&gt;100000),"Blocked: retail",IF(U123="","Blocked: image",IF('Summary'!$B$3="APPROVED","READY","Pending approval")))))))</x:f>
        <x:v>Pending approval</x:v>
      </x:c>
      <x:c r="Z123" s="6" t="str">
        <x:v>Cost must be entered before import. Source stock 36 is reference only; POS starts at 0.</x:v>
      </x:c>
    </x:row>
    <x:row r="124" ht="29.25">
      <x:c r="A124" s="12" t="s">
        <x:v>330</x:v>
      </x:c>
      <x:c r="B124" s="6" t="str">
        <x:v>IMPORT</x:v>
      </x:c>
      <x:c r="C124" s="6"/>
      <x:c r="D124" s="6"/>
      <x:c r="E124" s="6" t="s">
        <x:v>497</x:v>
      </x:c>
      <x:c r="F124" s="6" t="s">
        <x:v>52</x:v>
      </x:c>
      <x:c r="G124" s="6" t="s">
        <x:v>58</x:v>
      </x:c>
      <x:c r="H124" s="6" t="s">
        <x:v>331</x:v>
      </x:c>
      <x:c r="I124" s="10" t="s">
        <x:v>331</x:v>
      </x:c>
      <x:c r="J124" s="10" t="s">
        <x:v>136</x:v>
      </x:c>
      <x:c r="K124" s="9" t="str">
        <x:f>"KB1356MT072000064"</x:f>
        <x:v>KB1356MT072000064</x:v>
      </x:c>
      <x:c r="L124" s="9" t="str">
        <x:f>"KB1356MT072000064"</x:f>
        <x:v>KB1356MT072000064</x:v>
      </x:c>
      <x:c r="M124" s="12" t="s">
        <x:v>489</x:v>
      </x:c>
      <x:c r="N124" s="8">
        <x:v>0</x:v>
      </x:c>
      <x:c r="O124" s="11" t="n">
        <x:f>IF(B124="KEEP EXISTING",N124,'Cost Review'!H119)</x:f>
        <x:v>8</x:v>
      </x:c>
      <x:c r="P124" s="8" t="str">
        <x:f t="shared" si="11">IF(B124="EXCLUDE","Excluded",IF(B124="REVIEW MATCH","Review match",IF(B124="KEEP EXISTING","Existing",IF(O124&lt;=0,"MISSING","REVIEW"))))</x:f>
        <x:v>REVIEW</x:v>
      </x:c>
      <x:c r="Q124" s="8">
        <x:v>24.99</x:v>
      </x:c>
      <x:c r="R124" s="11" t="n">
        <x:f>IF(B124="KEEP EXISTING",Q124,'Cost Review'!J119)</x:f>
        <x:v>24.99</x:v>
      </x:c>
      <x:c r="S124" s="6" t="str">
        <x:f t="shared" si="12">IF(B124="EXCLUDE","Excluded",IF(B124="REVIEW MATCH","Review match",IF(B124="KEEP EXISTING","Existing",IF(OR(R124&lt;=0,R124&gt;100000),"CHECK","OK"))))</x:f>
        <x:v>OK</x:v>
      </x:c>
      <x:c r="T124" s="9" t="str">
        <x:f>"2998000083568"</x:f>
        <x:v>2998000083568</x:v>
      </x:c>
      <x:c r="U124" s="10" t="s">
        <x:v>647</x:v>
      </x:c>
      <x:c r="V124" s="6" t="str">
        <x:f t="shared" si="13">IF(B124="EXCLUDE","Excluded",IF(B124="REVIEW MATCH","Review match",IF(B124="KEEP EXISTING","Existing",IF(U124="","MISSING","FOUND"))))</x:f>
        <x:v>FOUND</x:v>
      </x:c>
      <x:c r="W124" s="9">
        <x:v>12</x:v>
      </x:c>
      <x:c r="X124" s="9">
        <x:v>0</x:v>
      </x:c>
      <x:c r="Y124" s="6" t="str">
        <x:f>IF(B124="EXCLUDE","Excluded by user",IF(B124="REVIEW MATCH","Review current POS match",IF(B124="KEEP EXISTING","Already in POS",IF(O124&lt;=0,"Blocked: cost",IF(OR(R124&lt;=0,R124&gt;100000),"Blocked: retail",IF(U124="","Blocked: image",IF('Summary'!$B$3="APPROVED","READY","Pending approval")))))))</x:f>
        <x:v>Pending approval</x:v>
      </x:c>
      <x:c r="Z124" s="6" t="str">
        <x:v>Cost must be entered before import. Source stock 12 is reference only; POS starts at 0.</x:v>
      </x:c>
    </x:row>
    <x:row r="125" ht="29.25">
      <x:c r="A125" s="12" t="s">
        <x:v>333</x:v>
      </x:c>
      <x:c r="B125" s="6" t="str">
        <x:v>IMPORT</x:v>
      </x:c>
      <x:c r="C125" s="6"/>
      <x:c r="D125" s="6"/>
      <x:c r="E125" s="6" t="s">
        <x:v>648</x:v>
      </x:c>
      <x:c r="F125" s="6" t="s">
        <x:v>52</x:v>
      </x:c>
      <x:c r="G125" s="6" t="s">
        <x:v>72</x:v>
      </x:c>
      <x:c r="H125" s="6" t="s">
        <x:v>334</x:v>
      </x:c>
      <x:c r="I125" s="10" t="s">
        <x:v>334</x:v>
      </x:c>
      <x:c r="J125" s="10" t="s">
        <x:v>37</x:v>
      </x:c>
      <x:c r="K125" s="9" t="str">
        <x:f>"6954851295891"</x:f>
        <x:v>6954851295891</x:v>
      </x:c>
      <x:c r="L125" s="9" t="str">
        <x:f>"6954851295891"</x:f>
        <x:v>6954851295891</x:v>
      </x:c>
      <x:c r="M125" s="12" t="s">
        <x:v>489</x:v>
      </x:c>
      <x:c r="N125" s="8">
        <x:v>33.5</x:v>
      </x:c>
      <x:c r="O125" s="11" t="n">
        <x:f>IF(B125="KEEP EXISTING",N125,'Cost Review'!H120)</x:f>
        <x:v>33.5</x:v>
      </x:c>
      <x:c r="P125" s="8" t="str">
        <x:f t="shared" si="11">IF(B125="EXCLUDE","Excluded",IF(B125="REVIEW MATCH","Review match",IF(B125="KEEP EXISTING","Existing",IF(O125&lt;=0,"MISSING","REVIEW"))))</x:f>
        <x:v>REVIEW</x:v>
      </x:c>
      <x:c r="Q125" s="8">
        <x:v>79</x:v>
      </x:c>
      <x:c r="R125" s="11" t="n">
        <x:f>IF(B125="KEEP EXISTING",Q125,'Cost Review'!J120)</x:f>
        <x:v>79</x:v>
      </x:c>
      <x:c r="S125" s="6" t="str">
        <x:f t="shared" si="12">IF(B125="EXCLUDE","Excluded",IF(B125="REVIEW MATCH","Review match",IF(B125="KEEP EXISTING","Existing",IF(OR(R125&lt;=0,R125&gt;100000),"CHECK","OK"))))</x:f>
        <x:v>OK</x:v>
      </x:c>
      <x:c r="T125" s="9" t="str">
        <x:f>"6954851295891"</x:f>
        <x:v>6954851295891</x:v>
      </x:c>
      <x:c r="U125" s="10" t="s">
        <x:v>649</x:v>
      </x:c>
      <x:c r="V125" s="6" t="str">
        <x:f t="shared" si="13">IF(B125="EXCLUDE","Excluded",IF(B125="REVIEW MATCH","Review match",IF(B125="KEEP EXISTING","Existing",IF(U125="","MISSING","FOUND"))))</x:f>
        <x:v>FOUND</x:v>
      </x:c>
      <x:c r="W125" s="9">
        <x:v>0</x:v>
      </x:c>
      <x:c r="X125" s="9">
        <x:v>0</x:v>
      </x:c>
      <x:c r="Y125" s="6" t="str">
        <x:f>IF(B125="EXCLUDE","Excluded by user",IF(B125="REVIEW MATCH","Review current POS match",IF(B125="KEEP EXISTING","Already in POS",IF(O125&lt;=0,"Blocked: cost",IF(OR(R125&lt;=0,R125&gt;100000),"Blocked: retail",IF(U125="","Blocked: image",IF('Summary'!$B$3="APPROVED","READY","Pending approval")))))))</x:f>
        <x:v>Pending approval</x:v>
      </x:c>
      <x:c r="Z125" s="6" t="str"/>
    </x:row>
    <x:row r="126" ht="29.25">
      <x:c r="A126" s="12" t="s">
        <x:v>335</x:v>
      </x:c>
      <x:c r="B126" s="6" t="str">
        <x:v>IMPORT</x:v>
      </x:c>
      <x:c r="C126" s="6"/>
      <x:c r="D126" s="6"/>
      <x:c r="E126" s="6" t="s">
        <x:v>648</x:v>
      </x:c>
      <x:c r="F126" s="6" t="s">
        <x:v>52</x:v>
      </x:c>
      <x:c r="G126" s="6" t="s">
        <x:v>72</x:v>
      </x:c>
      <x:c r="H126" s="6" t="s">
        <x:v>336</x:v>
      </x:c>
      <x:c r="I126" s="10" t="s">
        <x:v>336</x:v>
      </x:c>
      <x:c r="J126" s="10" t="s">
        <x:v>37</x:v>
      </x:c>
      <x:c r="K126" s="9" t="str">
        <x:f>"6954851252191"</x:f>
        <x:v>6954851252191</x:v>
      </x:c>
      <x:c r="L126" s="9" t="str">
        <x:f>"6954851252191"</x:f>
        <x:v>6954851252191</x:v>
      </x:c>
      <x:c r="M126" s="12" t="s">
        <x:v>489</x:v>
      </x:c>
      <x:c r="N126" s="8">
        <x:v>18</x:v>
      </x:c>
      <x:c r="O126" s="11" t="n">
        <x:f>IF(B126="KEEP EXISTING",N126,'Cost Review'!H121)</x:f>
        <x:v>18</x:v>
      </x:c>
      <x:c r="P126" s="8" t="str">
        <x:f t="shared" si="11">IF(B126="EXCLUDE","Excluded",IF(B126="REVIEW MATCH","Review match",IF(B126="KEEP EXISTING","Existing",IF(O126&lt;=0,"MISSING","REVIEW"))))</x:f>
        <x:v>REVIEW</x:v>
      </x:c>
      <x:c r="Q126" s="8">
        <x:v>39</x:v>
      </x:c>
      <x:c r="R126" s="11" t="n">
        <x:f>IF(B126="KEEP EXISTING",Q126,'Cost Review'!J121)</x:f>
        <x:v>39</x:v>
      </x:c>
      <x:c r="S126" s="6" t="str">
        <x:f t="shared" si="12">IF(B126="EXCLUDE","Excluded",IF(B126="REVIEW MATCH","Review match",IF(B126="KEEP EXISTING","Existing",IF(OR(R126&lt;=0,R126&gt;100000),"CHECK","OK"))))</x:f>
        <x:v>OK</x:v>
      </x:c>
      <x:c r="T126" s="9" t="str">
        <x:f>"6954851252191"</x:f>
        <x:v>6954851252191</x:v>
      </x:c>
      <x:c r="U126" s="10" t="s">
        <x:v>650</x:v>
      </x:c>
      <x:c r="V126" s="6" t="str">
        <x:f t="shared" si="13">IF(B126="EXCLUDE","Excluded",IF(B126="REVIEW MATCH","Review match",IF(B126="KEEP EXISTING","Existing",IF(U126="","MISSING","FOUND"))))</x:f>
        <x:v>FOUND</x:v>
      </x:c>
      <x:c r="W126" s="9">
        <x:v>-1</x:v>
      </x:c>
      <x:c r="X126" s="9">
        <x:v>0</x:v>
      </x:c>
      <x:c r="Y126" s="6" t="str">
        <x:f>IF(B126="EXCLUDE","Excluded by user",IF(B126="REVIEW MATCH","Review current POS match",IF(B126="KEEP EXISTING","Already in POS",IF(O126&lt;=0,"Blocked: cost",IF(OR(R126&lt;=0,R126&gt;100000),"Blocked: retail",IF(U126="","Blocked: image",IF('Summary'!$B$3="APPROVED","READY","Pending approval")))))))</x:f>
        <x:v>Pending approval</x:v>
      </x:c>
      <x:c r="Z126" s="6" t="str">
        <x:v>Source stock -1 is reference only; POS starts at 0.</x:v>
      </x:c>
    </x:row>
    <x:row r="127" ht="29.25">
      <x:c r="A127" s="12" t="s">
        <x:v>337</x:v>
      </x:c>
      <x:c r="B127" s="6" t="str">
        <x:v>IMPORT</x:v>
      </x:c>
      <x:c r="C127" s="6"/>
      <x:c r="D127" s="6"/>
      <x:c r="E127" s="6" t="s">
        <x:v>648</x:v>
      </x:c>
      <x:c r="F127" s="6" t="s">
        <x:v>52</x:v>
      </x:c>
      <x:c r="G127" s="6" t="s">
        <x:v>72</x:v>
      </x:c>
      <x:c r="H127" s="6" t="s">
        <x:v>338</x:v>
      </x:c>
      <x:c r="I127" s="10" t="s">
        <x:v>338</x:v>
      </x:c>
      <x:c r="J127" s="10" t="s">
        <x:v>37</x:v>
      </x:c>
      <x:c r="K127" s="9" t="str">
        <x:f>"6954851252092"</x:f>
        <x:v>6954851252092</x:v>
      </x:c>
      <x:c r="L127" s="9" t="str">
        <x:f>"6954851252092"</x:f>
        <x:v>6954851252092</x:v>
      </x:c>
      <x:c r="M127" s="12" t="s">
        <x:v>489</x:v>
      </x:c>
      <x:c r="N127" s="8">
        <x:v>6.38</x:v>
      </x:c>
      <x:c r="O127" s="11" t="n">
        <x:f>IF(B127="KEEP EXISTING",N127,'Cost Review'!H122)</x:f>
        <x:v>6.38</x:v>
      </x:c>
      <x:c r="P127" s="8" t="str">
        <x:f t="shared" si="11">IF(B127="EXCLUDE","Excluded",IF(B127="REVIEW MATCH","Review match",IF(B127="KEEP EXISTING","Existing",IF(O127&lt;=0,"MISSING","REVIEW"))))</x:f>
        <x:v>REVIEW</x:v>
      </x:c>
      <x:c r="Q127" s="8">
        <x:v>28</x:v>
      </x:c>
      <x:c r="R127" s="11" t="n">
        <x:f>IF(B127="KEEP EXISTING",Q127,'Cost Review'!J122)</x:f>
        <x:v>28</x:v>
      </x:c>
      <x:c r="S127" s="6" t="str">
        <x:f t="shared" si="12">IF(B127="EXCLUDE","Excluded",IF(B127="REVIEW MATCH","Review match",IF(B127="KEEP EXISTING","Existing",IF(OR(R127&lt;=0,R127&gt;100000),"CHECK","OK"))))</x:f>
        <x:v>OK</x:v>
      </x:c>
      <x:c r="T127" s="9" t="str">
        <x:f>"6954851252092"</x:f>
        <x:v>6954851252092</x:v>
      </x:c>
      <x:c r="U127" s="10" t="s">
        <x:v>651</x:v>
      </x:c>
      <x:c r="V127" s="6" t="str">
        <x:f t="shared" si="13">IF(B127="EXCLUDE","Excluded",IF(B127="REVIEW MATCH","Review match",IF(B127="KEEP EXISTING","Existing",IF(U127="","MISSING","FOUND"))))</x:f>
        <x:v>FOUND</x:v>
      </x:c>
      <x:c r="W127" s="9">
        <x:v>3</x:v>
      </x:c>
      <x:c r="X127" s="9">
        <x:v>0</x:v>
      </x:c>
      <x:c r="Y127" s="6" t="str">
        <x:f>IF(B127="EXCLUDE","Excluded by user",IF(B127="REVIEW MATCH","Review current POS match",IF(B127="KEEP EXISTING","Already in POS",IF(O127&lt;=0,"Blocked: cost",IF(OR(R127&lt;=0,R127&gt;100000),"Blocked: retail",IF(U127="","Blocked: image",IF('Summary'!$B$3="APPROVED","READY","Pending approval")))))))</x:f>
        <x:v>Pending approval</x:v>
      </x:c>
      <x:c r="Z127" s="6" t="str">
        <x:v>Source stock 3 is reference only; POS starts at 0.</x:v>
      </x:c>
    </x:row>
    <x:row r="128" ht="29.25">
      <x:c r="A128" s="12" t="s">
        <x:v>339</x:v>
      </x:c>
      <x:c r="B128" s="6" t="str">
        <x:v>IMPORT</x:v>
      </x:c>
      <x:c r="C128" s="6"/>
      <x:c r="D128" s="6"/>
      <x:c r="E128" s="6" t="s">
        <x:v>648</x:v>
      </x:c>
      <x:c r="F128" s="6" t="s">
        <x:v>52</x:v>
      </x:c>
      <x:c r="G128" s="6" t="s">
        <x:v>72</x:v>
      </x:c>
      <x:c r="H128" s="6" t="s">
        <x:v>340</x:v>
      </x:c>
      <x:c r="I128" s="10" t="s">
        <x:v>340</x:v>
      </x:c>
      <x:c r="J128" s="10" t="s">
        <x:v>37</x:v>
      </x:c>
      <x:c r="K128" s="9" t="str">
        <x:f>"7812488"</x:f>
        <x:v>7812488</x:v>
      </x:c>
      <x:c r="L128" s="9" t="str">
        <x:f>"7812488"</x:f>
        <x:v>7812488</x:v>
      </x:c>
      <x:c r="M128" s="12" t="s">
        <x:v>489</x:v>
      </x:c>
      <x:c r="N128" s="8">
        <x:v>4.5</x:v>
      </x:c>
      <x:c r="O128" s="11" t="n">
        <x:f>IF(B128="KEEP EXISTING",N128,'Cost Review'!H123)</x:f>
        <x:v>4.5</x:v>
      </x:c>
      <x:c r="P128" s="8" t="str">
        <x:f t="shared" si="11">IF(B128="EXCLUDE","Excluded",IF(B128="REVIEW MATCH","Review match",IF(B128="KEEP EXISTING","Existing",IF(O128&lt;=0,"MISSING","REVIEW"))))</x:f>
        <x:v>REVIEW</x:v>
      </x:c>
      <x:c r="Q128" s="8">
        <x:v>19</x:v>
      </x:c>
      <x:c r="R128" s="11" t="n">
        <x:f>IF(B128="KEEP EXISTING",Q128,'Cost Review'!J123)</x:f>
        <x:v>19</x:v>
      </x:c>
      <x:c r="S128" s="6" t="str">
        <x:f t="shared" si="12">IF(B128="EXCLUDE","Excluded",IF(B128="REVIEW MATCH","Review match",IF(B128="KEEP EXISTING","Existing",IF(OR(R128&lt;=0,R128&gt;100000),"CHECK","OK"))))</x:f>
        <x:v>OK</x:v>
      </x:c>
      <x:c r="T128" s="9" t="str">
        <x:f>"2998000078120"</x:f>
        <x:v>2998000078120</x:v>
      </x:c>
      <x:c r="U128" s="10" t="s">
        <x:v>652</x:v>
      </x:c>
      <x:c r="V128" s="6" t="str">
        <x:f t="shared" si="13">IF(B128="EXCLUDE","Excluded",IF(B128="REVIEW MATCH","Review match",IF(B128="KEEP EXISTING","Existing",IF(U128="","MISSING","FOUND"))))</x:f>
        <x:v>FOUND</x:v>
      </x:c>
      <x:c r="W128" s="9">
        <x:v>0</x:v>
      </x:c>
      <x:c r="X128" s="9">
        <x:v>0</x:v>
      </x:c>
      <x:c r="Y128" s="6" t="str">
        <x:f>IF(B128="EXCLUDE","Excluded by user",IF(B128="REVIEW MATCH","Review current POS match",IF(B128="KEEP EXISTING","Already in POS",IF(O128&lt;=0,"Blocked: cost",IF(OR(R128&lt;=0,R128&gt;100000),"Blocked: retail",IF(U128="","Blocked: image",IF('Summary'!$B$3="APPROVED","READY","Pending approval")))))))</x:f>
        <x:v>Pending approval</x:v>
      </x:c>
      <x:c r="Z128" s="6" t="str"/>
    </x:row>
    <x:row r="129" ht="29.25">
      <x:c r="A129" s="12" t="s">
        <x:v>341</x:v>
      </x:c>
      <x:c r="B129" s="6" t="str">
        <x:v>IMPORT</x:v>
      </x:c>
      <x:c r="C129" s="6"/>
      <x:c r="D129" s="6"/>
      <x:c r="E129" s="6" t="s">
        <x:v>497</x:v>
      </x:c>
      <x:c r="F129" s="6" t="s">
        <x:v>52</x:v>
      </x:c>
      <x:c r="G129" s="6" t="s">
        <x:v>58</x:v>
      </x:c>
      <x:c r="H129" s="6" t="s">
        <x:v>342</x:v>
      </x:c>
      <x:c r="I129" s="10" t="s">
        <x:v>342</x:v>
      </x:c>
      <x:c r="J129" s="10" t="s">
        <x:v>37</x:v>
      </x:c>
      <x:c r="K129" s="9" t="str">
        <x:f>"6970344731646"</x:f>
        <x:v>6970344731646</x:v>
      </x:c>
      <x:c r="L129" s="9" t="str">
        <x:f>"6970344731646"</x:f>
        <x:v>6970344731646</x:v>
      </x:c>
      <x:c r="M129" s="12" t="s">
        <x:v>489</x:v>
      </x:c>
      <x:c r="N129" s="8">
        <x:v>0</x:v>
      </x:c>
      <x:c r="O129" s="11" t="n">
        <x:f>IF(B129="KEEP EXISTING",N129,'Cost Review'!H124)</x:f>
        <x:v>19.84</x:v>
      </x:c>
      <x:c r="P129" s="8" t="str">
        <x:f t="shared" si="11">IF(B129="EXCLUDE","Excluded",IF(B129="REVIEW MATCH","Review match",IF(B129="KEEP EXISTING","Existing",IF(O129&lt;=0,"MISSING","REVIEW"))))</x:f>
        <x:v>REVIEW</x:v>
      </x:c>
      <x:c r="Q129" s="8">
        <x:v>29.99</x:v>
      </x:c>
      <x:c r="R129" s="11" t="n">
        <x:f>IF(B129="KEEP EXISTING",Q129,'Cost Review'!J124)</x:f>
        <x:v>29.99</x:v>
      </x:c>
      <x:c r="S129" s="6" t="str">
        <x:f t="shared" si="12">IF(B129="EXCLUDE","Excluded",IF(B129="REVIEW MATCH","Review match",IF(B129="KEEP EXISTING","Existing",IF(OR(R129&lt;=0,R129&gt;100000),"CHECK","OK"))))</x:f>
        <x:v>OK</x:v>
      </x:c>
      <x:c r="T129" s="9" t="str">
        <x:f>"6970344731646"</x:f>
        <x:v>6970344731646</x:v>
      </x:c>
      <x:c r="U129" s="10" t="s">
        <x:v>653</x:v>
      </x:c>
      <x:c r="V129" s="6" t="str">
        <x:f t="shared" si="13">IF(B129="EXCLUDE","Excluded",IF(B129="REVIEW MATCH","Review match",IF(B129="KEEP EXISTING","Existing",IF(U129="","MISSING","FOUND"))))</x:f>
        <x:v>FOUND</x:v>
      </x:c>
      <x:c r="W129" s="9">
        <x:v>13</x:v>
      </x:c>
      <x:c r="X129" s="9">
        <x:v>0</x:v>
      </x:c>
      <x:c r="Y129" s="6" t="str">
        <x:f>IF(B129="EXCLUDE","Excluded by user",IF(B129="REVIEW MATCH","Review current POS match",IF(B129="KEEP EXISTING","Already in POS",IF(O129&lt;=0,"Blocked: cost",IF(OR(R129&lt;=0,R129&gt;100000),"Blocked: retail",IF(U129="","Blocked: image",IF('Summary'!$B$3="APPROVED","READY","Pending approval")))))))</x:f>
        <x:v>Pending approval</x:v>
      </x:c>
      <x:c r="Z129" s="6" t="str">
        <x:v>Cost must be entered before import. Source stock 13 is reference only; POS starts at 0.</x:v>
      </x:c>
    </x:row>
    <x:row r="130" ht="29.25">
      <x:c r="A130" s="12" t="s">
        <x:v>344</x:v>
      </x:c>
      <x:c r="B130" s="6" t="str">
        <x:v>IMPORT</x:v>
      </x:c>
      <x:c r="C130" s="6"/>
      <x:c r="D130" s="6"/>
      <x:c r="E130" s="6" t="s">
        <x:v>512</x:v>
      </x:c>
      <x:c r="F130" s="6" t="s">
        <x:v>67</x:v>
      </x:c>
      <x:c r="G130" s="6" t="s">
        <x:v>94</x:v>
      </x:c>
      <x:c r="H130" s="6" t="s">
        <x:v>345</x:v>
      </x:c>
      <x:c r="I130" s="10" t="s">
        <x:v>345</x:v>
      </x:c>
      <x:c r="J130" s="10" t="s">
        <x:v>37</x:v>
      </x:c>
      <x:c r="K130" s="9" t="str">
        <x:f>"6972174159461"</x:f>
        <x:v>6972174159461</x:v>
      </x:c>
      <x:c r="L130" s="9" t="str">
        <x:f>"6972174159461"</x:f>
        <x:v>6972174159461</x:v>
      </x:c>
      <x:c r="M130" s="12" t="s">
        <x:v>489</x:v>
      </x:c>
      <x:c r="N130" s="8">
        <x:v>0</x:v>
      </x:c>
      <x:c r="O130" s="11" t="n">
        <x:f>IF(B130="KEEP EXISTING",N130,'Cost Review'!H125)</x:f>
        <x:v>20</x:v>
      </x:c>
      <x:c r="P130" s="8" t="str">
        <x:f t="shared" ref="P130:P161" si="14">IF(B130="EXCLUDE","Excluded",IF(B130="REVIEW MATCH","Review match",IF(B130="KEEP EXISTING","Existing",IF(O130&lt;=0,"MISSING","REVIEW"))))</x:f>
        <x:v>REVIEW</x:v>
      </x:c>
      <x:c r="Q130" s="8">
        <x:v>129</x:v>
      </x:c>
      <x:c r="R130" s="11" t="n">
        <x:f>IF(B130="KEEP EXISTING",Q130,'Cost Review'!J125)</x:f>
        <x:v>129</x:v>
      </x:c>
      <x:c r="S130" s="6" t="str">
        <x:f t="shared" ref="S130:S161" si="15">IF(B130="EXCLUDE","Excluded",IF(B130="REVIEW MATCH","Review match",IF(B130="KEEP EXISTING","Existing",IF(OR(R130&lt;=0,R130&gt;100000),"CHECK","OK"))))</x:f>
        <x:v>OK</x:v>
      </x:c>
      <x:c r="T130" s="9" t="str">
        <x:f>"6972174159461"</x:f>
        <x:v>6972174159461</x:v>
      </x:c>
      <x:c r="U130" s="10" t="s">
        <x:v>654</x:v>
      </x:c>
      <x:c r="V130" s="6" t="str">
        <x:f t="shared" ref="V130:V161" si="16">IF(B130="EXCLUDE","Excluded",IF(B130="REVIEW MATCH","Review match",IF(B130="KEEP EXISTING","Existing",IF(U130="","MISSING","FOUND"))))</x:f>
        <x:v>FOUND</x:v>
      </x:c>
      <x:c r="W130" s="9">
        <x:v>0</x:v>
      </x:c>
      <x:c r="X130" s="9">
        <x:v>0</x:v>
      </x:c>
      <x:c r="Y130" s="6" t="str">
        <x:f>IF(B130="EXCLUDE","Excluded by user",IF(B130="REVIEW MATCH","Review current POS match",IF(B130="KEEP EXISTING","Already in POS",IF(O130&lt;=0,"Blocked: cost",IF(OR(R130&lt;=0,R130&gt;100000),"Blocked: retail",IF(U130="","Blocked: image",IF('Summary'!$B$3="APPROVED","READY","Pending approval")))))))</x:f>
        <x:v>Pending approval</x:v>
      </x:c>
      <x:c r="Z130" s="6" t="str">
        <x:v>Cost must be entered before import.</x:v>
      </x:c>
    </x:row>
    <x:row r="131" ht="29.25">
      <x:c r="A131" s="12" t="s">
        <x:v>346</x:v>
      </x:c>
      <x:c r="B131" s="6" t="str">
        <x:v>IMPORT</x:v>
      </x:c>
      <x:c r="C131" s="6"/>
      <x:c r="D131" s="6"/>
      <x:c r="E131" s="6" t="s">
        <x:v>512</x:v>
      </x:c>
      <x:c r="F131" s="6" t="s">
        <x:v>67</x:v>
      </x:c>
      <x:c r="G131" s="6" t="s">
        <x:v>94</x:v>
      </x:c>
      <x:c r="H131" s="6" t="s">
        <x:v>347</x:v>
      </x:c>
      <x:c r="I131" s="10" t="s">
        <x:v>347</x:v>
      </x:c>
      <x:c r="J131" s="10" t="s">
        <x:v>37</x:v>
      </x:c>
      <x:c r="K131" s="9" t="str">
        <x:f>"6972174159454"</x:f>
        <x:v>6972174159454</x:v>
      </x:c>
      <x:c r="L131" s="9" t="str">
        <x:f>"6972174159454"</x:f>
        <x:v>6972174159454</x:v>
      </x:c>
      <x:c r="M131" s="12" t="s">
        <x:v>489</x:v>
      </x:c>
      <x:c r="N131" s="8">
        <x:v>0</x:v>
      </x:c>
      <x:c r="O131" s="11" t="n">
        <x:f>IF(B131="KEEP EXISTING",N131,'Cost Review'!H126)</x:f>
        <x:v>20</x:v>
      </x:c>
      <x:c r="P131" s="8" t="str">
        <x:f t="shared" si="14">IF(B131="EXCLUDE","Excluded",IF(B131="REVIEW MATCH","Review match",IF(B131="KEEP EXISTING","Existing",IF(O131&lt;=0,"MISSING","REVIEW"))))</x:f>
        <x:v>REVIEW</x:v>
      </x:c>
      <x:c r="Q131" s="8">
        <x:v>129</x:v>
      </x:c>
      <x:c r="R131" s="11" t="n">
        <x:f>IF(B131="KEEP EXISTING",Q131,'Cost Review'!J126)</x:f>
        <x:v>129</x:v>
      </x:c>
      <x:c r="S131" s="6" t="str">
        <x:f t="shared" si="15">IF(B131="EXCLUDE","Excluded",IF(B131="REVIEW MATCH","Review match",IF(B131="KEEP EXISTING","Existing",IF(OR(R131&lt;=0,R131&gt;100000),"CHECK","OK"))))</x:f>
        <x:v>OK</x:v>
      </x:c>
      <x:c r="T131" s="9" t="str">
        <x:f>"6972174159454"</x:f>
        <x:v>6972174159454</x:v>
      </x:c>
      <x:c r="U131" s="10" t="s">
        <x:v>655</x:v>
      </x:c>
      <x:c r="V131" s="6" t="str">
        <x:f t="shared" si="16">IF(B131="EXCLUDE","Excluded",IF(B131="REVIEW MATCH","Review match",IF(B131="KEEP EXISTING","Existing",IF(U131="","MISSING","FOUND"))))</x:f>
        <x:v>FOUND</x:v>
      </x:c>
      <x:c r="W131" s="9">
        <x:v>-3</x:v>
      </x:c>
      <x:c r="X131" s="9">
        <x:v>0</x:v>
      </x:c>
      <x:c r="Y131" s="6" t="str">
        <x:f>IF(B131="EXCLUDE","Excluded by user",IF(B131="REVIEW MATCH","Review current POS match",IF(B131="KEEP EXISTING","Already in POS",IF(O131&lt;=0,"Blocked: cost",IF(OR(R131&lt;=0,R131&gt;100000),"Blocked: retail",IF(U131="","Blocked: image",IF('Summary'!$B$3="APPROVED","READY","Pending approval")))))))</x:f>
        <x:v>Pending approval</x:v>
      </x:c>
      <x:c r="Z131" s="6" t="str">
        <x:v>Cost must be entered before import. Source stock -3 is reference only; POS starts at 0.</x:v>
      </x:c>
    </x:row>
    <x:row r="132" ht="29.25">
      <x:c r="A132" s="12" t="s">
        <x:v>349</x:v>
      </x:c>
      <x:c r="B132" s="25" t="str">
        <x:v>EXCLUDE</x:v>
      </x:c>
      <x:c r="C132" s="6"/>
      <x:c r="D132" s="6"/>
      <x:c r="E132" s="6" t="s">
        <x:v>573</x:v>
      </x:c>
      <x:c r="F132" s="6" t="s">
        <x:v>52</x:v>
      </x:c>
      <x:c r="G132" s="6" t="s">
        <x:v>211</x:v>
      </x:c>
      <x:c r="H132" s="6" t="s">
        <x:v>350</x:v>
      </x:c>
      <x:c r="I132" s="10" t="s">
        <x:v>350</x:v>
      </x:c>
      <x:c r="J132" s="10" t="s">
        <x:v>308</x:v>
      </x:c>
      <x:c r="K132" s="9" t="str">
        <x:f>"6935364050573"</x:f>
        <x:v>6935364050573</x:v>
      </x:c>
      <x:c r="L132" s="9" t="str">
        <x:f>"6935364050573"</x:f>
        <x:v>6935364050573</x:v>
      </x:c>
      <x:c r="M132" s="12" t="s">
        <x:v>489</x:v>
      </x:c>
      <x:c r="N132" s="8">
        <x:v>0</x:v>
      </x:c>
      <x:c r="O132" s="11" t="n">
        <x:f>IF(B132="KEEP EXISTING",N132,'Cost Review'!H127)</x:f>
        <x:v>0</x:v>
      </x:c>
      <x:c r="P132" s="8" t="str">
        <x:f t="shared" si="14">IF(B132="EXCLUDE","Excluded",IF(B132="REVIEW MATCH","Review match",IF(B132="KEEP EXISTING","Existing",IF(O132&lt;=0,"MISSING","REVIEW"))))</x:f>
        <x:v>Excluded</x:v>
      </x:c>
      <x:c r="Q132" s="8">
        <x:v>55</x:v>
      </x:c>
      <x:c r="R132" s="11" t="n">
        <x:f>IF(B132="KEEP EXISTING",Q132,'Cost Review'!J127)</x:f>
        <x:v>55</x:v>
      </x:c>
      <x:c r="S132" s="6" t="str">
        <x:f t="shared" si="15">IF(B132="EXCLUDE","Excluded",IF(B132="REVIEW MATCH","Review match",IF(B132="KEEP EXISTING","Existing",IF(OR(R132&lt;=0,R132&gt;100000),"CHECK","OK"))))</x:f>
        <x:v>Excluded</x:v>
      </x:c>
      <x:c r="T132" s="9" t="str">
        <x:f>"6935364050573"</x:f>
        <x:v>6935364050573</x:v>
      </x:c>
      <x:c r="U132" s="10" t="s">
        <x:v>656</x:v>
      </x:c>
      <x:c r="V132" s="6" t="str">
        <x:f t="shared" si="16">IF(B132="EXCLUDE","Excluded",IF(B132="REVIEW MATCH","Review match",IF(B132="KEEP EXISTING","Existing",IF(U132="","MISSING","FOUND"))))</x:f>
        <x:v>Excluded</x:v>
      </x:c>
      <x:c r="W132" s="9">
        <x:v>1</x:v>
      </x:c>
      <x:c r="X132" s="9">
        <x:v>0</x:v>
      </x:c>
      <x:c r="Y132" s="26" t="str">
        <x:f>IF(B132="EXCLUDE","Excluded by user",IF(B132="REVIEW MATCH","Review current POS match",IF(B132="KEEP EXISTING","Already in POS",IF(O132&lt;=0,"Blocked: cost",IF(OR(R132&lt;=0,R132&gt;100000),"Blocked: retail",IF(U132="","Blocked: image",IF('Summary'!$B$3="APPROVED","READY","Pending approval")))))))</x:f>
        <x:v>Excluded by user</x:v>
      </x:c>
      <x:c r="Z132" s="26" t="str">
        <x:v>Cost must be entered before import. Source stock 1 is reference only; POS starts at 0. USER EXCLUSION: red-marked item; do not import.</x:v>
      </x:c>
    </x:row>
    <x:row r="133" ht="29.25">
      <x:c r="A133" s="12" t="s">
        <x:v>351</x:v>
      </x:c>
      <x:c r="B133" s="25" t="str">
        <x:v>EXCLUDE</x:v>
      </x:c>
      <x:c r="C133" s="6"/>
      <x:c r="D133" s="6"/>
      <x:c r="E133" s="6" t="s">
        <x:v>573</x:v>
      </x:c>
      <x:c r="F133" s="6" t="s">
        <x:v>52</x:v>
      </x:c>
      <x:c r="G133" s="6" t="s">
        <x:v>211</x:v>
      </x:c>
      <x:c r="H133" s="6" t="s">
        <x:v>352</x:v>
      </x:c>
      <x:c r="I133" s="10" t="s">
        <x:v>352</x:v>
      </x:c>
      <x:c r="J133" s="10" t="s">
        <x:v>308</x:v>
      </x:c>
      <x:c r="K133" s="9" t="str">
        <x:f>"6845174"</x:f>
        <x:v>6845174</x:v>
      </x:c>
      <x:c r="L133" s="9" t="str">
        <x:f>"6845174"</x:f>
        <x:v>6845174</x:v>
      </x:c>
      <x:c r="M133" s="12" t="s">
        <x:v>489</x:v>
      </x:c>
      <x:c r="N133" s="8">
        <x:v>0</x:v>
      </x:c>
      <x:c r="O133" s="11" t="n">
        <x:f>IF(B133="KEEP EXISTING",N133,'Cost Review'!H128)</x:f>
        <x:v>0</x:v>
      </x:c>
      <x:c r="P133" s="8" t="str">
        <x:f t="shared" si="14">IF(B133="EXCLUDE","Excluded",IF(B133="REVIEW MATCH","Review match",IF(B133="KEEP EXISTING","Existing",IF(O133&lt;=0,"MISSING","REVIEW"))))</x:f>
        <x:v>Excluded</x:v>
      </x:c>
      <x:c r="Q133" s="8">
        <x:v>45</x:v>
      </x:c>
      <x:c r="R133" s="11" t="n">
        <x:f>IF(B133="KEEP EXISTING",Q133,'Cost Review'!J128)</x:f>
        <x:v>45</x:v>
      </x:c>
      <x:c r="S133" s="6" t="str">
        <x:f t="shared" si="15">IF(B133="EXCLUDE","Excluded",IF(B133="REVIEW MATCH","Review match",IF(B133="KEEP EXISTING","Existing",IF(OR(R133&lt;=0,R133&gt;100000),"CHECK","OK"))))</x:f>
        <x:v>Excluded</x:v>
      </x:c>
      <x:c r="T133" s="9" t="str">
        <x:f>"2998000068459"</x:f>
        <x:v>2998000068459</x:v>
      </x:c>
      <x:c r="U133" s="10" t="s">
        <x:v>657</x:v>
      </x:c>
      <x:c r="V133" s="6" t="str">
        <x:f t="shared" si="16">IF(B133="EXCLUDE","Excluded",IF(B133="REVIEW MATCH","Review match",IF(B133="KEEP EXISTING","Existing",IF(U133="","MISSING","FOUND"))))</x:f>
        <x:v>Excluded</x:v>
      </x:c>
      <x:c r="W133" s="9">
        <x:v>-1</x:v>
      </x:c>
      <x:c r="X133" s="9">
        <x:v>0</x:v>
      </x:c>
      <x:c r="Y133" s="26" t="str">
        <x:f>IF(B133="EXCLUDE","Excluded by user",IF(B133="REVIEW MATCH","Review current POS match",IF(B133="KEEP EXISTING","Already in POS",IF(O133&lt;=0,"Blocked: cost",IF(OR(R133&lt;=0,R133&gt;100000),"Blocked: retail",IF(U133="","Blocked: image",IF('Summary'!$B$3="APPROVED","READY","Pending approval")))))))</x:f>
        <x:v>Excluded by user</x:v>
      </x:c>
      <x:c r="Z133" s="26" t="str">
        <x:v>Cost must be entered before import. Source stock -1 is reference only; POS starts at 0. USER EXCLUSION: red-marked item; do not import.</x:v>
      </x:c>
    </x:row>
    <x:row r="134" ht="29.25">
      <x:c r="A134" s="12" t="s">
        <x:v>353</x:v>
      </x:c>
      <x:c r="B134" s="25" t="str">
        <x:v>EXCLUDE</x:v>
      </x:c>
      <x:c r="C134" s="6"/>
      <x:c r="D134" s="6"/>
      <x:c r="E134" s="6" t="s">
        <x:v>499</x:v>
      </x:c>
      <x:c r="F134" s="6" t="s">
        <x:v>52</x:v>
      </x:c>
      <x:c r="G134" s="6" t="s">
        <x:v>63</x:v>
      </x:c>
      <x:c r="H134" s="6" t="s">
        <x:v>354</x:v>
      </x:c>
      <x:c r="I134" s="10" t="s">
        <x:v>354</x:v>
      </x:c>
      <x:c r="J134" s="10" t="s">
        <x:v>37</x:v>
      </x:c>
      <x:c r="K134" s="9" t="str">
        <x:f>"2901353532461"</x:f>
        <x:v>2901353532461</x:v>
      </x:c>
      <x:c r="L134" s="9" t="str">
        <x:f>"2901353532461"</x:f>
        <x:v>2901353532461</x:v>
      </x:c>
      <x:c r="M134" s="12" t="s">
        <x:v>489</x:v>
      </x:c>
      <x:c r="N134" s="8">
        <x:v>0</x:v>
      </x:c>
      <x:c r="O134" s="11" t="n">
        <x:f>IF(B134="KEEP EXISTING",N134,'Cost Review'!H129)</x:f>
        <x:v>0</x:v>
      </x:c>
      <x:c r="P134" s="8" t="str">
        <x:f t="shared" si="14">IF(B134="EXCLUDE","Excluded",IF(B134="REVIEW MATCH","Review match",IF(B134="KEEP EXISTING","Existing",IF(O134&lt;=0,"MISSING","REVIEW"))))</x:f>
        <x:v>Excluded</x:v>
      </x:c>
      <x:c r="Q134" s="8">
        <x:v>35</x:v>
      </x:c>
      <x:c r="R134" s="11" t="n">
        <x:f>IF(B134="KEEP EXISTING",Q134,'Cost Review'!J129)</x:f>
        <x:v>35</x:v>
      </x:c>
      <x:c r="S134" s="6" t="str">
        <x:f t="shared" si="15">IF(B134="EXCLUDE","Excluded",IF(B134="REVIEW MATCH","Review match",IF(B134="KEEP EXISTING","Existing",IF(OR(R134&lt;=0,R134&gt;100000),"CHECK","OK"))))</x:f>
        <x:v>Excluded</x:v>
      </x:c>
      <x:c r="T134" s="9" t="str">
        <x:f>"2901353532461"</x:f>
        <x:v>2901353532461</x:v>
      </x:c>
      <x:c r="U134" s="10" t="s">
        <x:v>658</x:v>
      </x:c>
      <x:c r="V134" s="6" t="str">
        <x:f t="shared" si="16">IF(B134="EXCLUDE","Excluded",IF(B134="REVIEW MATCH","Review match",IF(B134="KEEP EXISTING","Existing",IF(U134="","MISSING","FOUND"))))</x:f>
        <x:v>Excluded</x:v>
      </x:c>
      <x:c r="W134" s="9">
        <x:v>3</x:v>
      </x:c>
      <x:c r="X134" s="9">
        <x:v>0</x:v>
      </x:c>
      <x:c r="Y134" s="26" t="str">
        <x:f>IF(B134="EXCLUDE","Excluded by user",IF(B134="REVIEW MATCH","Review current POS match",IF(B134="KEEP EXISTING","Already in POS",IF(O134&lt;=0,"Blocked: cost",IF(OR(R134&lt;=0,R134&gt;100000),"Blocked: retail",IF(U134="","Blocked: image",IF('Summary'!$B$3="APPROVED","READY","Pending approval")))))))</x:f>
        <x:v>Excluded by user</x:v>
      </x:c>
      <x:c r="Z134" s="26" t="str">
        <x:v>Cost must be entered before import. Source stock 3 is reference only; POS starts at 0. USER EXCLUSION: red-marked item; do not import.</x:v>
      </x:c>
    </x:row>
    <x:row r="135" ht="29.25">
      <x:c r="A135" s="12" t="s">
        <x:v>355</x:v>
      </x:c>
      <x:c r="B135" s="6" t="str">
        <x:v>IMPORT</x:v>
      </x:c>
      <x:c r="C135" s="6"/>
      <x:c r="D135" s="6"/>
      <x:c r="E135" s="6" t="s">
        <x:v>499</x:v>
      </x:c>
      <x:c r="F135" s="6" t="s">
        <x:v>52</x:v>
      </x:c>
      <x:c r="G135" s="6" t="s">
        <x:v>63</x:v>
      </x:c>
      <x:c r="H135" s="6" t="s">
        <x:v>356</x:v>
      </x:c>
      <x:c r="I135" s="10" t="s">
        <x:v>356</x:v>
      </x:c>
      <x:c r="J135" s="10" t="s">
        <x:v>37</x:v>
      </x:c>
      <x:c r="K135" s="9" t="str">
        <x:f>"593450563718"</x:f>
        <x:v>593450563718</x:v>
      </x:c>
      <x:c r="L135" s="9" t="str">
        <x:f>"593450563718"</x:f>
        <x:v>593450563718</x:v>
      </x:c>
      <x:c r="M135" s="12" t="s">
        <x:v>489</x:v>
      </x:c>
      <x:c r="N135" s="8">
        <x:v>0</x:v>
      </x:c>
      <x:c r="O135" s="11" t="n">
        <x:f>IF(B135="KEEP EXISTING",N135,'Cost Review'!H130)</x:f>
        <x:v>15</x:v>
      </x:c>
      <x:c r="P135" s="8" t="str">
        <x:f t="shared" si="14">IF(B135="EXCLUDE","Excluded",IF(B135="REVIEW MATCH","Review match",IF(B135="KEEP EXISTING","Existing",IF(O135&lt;=0,"MISSING","REVIEW"))))</x:f>
        <x:v>REVIEW</x:v>
      </x:c>
      <x:c r="Q135" s="8">
        <x:v>55</x:v>
      </x:c>
      <x:c r="R135" s="11" t="n">
        <x:f>IF(B135="KEEP EXISTING",Q135,'Cost Review'!J130)</x:f>
        <x:v>55</x:v>
      </x:c>
      <x:c r="S135" s="6" t="str">
        <x:f t="shared" si="15">IF(B135="EXCLUDE","Excluded",IF(B135="REVIEW MATCH","Review match",IF(B135="KEEP EXISTING","Existing",IF(OR(R135&lt;=0,R135&gt;100000),"CHECK","OK"))))</x:f>
        <x:v>OK</x:v>
      </x:c>
      <x:c r="T135" s="9" t="str">
        <x:f>"593450563718"</x:f>
        <x:v>593450563718</x:v>
      </x:c>
      <x:c r="U135" s="10" t="s">
        <x:v>659</x:v>
      </x:c>
      <x:c r="V135" s="6" t="str">
        <x:f t="shared" si="16">IF(B135="EXCLUDE","Excluded",IF(B135="REVIEW MATCH","Review match",IF(B135="KEEP EXISTING","Existing",IF(U135="","MISSING","FOUND"))))</x:f>
        <x:v>FOUND</x:v>
      </x:c>
      <x:c r="W135" s="9">
        <x:v>1</x:v>
      </x:c>
      <x:c r="X135" s="9">
        <x:v>0</x:v>
      </x:c>
      <x:c r="Y135" s="6" t="str">
        <x:f>IF(B135="EXCLUDE","Excluded by user",IF(B135="REVIEW MATCH","Review current POS match",IF(B135="KEEP EXISTING","Already in POS",IF(O135&lt;=0,"Blocked: cost",IF(OR(R135&lt;=0,R135&gt;100000),"Blocked: retail",IF(U135="","Blocked: image",IF('Summary'!$B$3="APPROVED","READY","Pending approval")))))))</x:f>
        <x:v>Pending approval</x:v>
      </x:c>
      <x:c r="Z135" s="6" t="str">
        <x:v>Cost must be entered before import. Source stock 1 is reference only; POS starts at 0.</x:v>
      </x:c>
    </x:row>
    <x:row r="136" ht="29.25">
      <x:c r="A136" s="12" t="s">
        <x:v>358</x:v>
      </x:c>
      <x:c r="B136" s="6" t="str">
        <x:v>IMPORT</x:v>
      </x:c>
      <x:c r="C136" s="6"/>
      <x:c r="D136" s="6"/>
      <x:c r="E136" s="6" t="s">
        <x:v>648</x:v>
      </x:c>
      <x:c r="F136" s="6" t="s">
        <x:v>38</x:v>
      </x:c>
      <x:c r="G136" s="6" t="s">
        <x:v>360</x:v>
      </x:c>
      <x:c r="H136" s="6" t="s">
        <x:v>359</x:v>
      </x:c>
      <x:c r="I136" s="10" t="s">
        <x:v>359</x:v>
      </x:c>
      <x:c r="J136" s="10" t="s">
        <x:v>37</x:v>
      </x:c>
      <x:c r="K136" s="9" t="str">
        <x:f>"89421783370"</x:f>
        <x:v>89421783370</x:v>
      </x:c>
      <x:c r="L136" s="9" t="str">
        <x:f>"89421783370"</x:f>
        <x:v>89421783370</x:v>
      </x:c>
      <x:c r="M136" s="12" t="s">
        <x:v>489</x:v>
      </x:c>
      <x:c r="N136" s="8">
        <x:v>2</x:v>
      </x:c>
      <x:c r="O136" s="11" t="n">
        <x:f>IF(B136="KEEP EXISTING",N136,'Cost Review'!H131)</x:f>
        <x:v>2</x:v>
      </x:c>
      <x:c r="P136" s="8" t="str">
        <x:f t="shared" si="14">IF(B136="EXCLUDE","Excluded",IF(B136="REVIEW MATCH","Review match",IF(B136="KEEP EXISTING","Existing",IF(O136&lt;=0,"MISSING","REVIEW"))))</x:f>
        <x:v>REVIEW</x:v>
      </x:c>
      <x:c r="Q136" s="8">
        <x:v>19.989999999999998</x:v>
      </x:c>
      <x:c r="R136" s="11" t="n">
        <x:f>IF(B136="KEEP EXISTING",Q136,'Cost Review'!J131)</x:f>
        <x:v>19.99</x:v>
      </x:c>
      <x:c r="S136" s="6" t="str">
        <x:f t="shared" si="15">IF(B136="EXCLUDE","Excluded",IF(B136="REVIEW MATCH","Review match",IF(B136="KEEP EXISTING","Existing",IF(OR(R136&lt;=0,R136&gt;100000),"CHECK","OK"))))</x:f>
        <x:v>OK</x:v>
      </x:c>
      <x:c r="T136" s="9" t="str">
        <x:f>"89421783370"</x:f>
        <x:v>89421783370</x:v>
      </x:c>
      <x:c r="U136" s="10" t="s">
        <x:v>660</x:v>
      </x:c>
      <x:c r="V136" s="6" t="str">
        <x:f t="shared" si="16">IF(B136="EXCLUDE","Excluded",IF(B136="REVIEW MATCH","Review match",IF(B136="KEEP EXISTING","Existing",IF(U136="","MISSING","FOUND"))))</x:f>
        <x:v>FOUND</x:v>
      </x:c>
      <x:c r="W136" s="9">
        <x:v>4</x:v>
      </x:c>
      <x:c r="X136" s="9">
        <x:v>0</x:v>
      </x:c>
      <x:c r="Y136" s="6" t="str">
        <x:f>IF(B136="EXCLUDE","Excluded by user",IF(B136="REVIEW MATCH","Review current POS match",IF(B136="KEEP EXISTING","Already in POS",IF(O136&lt;=0,"Blocked: cost",IF(OR(R136&lt;=0,R136&gt;100000),"Blocked: retail",IF(U136="","Blocked: image",IF('Summary'!$B$3="APPROVED","READY","Pending approval")))))))</x:f>
        <x:v>Pending approval</x:v>
      </x:c>
      <x:c r="Z136" s="6" t="str">
        <x:v>Source stock 4 is reference only; POS starts at 0.</x:v>
      </x:c>
    </x:row>
    <x:row r="137" ht="29.25">
      <x:c r="A137" s="12" t="s">
        <x:v>361</x:v>
      </x:c>
      <x:c r="B137" s="6" t="str">
        <x:v>IMPORT</x:v>
      </x:c>
      <x:c r="C137" s="6"/>
      <x:c r="D137" s="6"/>
      <x:c r="E137" s="6" t="s">
        <x:v>515</x:v>
      </x:c>
      <x:c r="F137" s="6" t="s">
        <x:v>52</x:v>
      </x:c>
      <x:c r="G137" s="6" t="s">
        <x:v>58</x:v>
      </x:c>
      <x:c r="H137" s="6" t="s">
        <x:v>362</x:v>
      </x:c>
      <x:c r="I137" s="10" t="s">
        <x:v>362</x:v>
      </x:c>
      <x:c r="J137" s="10" t="s">
        <x:v>136</x:v>
      </x:c>
      <x:c r="K137" s="9" t="str">
        <x:f>"6970344732476"</x:f>
        <x:v>6970344732476</x:v>
      </x:c>
      <x:c r="L137" s="9" t="str">
        <x:f>"6970344732476"</x:f>
        <x:v>6970344732476</x:v>
      </x:c>
      <x:c r="M137" s="12" t="s">
        <x:v>489</x:v>
      </x:c>
      <x:c r="N137" s="8">
        <x:v>0</x:v>
      </x:c>
      <x:c r="O137" s="11" t="n">
        <x:f>IF(B137="KEEP EXISTING",N137,'Cost Review'!H132)</x:f>
        <x:v>7.76</x:v>
      </x:c>
      <x:c r="P137" s="8" t="str">
        <x:f t="shared" si="14">IF(B137="EXCLUDE","Excluded",IF(B137="REVIEW MATCH","Review match",IF(B137="KEEP EXISTING","Existing",IF(O137&lt;=0,"MISSING","REVIEW"))))</x:f>
        <x:v>REVIEW</x:v>
      </x:c>
      <x:c r="Q137" s="8">
        <x:v>24.99</x:v>
      </x:c>
      <x:c r="R137" s="11" t="n">
        <x:f>IF(B137="KEEP EXISTING",Q137,'Cost Review'!J132)</x:f>
        <x:v>24.99</x:v>
      </x:c>
      <x:c r="S137" s="6" t="str">
        <x:f t="shared" si="15">IF(B137="EXCLUDE","Excluded",IF(B137="REVIEW MATCH","Review match",IF(B137="KEEP EXISTING","Existing",IF(OR(R137&lt;=0,R137&gt;100000),"CHECK","OK"))))</x:f>
        <x:v>OK</x:v>
      </x:c>
      <x:c r="T137" s="9" t="str">
        <x:f>"6970344732476"</x:f>
        <x:v>6970344732476</x:v>
      </x:c>
      <x:c r="U137" s="10" t="s">
        <x:v>661</x:v>
      </x:c>
      <x:c r="V137" s="6" t="str">
        <x:f t="shared" si="16">IF(B137="EXCLUDE","Excluded",IF(B137="REVIEW MATCH","Review match",IF(B137="KEEP EXISTING","Existing",IF(U137="","MISSING","FOUND"))))</x:f>
        <x:v>FOUND</x:v>
      </x:c>
      <x:c r="W137" s="9">
        <x:v>1</x:v>
      </x:c>
      <x:c r="X137" s="9">
        <x:v>0</x:v>
      </x:c>
      <x:c r="Y137" s="6" t="str">
        <x:f>IF(B137="EXCLUDE","Excluded by user",IF(B137="REVIEW MATCH","Review current POS match",IF(B137="KEEP EXISTING","Already in POS",IF(O137&lt;=0,"Blocked: cost",IF(OR(R137&lt;=0,R137&gt;100000),"Blocked: retail",IF(U137="","Blocked: image",IF('Summary'!$B$3="APPROVED","READY","Pending approval")))))))</x:f>
        <x:v>Pending approval</x:v>
      </x:c>
      <x:c r="Z137" s="6" t="str">
        <x:v>Cost must be entered before import. Source stock 1 is reference only; POS starts at 0.</x:v>
      </x:c>
    </x:row>
    <x:row r="138" ht="29.25">
      <x:c r="A138" s="12" t="s">
        <x:v>363</x:v>
      </x:c>
      <x:c r="B138" s="6" t="str">
        <x:v>IMPORT</x:v>
      </x:c>
      <x:c r="C138" s="6"/>
      <x:c r="D138" s="6"/>
      <x:c r="E138" s="6" t="s">
        <x:v>488</x:v>
      </x:c>
      <x:c r="F138" s="6" t="s">
        <x:v>38</x:v>
      </x:c>
      <x:c r="G138" s="6" t="s">
        <x:v>39</x:v>
      </x:c>
      <x:c r="H138" s="6" t="s">
        <x:v>364</x:v>
      </x:c>
      <x:c r="I138" s="10" t="s">
        <x:v>364</x:v>
      </x:c>
      <x:c r="J138" s="10" t="s">
        <x:v>37</x:v>
      </x:c>
      <x:c r="K138" s="9" t="str">
        <x:f>"011739479791"</x:f>
        <x:v>011739479791</x:v>
      </x:c>
      <x:c r="L138" s="9" t="str">
        <x:f>"011739479791"</x:f>
        <x:v>011739479791</x:v>
      </x:c>
      <x:c r="M138" s="12" t="s">
        <x:v>489</x:v>
      </x:c>
      <x:c r="N138" s="8">
        <x:v>0</x:v>
      </x:c>
      <x:c r="O138" s="11" t="n">
        <x:f>IF(B138="KEEP EXISTING",N138,'Cost Review'!H133)</x:f>
        <x:v>5</x:v>
      </x:c>
      <x:c r="P138" s="8" t="str">
        <x:f t="shared" si="14">IF(B138="EXCLUDE","Excluded",IF(B138="REVIEW MATCH","Review match",IF(B138="KEEP EXISTING","Existing",IF(O138&lt;=0,"MISSING","REVIEW"))))</x:f>
        <x:v>REVIEW</x:v>
      </x:c>
      <x:c r="Q138" s="8">
        <x:v>15</x:v>
      </x:c>
      <x:c r="R138" s="11" t="n">
        <x:f>IF(B138="KEEP EXISTING",Q138,'Cost Review'!J133)</x:f>
        <x:v>15</x:v>
      </x:c>
      <x:c r="S138" s="6" t="str">
        <x:f t="shared" si="15">IF(B138="EXCLUDE","Excluded",IF(B138="REVIEW MATCH","Review match",IF(B138="KEEP EXISTING","Existing",IF(OR(R138&lt;=0,R138&gt;100000),"CHECK","OK"))))</x:f>
        <x:v>OK</x:v>
      </x:c>
      <x:c r="T138" s="9" t="str">
        <x:f>"011739479791"</x:f>
        <x:v>011739479791</x:v>
      </x:c>
      <x:c r="U138" s="10" t="s">
        <x:v>662</x:v>
      </x:c>
      <x:c r="V138" s="6" t="str">
        <x:f t="shared" si="16">IF(B138="EXCLUDE","Excluded",IF(B138="REVIEW MATCH","Review match",IF(B138="KEEP EXISTING","Existing",IF(U138="","MISSING","FOUND"))))</x:f>
        <x:v>FOUND</x:v>
      </x:c>
      <x:c r="W138" s="9">
        <x:v>1</x:v>
      </x:c>
      <x:c r="X138" s="9">
        <x:v>0</x:v>
      </x:c>
      <x:c r="Y138" s="6" t="str">
        <x:f>IF(B138="EXCLUDE","Excluded by user",IF(B138="REVIEW MATCH","Review current POS match",IF(B138="KEEP EXISTING","Already in POS",IF(O138&lt;=0,"Blocked: cost",IF(OR(R138&lt;=0,R138&gt;100000),"Blocked: retail",IF(U138="","Blocked: image",IF('Summary'!$B$3="APPROVED","READY","Pending approval")))))))</x:f>
        <x:v>Pending approval</x:v>
      </x:c>
      <x:c r="Z138" s="6" t="str">
        <x:v>Cost must be entered before import. Source stock 1 is reference only; POS starts at 0.</x:v>
      </x:c>
    </x:row>
    <x:row r="139" ht="29.25">
      <x:c r="A139" s="12" t="s">
        <x:v>365</x:v>
      </x:c>
      <x:c r="B139" s="6" t="str">
        <x:v>IMPORT</x:v>
      </x:c>
      <x:c r="C139" s="6"/>
      <x:c r="D139" s="6"/>
      <x:c r="E139" s="6" t="s">
        <x:v>488</x:v>
      </x:c>
      <x:c r="F139" s="6" t="s">
        <x:v>38</x:v>
      </x:c>
      <x:c r="G139" s="6" t="s">
        <x:v>367</x:v>
      </x:c>
      <x:c r="H139" s="6" t="s">
        <x:v>366</x:v>
      </x:c>
      <x:c r="I139" s="10" t="s">
        <x:v>366</x:v>
      </x:c>
      <x:c r="J139" s="10" t="s">
        <x:v>37</x:v>
      </x:c>
      <x:c r="K139" s="9" t="str">
        <x:f>"584665051299"</x:f>
        <x:v>584665051299</x:v>
      </x:c>
      <x:c r="L139" s="9" t="str">
        <x:f>"584665051299"</x:f>
        <x:v>584665051299</x:v>
      </x:c>
      <x:c r="M139" s="12" t="s">
        <x:v>489</x:v>
      </x:c>
      <x:c r="N139" s="8">
        <x:v>0</x:v>
      </x:c>
      <x:c r="O139" s="11" t="n">
        <x:f>IF(B139="KEEP EXISTING",N139,'Cost Review'!H134)</x:f>
        <x:v>5</x:v>
      </x:c>
      <x:c r="P139" s="8" t="str">
        <x:f t="shared" si="14">IF(B139="EXCLUDE","Excluded",IF(B139="REVIEW MATCH","Review match",IF(B139="KEEP EXISTING","Existing",IF(O139&lt;=0,"MISSING","REVIEW"))))</x:f>
        <x:v>REVIEW</x:v>
      </x:c>
      <x:c r="Q139" s="8">
        <x:v>20</x:v>
      </x:c>
      <x:c r="R139" s="11" t="n">
        <x:f>IF(B139="KEEP EXISTING",Q139,'Cost Review'!J134)</x:f>
        <x:v>20</x:v>
      </x:c>
      <x:c r="S139" s="6" t="str">
        <x:f t="shared" si="15">IF(B139="EXCLUDE","Excluded",IF(B139="REVIEW MATCH","Review match",IF(B139="KEEP EXISTING","Existing",IF(OR(R139&lt;=0,R139&gt;100000),"CHECK","OK"))))</x:f>
        <x:v>OK</x:v>
      </x:c>
      <x:c r="T139" s="9" t="str">
        <x:f>"584665051299"</x:f>
        <x:v>584665051299</x:v>
      </x:c>
      <x:c r="U139" s="10" t="s">
        <x:v>663</x:v>
      </x:c>
      <x:c r="V139" s="6" t="str">
        <x:f t="shared" si="16">IF(B139="EXCLUDE","Excluded",IF(B139="REVIEW MATCH","Review match",IF(B139="KEEP EXISTING","Existing",IF(U139="","MISSING","FOUND"))))</x:f>
        <x:v>FOUND</x:v>
      </x:c>
      <x:c r="W139" s="9">
        <x:v>5</x:v>
      </x:c>
      <x:c r="X139" s="9">
        <x:v>0</x:v>
      </x:c>
      <x:c r="Y139" s="6" t="str">
        <x:f>IF(B139="EXCLUDE","Excluded by user",IF(B139="REVIEW MATCH","Review current POS match",IF(B139="KEEP EXISTING","Already in POS",IF(O139&lt;=0,"Blocked: cost",IF(OR(R139&lt;=0,R139&gt;100000),"Blocked: retail",IF(U139="","Blocked: image",IF('Summary'!$B$3="APPROVED","READY","Pending approval")))))))</x:f>
        <x:v>Pending approval</x:v>
      </x:c>
      <x:c r="Z139" s="6" t="str">
        <x:v>Cost must be entered before import. Source stock 5 is reference only; POS starts at 0.</x:v>
      </x:c>
    </x:row>
    <x:row r="140" ht="29.25">
      <x:c r="A140" s="12" t="s">
        <x:v>368</x:v>
      </x:c>
      <x:c r="B140" s="6" t="str">
        <x:v>IMPORT</x:v>
      </x:c>
      <x:c r="C140" s="6"/>
      <x:c r="D140" s="6"/>
      <x:c r="E140" s="6" t="s">
        <x:v>488</x:v>
      </x:c>
      <x:c r="F140" s="6" t="s">
        <x:v>38</x:v>
      </x:c>
      <x:c r="G140" s="6" t="s">
        <x:v>39</x:v>
      </x:c>
      <x:c r="H140" s="6" t="s">
        <x:v>369</x:v>
      </x:c>
      <x:c r="I140" s="10" t="s">
        <x:v>369</x:v>
      </x:c>
      <x:c r="J140" s="10" t="s">
        <x:v>37</x:v>
      </x:c>
      <x:c r="K140" s="9" t="str">
        <x:f>"313231346411"</x:f>
        <x:v>313231346411</x:v>
      </x:c>
      <x:c r="L140" s="9" t="str">
        <x:f>"313231346411"</x:f>
        <x:v>313231346411</x:v>
      </x:c>
      <x:c r="M140" s="12" t="s">
        <x:v>489</x:v>
      </x:c>
      <x:c r="N140" s="8">
        <x:v>0</x:v>
      </x:c>
      <x:c r="O140" s="11" t="n">
        <x:f>IF(B140="KEEP EXISTING",N140,'Cost Review'!H135)</x:f>
        <x:v>5</x:v>
      </x:c>
      <x:c r="P140" s="8" t="str">
        <x:f t="shared" si="14">IF(B140="EXCLUDE","Excluded",IF(B140="REVIEW MATCH","Review match",IF(B140="KEEP EXISTING","Existing",IF(O140&lt;=0,"MISSING","REVIEW"))))</x:f>
        <x:v>REVIEW</x:v>
      </x:c>
      <x:c r="Q140" s="8">
        <x:v>15</x:v>
      </x:c>
      <x:c r="R140" s="11" t="n">
        <x:f>IF(B140="KEEP EXISTING",Q140,'Cost Review'!J135)</x:f>
        <x:v>15</x:v>
      </x:c>
      <x:c r="S140" s="6" t="str">
        <x:f t="shared" si="15">IF(B140="EXCLUDE","Excluded",IF(B140="REVIEW MATCH","Review match",IF(B140="KEEP EXISTING","Existing",IF(OR(R140&lt;=0,R140&gt;100000),"CHECK","OK"))))</x:f>
        <x:v>OK</x:v>
      </x:c>
      <x:c r="T140" s="9" t="str">
        <x:f>"313231346411"</x:f>
        <x:v>313231346411</x:v>
      </x:c>
      <x:c r="U140" s="10" t="s">
        <x:v>664</x:v>
      </x:c>
      <x:c r="V140" s="6" t="str">
        <x:f t="shared" si="16">IF(B140="EXCLUDE","Excluded",IF(B140="REVIEW MATCH","Review match",IF(B140="KEEP EXISTING","Existing",IF(U140="","MISSING","FOUND"))))</x:f>
        <x:v>FOUND</x:v>
      </x:c>
      <x:c r="W140" s="9">
        <x:v>2</x:v>
      </x:c>
      <x:c r="X140" s="9">
        <x:v>0</x:v>
      </x:c>
      <x:c r="Y140" s="6" t="str">
        <x:f>IF(B140="EXCLUDE","Excluded by user",IF(B140="REVIEW MATCH","Review current POS match",IF(B140="KEEP EXISTING","Already in POS",IF(O140&lt;=0,"Blocked: cost",IF(OR(R140&lt;=0,R140&gt;100000),"Blocked: retail",IF(U140="","Blocked: image",IF('Summary'!$B$3="APPROVED","READY","Pending approval")))))))</x:f>
        <x:v>Pending approval</x:v>
      </x:c>
      <x:c r="Z140" s="6" t="str">
        <x:v>Cost must be entered before import. Source stock 2 is reference only; POS starts at 0.</x:v>
      </x:c>
    </x:row>
    <x:row r="141" ht="29.25">
      <x:c r="A141" s="12" t="s">
        <x:v>370</x:v>
      </x:c>
      <x:c r="B141" s="6" t="str">
        <x:v>IMPORT</x:v>
      </x:c>
      <x:c r="C141" s="6"/>
      <x:c r="D141" s="6"/>
      <x:c r="E141" s="6" t="s">
        <x:v>488</x:v>
      </x:c>
      <x:c r="F141" s="6" t="s">
        <x:v>38</x:v>
      </x:c>
      <x:c r="G141" s="6" t="s">
        <x:v>39</x:v>
      </x:c>
      <x:c r="H141" s="6" t="s">
        <x:v>371</x:v>
      </x:c>
      <x:c r="I141" s="10" t="s">
        <x:v>371</x:v>
      </x:c>
      <x:c r="J141" s="10" t="s">
        <x:v>37</x:v>
      </x:c>
      <x:c r="K141" s="9" t="str">
        <x:f>"993835555152"</x:f>
        <x:v>993835555152</x:v>
      </x:c>
      <x:c r="L141" s="9" t="str">
        <x:f>"993835555152"</x:f>
        <x:v>993835555152</x:v>
      </x:c>
      <x:c r="M141" s="12" t="s">
        <x:v>489</x:v>
      </x:c>
      <x:c r="N141" s="8">
        <x:v>0</x:v>
      </x:c>
      <x:c r="O141" s="11" t="n">
        <x:f>IF(B141="KEEP EXISTING",N141,'Cost Review'!H136)</x:f>
        <x:v>8</x:v>
      </x:c>
      <x:c r="P141" s="8" t="str">
        <x:f t="shared" si="14">IF(B141="EXCLUDE","Excluded",IF(B141="REVIEW MATCH","Review match",IF(B141="KEEP EXISTING","Existing",IF(O141&lt;=0,"MISSING","REVIEW"))))</x:f>
        <x:v>REVIEW</x:v>
      </x:c>
      <x:c r="Q141" s="8">
        <x:v>30</x:v>
      </x:c>
      <x:c r="R141" s="11" t="n">
        <x:f>IF(B141="KEEP EXISTING",Q141,'Cost Review'!J136)</x:f>
        <x:v>30</x:v>
      </x:c>
      <x:c r="S141" s="6" t="str">
        <x:f t="shared" si="15">IF(B141="EXCLUDE","Excluded",IF(B141="REVIEW MATCH","Review match",IF(B141="KEEP EXISTING","Existing",IF(OR(R141&lt;=0,R141&gt;100000),"CHECK","OK"))))</x:f>
        <x:v>OK</x:v>
      </x:c>
      <x:c r="T141" s="9" t="str">
        <x:f>"993835555152"</x:f>
        <x:v>993835555152</x:v>
      </x:c>
      <x:c r="U141" s="10" t="s">
        <x:v>665</x:v>
      </x:c>
      <x:c r="V141" s="6" t="str">
        <x:f t="shared" si="16">IF(B141="EXCLUDE","Excluded",IF(B141="REVIEW MATCH","Review match",IF(B141="KEEP EXISTING","Existing",IF(U141="","MISSING","FOUND"))))</x:f>
        <x:v>FOUND</x:v>
      </x:c>
      <x:c r="W141" s="9">
        <x:v>5</x:v>
      </x:c>
      <x:c r="X141" s="9">
        <x:v>0</x:v>
      </x:c>
      <x:c r="Y141" s="6" t="str">
        <x:f>IF(B141="EXCLUDE","Excluded by user",IF(B141="REVIEW MATCH","Review current POS match",IF(B141="KEEP EXISTING","Already in POS",IF(O141&lt;=0,"Blocked: cost",IF(OR(R141&lt;=0,R141&gt;100000),"Blocked: retail",IF(U141="","Blocked: image",IF('Summary'!$B$3="APPROVED","READY","Pending approval")))))))</x:f>
        <x:v>Pending approval</x:v>
      </x:c>
      <x:c r="Z141" s="6" t="str">
        <x:v>Cost must be entered before import. Source stock 5 is reference only; POS starts at 0.</x:v>
      </x:c>
    </x:row>
    <x:row r="142" ht="29.25">
      <x:c r="A142" s="12" t="s">
        <x:v>372</x:v>
      </x:c>
      <x:c r="B142" s="6" t="str">
        <x:v>IMPORT</x:v>
      </x:c>
      <x:c r="C142" s="6"/>
      <x:c r="D142" s="6"/>
      <x:c r="E142" s="6" t="s">
        <x:v>488</x:v>
      </x:c>
      <x:c r="F142" s="6" t="s">
        <x:v>38</x:v>
      </x:c>
      <x:c r="G142" s="6" t="s">
        <x:v>39</x:v>
      </x:c>
      <x:c r="H142" s="6" t="s">
        <x:v>373</x:v>
      </x:c>
      <x:c r="I142" s="10" t="s">
        <x:v>373</x:v>
      </x:c>
      <x:c r="J142" s="10" t="s">
        <x:v>37</x:v>
      </x:c>
      <x:c r="K142" s="9" t="str">
        <x:f>"154975388936"</x:f>
        <x:v>154975388936</x:v>
      </x:c>
      <x:c r="L142" s="9" t="str">
        <x:f>"154975388936"</x:f>
        <x:v>154975388936</x:v>
      </x:c>
      <x:c r="M142" s="12" t="s">
        <x:v>489</x:v>
      </x:c>
      <x:c r="N142" s="8">
        <x:v>0</x:v>
      </x:c>
      <x:c r="O142" s="11" t="n">
        <x:f>IF(B142="KEEP EXISTING",N142,'Cost Review'!H137)</x:f>
        <x:v>5</x:v>
      </x:c>
      <x:c r="P142" s="8" t="str">
        <x:f t="shared" si="14">IF(B142="EXCLUDE","Excluded",IF(B142="REVIEW MATCH","Review match",IF(B142="KEEP EXISTING","Existing",IF(O142&lt;=0,"MISSING","REVIEW"))))</x:f>
        <x:v>REVIEW</x:v>
      </x:c>
      <x:c r="Q142" s="8">
        <x:v>30</x:v>
      </x:c>
      <x:c r="R142" s="11" t="n">
        <x:f>IF(B142="KEEP EXISTING",Q142,'Cost Review'!J137)</x:f>
        <x:v>30</x:v>
      </x:c>
      <x:c r="S142" s="6" t="str">
        <x:f t="shared" si="15">IF(B142="EXCLUDE","Excluded",IF(B142="REVIEW MATCH","Review match",IF(B142="KEEP EXISTING","Existing",IF(OR(R142&lt;=0,R142&gt;100000),"CHECK","OK"))))</x:f>
        <x:v>OK</x:v>
      </x:c>
      <x:c r="T142" s="9" t="str">
        <x:f>"154975388936"</x:f>
        <x:v>154975388936</x:v>
      </x:c>
      <x:c r="U142" s="10" t="s">
        <x:v>666</x:v>
      </x:c>
      <x:c r="V142" s="6" t="str">
        <x:f t="shared" si="16">IF(B142="EXCLUDE","Excluded",IF(B142="REVIEW MATCH","Review match",IF(B142="KEEP EXISTING","Existing",IF(U142="","MISSING","FOUND"))))</x:f>
        <x:v>FOUND</x:v>
      </x:c>
      <x:c r="W142" s="9">
        <x:v>1</x:v>
      </x:c>
      <x:c r="X142" s="9">
        <x:v>0</x:v>
      </x:c>
      <x:c r="Y142" s="6" t="str">
        <x:f>IF(B142="EXCLUDE","Excluded by user",IF(B142="REVIEW MATCH","Review current POS match",IF(B142="KEEP EXISTING","Already in POS",IF(O142&lt;=0,"Blocked: cost",IF(OR(R142&lt;=0,R142&gt;100000),"Blocked: retail",IF(U142="","Blocked: image",IF('Summary'!$B$3="APPROVED","READY","Pending approval")))))))</x:f>
        <x:v>Pending approval</x:v>
      </x:c>
      <x:c r="Z142" s="6" t="str">
        <x:v>Cost must be entered before import. Source stock 1 is reference only; POS starts at 0.</x:v>
      </x:c>
    </x:row>
    <x:row r="143" ht="29.25">
      <x:c r="A143" s="12" t="s">
        <x:v>374</x:v>
      </x:c>
      <x:c r="B143" s="6" t="str">
        <x:v>IMPORT</x:v>
      </x:c>
      <x:c r="C143" s="6"/>
      <x:c r="D143" s="6"/>
      <x:c r="E143" s="6" t="s">
        <x:v>488</x:v>
      </x:c>
      <x:c r="F143" s="6" t="s">
        <x:v>38</x:v>
      </x:c>
      <x:c r="G143" s="6" t="s">
        <x:v>39</x:v>
      </x:c>
      <x:c r="H143" s="6" t="s">
        <x:v>375</x:v>
      </x:c>
      <x:c r="I143" s="10" t="s">
        <x:v>375</x:v>
      </x:c>
      <x:c r="J143" s="10" t="s">
        <x:v>37</x:v>
      </x:c>
      <x:c r="K143" s="9" t="str">
        <x:f>"762992046694"</x:f>
        <x:v>762992046694</x:v>
      </x:c>
      <x:c r="L143" s="9" t="str">
        <x:f>"762992046694"</x:f>
        <x:v>762992046694</x:v>
      </x:c>
      <x:c r="M143" s="12" t="s">
        <x:v>489</x:v>
      </x:c>
      <x:c r="N143" s="8">
        <x:v>0</x:v>
      </x:c>
      <x:c r="O143" s="11" t="n">
        <x:f>IF(B143="KEEP EXISTING",N143,'Cost Review'!H138)</x:f>
        <x:v>5</x:v>
      </x:c>
      <x:c r="P143" s="8" t="str">
        <x:f t="shared" si="14">IF(B143="EXCLUDE","Excluded",IF(B143="REVIEW MATCH","Review match",IF(B143="KEEP EXISTING","Existing",IF(O143&lt;=0,"MISSING","REVIEW"))))</x:f>
        <x:v>REVIEW</x:v>
      </x:c>
      <x:c r="Q143" s="8">
        <x:v>20</x:v>
      </x:c>
      <x:c r="R143" s="11" t="n">
        <x:f>IF(B143="KEEP EXISTING",Q143,'Cost Review'!J138)</x:f>
        <x:v>20</x:v>
      </x:c>
      <x:c r="S143" s="6" t="str">
        <x:f t="shared" si="15">IF(B143="EXCLUDE","Excluded",IF(B143="REVIEW MATCH","Review match",IF(B143="KEEP EXISTING","Existing",IF(OR(R143&lt;=0,R143&gt;100000),"CHECK","OK"))))</x:f>
        <x:v>OK</x:v>
      </x:c>
      <x:c r="T143" s="9" t="str">
        <x:f>"762992046694"</x:f>
        <x:v>762992046694</x:v>
      </x:c>
      <x:c r="U143" s="10" t="s">
        <x:v>667</x:v>
      </x:c>
      <x:c r="V143" s="6" t="str">
        <x:f t="shared" si="16">IF(B143="EXCLUDE","Excluded",IF(B143="REVIEW MATCH","Review match",IF(B143="KEEP EXISTING","Existing",IF(U143="","MISSING","FOUND"))))</x:f>
        <x:v>FOUND</x:v>
      </x:c>
      <x:c r="W143" s="9">
        <x:v>0</x:v>
      </x:c>
      <x:c r="X143" s="9">
        <x:v>0</x:v>
      </x:c>
      <x:c r="Y143" s="6" t="str">
        <x:f>IF(B143="EXCLUDE","Excluded by user",IF(B143="REVIEW MATCH","Review current POS match",IF(B143="KEEP EXISTING","Already in POS",IF(O143&lt;=0,"Blocked: cost",IF(OR(R143&lt;=0,R143&gt;100000),"Blocked: retail",IF(U143="","Blocked: image",IF('Summary'!$B$3="APPROVED","READY","Pending approval")))))))</x:f>
        <x:v>Pending approval</x:v>
      </x:c>
      <x:c r="Z143" s="6" t="str">
        <x:v>Cost must be entered before import.</x:v>
      </x:c>
    </x:row>
    <x:row r="144" ht="29.25">
      <x:c r="A144" s="12" t="s">
        <x:v>376</x:v>
      </x:c>
      <x:c r="B144" s="25" t="str">
        <x:v>EXCLUDE</x:v>
      </x:c>
      <x:c r="C144" s="6"/>
      <x:c r="D144" s="6"/>
      <x:c r="E144" s="6" t="s">
        <x:v>488</x:v>
      </x:c>
      <x:c r="F144" s="6" t="s">
        <x:v>38</x:v>
      </x:c>
      <x:c r="G144" s="6" t="s">
        <x:v>39</x:v>
      </x:c>
      <x:c r="H144" s="6" t="s">
        <x:v>377</x:v>
      </x:c>
      <x:c r="I144" s="10" t="s">
        <x:v>377</x:v>
      </x:c>
      <x:c r="J144" s="10" t="s">
        <x:v>37</x:v>
      </x:c>
      <x:c r="K144" s="9" t="str">
        <x:f>"826584423956"</x:f>
        <x:v>826584423956</x:v>
      </x:c>
      <x:c r="L144" s="9" t="str">
        <x:f>"826584423956"</x:f>
        <x:v>826584423956</x:v>
      </x:c>
      <x:c r="M144" s="12" t="s">
        <x:v>489</x:v>
      </x:c>
      <x:c r="N144" s="8">
        <x:v>0</x:v>
      </x:c>
      <x:c r="O144" s="11" t="n">
        <x:f>IF(B144="KEEP EXISTING",N144,'Cost Review'!H139)</x:f>
        <x:v>0</x:v>
      </x:c>
      <x:c r="P144" s="8" t="str">
        <x:f t="shared" si="14">IF(B144="EXCLUDE","Excluded",IF(B144="REVIEW MATCH","Review match",IF(B144="KEEP EXISTING","Existing",IF(O144&lt;=0,"MISSING","REVIEW"))))</x:f>
        <x:v>Excluded</x:v>
      </x:c>
      <x:c r="Q144" s="8">
        <x:v>30</x:v>
      </x:c>
      <x:c r="R144" s="11" t="n">
        <x:f>IF(B144="KEEP EXISTING",Q144,'Cost Review'!J139)</x:f>
        <x:v>30</x:v>
      </x:c>
      <x:c r="S144" s="6" t="str">
        <x:f t="shared" si="15">IF(B144="EXCLUDE","Excluded",IF(B144="REVIEW MATCH","Review match",IF(B144="KEEP EXISTING","Existing",IF(OR(R144&lt;=0,R144&gt;100000),"CHECK","OK"))))</x:f>
        <x:v>Excluded</x:v>
      </x:c>
      <x:c r="T144" s="9" t="str">
        <x:f>"826584423956"</x:f>
        <x:v>826584423956</x:v>
      </x:c>
      <x:c r="U144" s="10" t="s">
        <x:v>668</x:v>
      </x:c>
      <x:c r="V144" s="6" t="str">
        <x:f t="shared" si="16">IF(B144="EXCLUDE","Excluded",IF(B144="REVIEW MATCH","Review match",IF(B144="KEEP EXISTING","Existing",IF(U144="","MISSING","FOUND"))))</x:f>
        <x:v>Excluded</x:v>
      </x:c>
      <x:c r="W144" s="9">
        <x:v>7</x:v>
      </x:c>
      <x:c r="X144" s="9">
        <x:v>0</x:v>
      </x:c>
      <x:c r="Y144" s="26" t="str">
        <x:f>IF(B144="EXCLUDE","Excluded by user",IF(B144="REVIEW MATCH","Review current POS match",IF(B144="KEEP EXISTING","Already in POS",IF(O144&lt;=0,"Blocked: cost",IF(OR(R144&lt;=0,R144&gt;100000),"Blocked: retail",IF(U144="","Blocked: image",IF('Summary'!$B$3="APPROVED","READY","Pending approval")))))))</x:f>
        <x:v>Excluded by user</x:v>
      </x:c>
      <x:c r="Z144" s="26" t="str">
        <x:v>Cost must be entered before import. Source stock 7 is reference only; POS starts at 0. USER EXCLUSION: red-marked item; do not import.</x:v>
      </x:c>
    </x:row>
    <x:row r="145" ht="29.25">
      <x:c r="A145" s="12" t="s">
        <x:v>378</x:v>
      </x:c>
      <x:c r="B145" s="6" t="str">
        <x:v>IMPORT</x:v>
      </x:c>
      <x:c r="C145" s="6"/>
      <x:c r="D145" s="6"/>
      <x:c r="E145" s="6" t="s">
        <x:v>488</x:v>
      </x:c>
      <x:c r="F145" s="6" t="s">
        <x:v>38</x:v>
      </x:c>
      <x:c r="G145" s="6" t="s">
        <x:v>380</x:v>
      </x:c>
      <x:c r="H145" s="6" t="s">
        <x:v>379</x:v>
      </x:c>
      <x:c r="I145" s="10" t="s">
        <x:v>379</x:v>
      </x:c>
      <x:c r="J145" s="10" t="s">
        <x:v>37</x:v>
      </x:c>
      <x:c r="K145" s="9" t="str">
        <x:f>"122836009092"</x:f>
        <x:v>122836009092</x:v>
      </x:c>
      <x:c r="L145" s="9" t="str">
        <x:f>"122836009092"</x:f>
        <x:v>122836009092</x:v>
      </x:c>
      <x:c r="M145" s="12" t="s">
        <x:v>489</x:v>
      </x:c>
      <x:c r="N145" s="8">
        <x:v>5.5</x:v>
      </x:c>
      <x:c r="O145" s="11" t="n">
        <x:f>IF(B145="KEEP EXISTING",N145,'Cost Review'!H140)</x:f>
        <x:v>5.5</x:v>
      </x:c>
      <x:c r="P145" s="8" t="str">
        <x:f t="shared" si="14">IF(B145="EXCLUDE","Excluded",IF(B145="REVIEW MATCH","Review match",IF(B145="KEEP EXISTING","Existing",IF(O145&lt;=0,"MISSING","REVIEW"))))</x:f>
        <x:v>REVIEW</x:v>
      </x:c>
      <x:c r="Q145" s="8">
        <x:v>30</x:v>
      </x:c>
      <x:c r="R145" s="11" t="n">
        <x:f>IF(B145="KEEP EXISTING",Q145,'Cost Review'!J140)</x:f>
        <x:v>30</x:v>
      </x:c>
      <x:c r="S145" s="6" t="str">
        <x:f t="shared" si="15">IF(B145="EXCLUDE","Excluded",IF(B145="REVIEW MATCH","Review match",IF(B145="KEEP EXISTING","Existing",IF(OR(R145&lt;=0,R145&gt;100000),"CHECK","OK"))))</x:f>
        <x:v>OK</x:v>
      </x:c>
      <x:c r="T145" s="9" t="str">
        <x:f>"122836009092"</x:f>
        <x:v>122836009092</x:v>
      </x:c>
      <x:c r="U145" s="10" t="s">
        <x:v>669</x:v>
      </x:c>
      <x:c r="V145" s="6" t="str">
        <x:f t="shared" si="16">IF(B145="EXCLUDE","Excluded",IF(B145="REVIEW MATCH","Review match",IF(B145="KEEP EXISTING","Existing",IF(U145="","MISSING","FOUND"))))</x:f>
        <x:v>FOUND</x:v>
      </x:c>
      <x:c r="W145" s="9">
        <x:v>10</x:v>
      </x:c>
      <x:c r="X145" s="9">
        <x:v>0</x:v>
      </x:c>
      <x:c r="Y145" s="6" t="str">
        <x:f>IF(B145="EXCLUDE","Excluded by user",IF(B145="REVIEW MATCH","Review current POS match",IF(B145="KEEP EXISTING","Already in POS",IF(O145&lt;=0,"Blocked: cost",IF(OR(R145&lt;=0,R145&gt;100000),"Blocked: retail",IF(U145="","Blocked: image",IF('Summary'!$B$3="APPROVED","READY","Pending approval")))))))</x:f>
        <x:v>Pending approval</x:v>
      </x:c>
      <x:c r="Z145" s="6" t="str">
        <x:v>Source stock 10 is reference only; POS starts at 0.</x:v>
      </x:c>
    </x:row>
    <x:row r="146" ht="29.25">
      <x:c r="A146" s="12" t="s">
        <x:v>381</x:v>
      </x:c>
      <x:c r="B146" s="6" t="str">
        <x:v>IMPORT</x:v>
      </x:c>
      <x:c r="C146" s="6"/>
      <x:c r="D146" s="6"/>
      <x:c r="E146" s="6" t="s">
        <x:v>488</x:v>
      </x:c>
      <x:c r="F146" s="6" t="s">
        <x:v>38</x:v>
      </x:c>
      <x:c r="G146" s="6" t="s">
        <x:v>380</x:v>
      </x:c>
      <x:c r="H146" s="6" t="s">
        <x:v>382</x:v>
      </x:c>
      <x:c r="I146" s="10" t="s">
        <x:v>382</x:v>
      </x:c>
      <x:c r="J146" s="10" t="s">
        <x:v>37</x:v>
      </x:c>
      <x:c r="K146" s="9" t="str">
        <x:f>"294179874573"</x:f>
        <x:v>294179874573</x:v>
      </x:c>
      <x:c r="L146" s="9" t="str">
        <x:f>"294179874573"</x:f>
        <x:v>294179874573</x:v>
      </x:c>
      <x:c r="M146" s="12" t="s">
        <x:v>489</x:v>
      </x:c>
      <x:c r="N146" s="8">
        <x:v>4.5</x:v>
      </x:c>
      <x:c r="O146" s="11" t="n">
        <x:f>IF(B146="KEEP EXISTING",N146,'Cost Review'!H141)</x:f>
        <x:v>4.5</x:v>
      </x:c>
      <x:c r="P146" s="8" t="str">
        <x:f t="shared" si="14">IF(B146="EXCLUDE","Excluded",IF(B146="REVIEW MATCH","Review match",IF(B146="KEEP EXISTING","Existing",IF(O146&lt;=0,"MISSING","REVIEW"))))</x:f>
        <x:v>REVIEW</x:v>
      </x:c>
      <x:c r="Q146" s="8">
        <x:v>20</x:v>
      </x:c>
      <x:c r="R146" s="11" t="n">
        <x:f>IF(B146="KEEP EXISTING",Q146,'Cost Review'!J141)</x:f>
        <x:v>20</x:v>
      </x:c>
      <x:c r="S146" s="6" t="str">
        <x:f t="shared" si="15">IF(B146="EXCLUDE","Excluded",IF(B146="REVIEW MATCH","Review match",IF(B146="KEEP EXISTING","Existing",IF(OR(R146&lt;=0,R146&gt;100000),"CHECK","OK"))))</x:f>
        <x:v>OK</x:v>
      </x:c>
      <x:c r="T146" s="9" t="str">
        <x:f>"294179874573"</x:f>
        <x:v>294179874573</x:v>
      </x:c>
      <x:c r="U146" s="10" t="s">
        <x:v>670</x:v>
      </x:c>
      <x:c r="V146" s="6" t="str">
        <x:f t="shared" si="16">IF(B146="EXCLUDE","Excluded",IF(B146="REVIEW MATCH","Review match",IF(B146="KEEP EXISTING","Existing",IF(U146="","MISSING","FOUND"))))</x:f>
        <x:v>FOUND</x:v>
      </x:c>
      <x:c r="W146" s="9">
        <x:v>12</x:v>
      </x:c>
      <x:c r="X146" s="9">
        <x:v>0</x:v>
      </x:c>
      <x:c r="Y146" s="6" t="str">
        <x:f>IF(B146="EXCLUDE","Excluded by user",IF(B146="REVIEW MATCH","Review current POS match",IF(B146="KEEP EXISTING","Already in POS",IF(O146&lt;=0,"Blocked: cost",IF(OR(R146&lt;=0,R146&gt;100000),"Blocked: retail",IF(U146="","Blocked: image",IF('Summary'!$B$3="APPROVED","READY","Pending approval")))))))</x:f>
        <x:v>Pending approval</x:v>
      </x:c>
      <x:c r="Z146" s="6" t="str">
        <x:v>Source stock 12 is reference only; POS starts at 0.</x:v>
      </x:c>
    </x:row>
    <x:row r="147" ht="29.25">
      <x:c r="A147" s="12" t="s">
        <x:v>383</x:v>
      </x:c>
      <x:c r="B147" s="6" t="str">
        <x:v>IMPORT</x:v>
      </x:c>
      <x:c r="C147" s="6"/>
      <x:c r="D147" s="6"/>
      <x:c r="E147" s="6" t="s">
        <x:v>488</x:v>
      </x:c>
      <x:c r="F147" s="6" t="s">
        <x:v>38</x:v>
      </x:c>
      <x:c r="G147" s="6" t="s">
        <x:v>380</x:v>
      </x:c>
      <x:c r="H147" s="6" t="s">
        <x:v>384</x:v>
      </x:c>
      <x:c r="I147" s="10" t="s">
        <x:v>384</x:v>
      </x:c>
      <x:c r="J147" s="10" t="s">
        <x:v>37</x:v>
      </x:c>
      <x:c r="K147" s="9" t="str">
        <x:f>"001532223639"</x:f>
        <x:v>001532223639</x:v>
      </x:c>
      <x:c r="L147" s="9" t="str">
        <x:f>"001532223639"</x:f>
        <x:v>001532223639</x:v>
      </x:c>
      <x:c r="M147" s="12" t="s">
        <x:v>489</x:v>
      </x:c>
      <x:c r="N147" s="8">
        <x:v>3</x:v>
      </x:c>
      <x:c r="O147" s="11" t="n">
        <x:f>IF(B147="KEEP EXISTING",N147,'Cost Review'!H142)</x:f>
        <x:v>3</x:v>
      </x:c>
      <x:c r="P147" s="8" t="str">
        <x:f t="shared" si="14">IF(B147="EXCLUDE","Excluded",IF(B147="REVIEW MATCH","Review match",IF(B147="KEEP EXISTING","Existing",IF(O147&lt;=0,"MISSING","REVIEW"))))</x:f>
        <x:v>REVIEW</x:v>
      </x:c>
      <x:c r="Q147" s="8">
        <x:v>15</x:v>
      </x:c>
      <x:c r="R147" s="11" t="n">
        <x:f>IF(B147="KEEP EXISTING",Q147,'Cost Review'!J142)</x:f>
        <x:v>15</x:v>
      </x:c>
      <x:c r="S147" s="6" t="str">
        <x:f t="shared" si="15">IF(B147="EXCLUDE","Excluded",IF(B147="REVIEW MATCH","Review match",IF(B147="KEEP EXISTING","Existing",IF(OR(R147&lt;=0,R147&gt;100000),"CHECK","OK"))))</x:f>
        <x:v>OK</x:v>
      </x:c>
      <x:c r="T147" s="9" t="str">
        <x:f>"001532223639"</x:f>
        <x:v>001532223639</x:v>
      </x:c>
      <x:c r="U147" s="10" t="s">
        <x:v>671</x:v>
      </x:c>
      <x:c r="V147" s="6" t="str">
        <x:f t="shared" si="16">IF(B147="EXCLUDE","Excluded",IF(B147="REVIEW MATCH","Review match",IF(B147="KEEP EXISTING","Existing",IF(U147="","MISSING","FOUND"))))</x:f>
        <x:v>FOUND</x:v>
      </x:c>
      <x:c r="W147" s="9">
        <x:v>12</x:v>
      </x:c>
      <x:c r="X147" s="9">
        <x:v>0</x:v>
      </x:c>
      <x:c r="Y147" s="6" t="str">
        <x:f>IF(B147="EXCLUDE","Excluded by user",IF(B147="REVIEW MATCH","Review current POS match",IF(B147="KEEP EXISTING","Already in POS",IF(O147&lt;=0,"Blocked: cost",IF(OR(R147&lt;=0,R147&gt;100000),"Blocked: retail",IF(U147="","Blocked: image",IF('Summary'!$B$3="APPROVED","READY","Pending approval")))))))</x:f>
        <x:v>Pending approval</x:v>
      </x:c>
      <x:c r="Z147" s="6" t="str">
        <x:v>Source stock 12 is reference only; POS starts at 0.</x:v>
      </x:c>
    </x:row>
    <x:row r="148" ht="29.25">
      <x:c r="A148" s="12" t="s">
        <x:v>385</x:v>
      </x:c>
      <x:c r="B148" s="6" t="str">
        <x:v>IMPORT</x:v>
      </x:c>
      <x:c r="C148" s="6"/>
      <x:c r="D148" s="6"/>
      <x:c r="E148" s="6" t="s">
        <x:v>488</x:v>
      </x:c>
      <x:c r="F148" s="6" t="s">
        <x:v>38</x:v>
      </x:c>
      <x:c r="G148" s="6" t="s">
        <x:v>380</x:v>
      </x:c>
      <x:c r="H148" s="6" t="s">
        <x:v>386</x:v>
      </x:c>
      <x:c r="I148" s="10" t="s">
        <x:v>386</x:v>
      </x:c>
      <x:c r="J148" s="10" t="s">
        <x:v>37</x:v>
      </x:c>
      <x:c r="K148" s="9" t="str">
        <x:f>"32540161528"</x:f>
        <x:v>32540161528</x:v>
      </x:c>
      <x:c r="L148" s="9" t="str">
        <x:f>"32540161528"</x:f>
        <x:v>32540161528</x:v>
      </x:c>
      <x:c r="M148" s="12" t="s">
        <x:v>489</x:v>
      </x:c>
      <x:c r="N148" s="8">
        <x:v>1.8</x:v>
      </x:c>
      <x:c r="O148" s="11" t="n">
        <x:f>IF(B148="KEEP EXISTING",N148,'Cost Review'!H143)</x:f>
        <x:v>1.8</x:v>
      </x:c>
      <x:c r="P148" s="8" t="str">
        <x:f t="shared" si="14">IF(B148="EXCLUDE","Excluded",IF(B148="REVIEW MATCH","Review match",IF(B148="KEEP EXISTING","Existing",IF(O148&lt;=0,"MISSING","REVIEW"))))</x:f>
        <x:v>REVIEW</x:v>
      </x:c>
      <x:c r="Q148" s="8">
        <x:v>10</x:v>
      </x:c>
      <x:c r="R148" s="11" t="n">
        <x:f>IF(B148="KEEP EXISTING",Q148,'Cost Review'!J143)</x:f>
        <x:v>10</x:v>
      </x:c>
      <x:c r="S148" s="6" t="str">
        <x:f t="shared" si="15">IF(B148="EXCLUDE","Excluded",IF(B148="REVIEW MATCH","Review match",IF(B148="KEEP EXISTING","Existing",IF(OR(R148&lt;=0,R148&gt;100000),"CHECK","OK"))))</x:f>
        <x:v>OK</x:v>
      </x:c>
      <x:c r="T148" s="9" t="str">
        <x:f>"32540161528"</x:f>
        <x:v>32540161528</x:v>
      </x:c>
      <x:c r="U148" s="10" t="s">
        <x:v>672</x:v>
      </x:c>
      <x:c r="V148" s="6" t="str">
        <x:f t="shared" si="16">IF(B148="EXCLUDE","Excluded",IF(B148="REVIEW MATCH","Review match",IF(B148="KEEP EXISTING","Existing",IF(U148="","MISSING","FOUND"))))</x:f>
        <x:v>FOUND</x:v>
      </x:c>
      <x:c r="W148" s="9">
        <x:v>4</x:v>
      </x:c>
      <x:c r="X148" s="9">
        <x:v>0</x:v>
      </x:c>
      <x:c r="Y148" s="6" t="str">
        <x:f>IF(B148="EXCLUDE","Excluded by user",IF(B148="REVIEW MATCH","Review current POS match",IF(B148="KEEP EXISTING","Already in POS",IF(O148&lt;=0,"Blocked: cost",IF(OR(R148&lt;=0,R148&gt;100000),"Blocked: retail",IF(U148="","Blocked: image",IF('Summary'!$B$3="APPROVED","READY","Pending approval")))))))</x:f>
        <x:v>Pending approval</x:v>
      </x:c>
      <x:c r="Z148" s="6" t="str">
        <x:v>Source stock 4 is reference only; POS starts at 0.</x:v>
      </x:c>
    </x:row>
    <x:row r="149" ht="29.25">
      <x:c r="A149" s="12" t="s">
        <x:v>387</x:v>
      </x:c>
      <x:c r="B149" s="6" t="str">
        <x:v>IMPORT</x:v>
      </x:c>
      <x:c r="C149" s="6"/>
      <x:c r="D149" s="6"/>
      <x:c r="E149" s="6" t="s">
        <x:v>488</x:v>
      </x:c>
      <x:c r="F149" s="6" t="s">
        <x:v>38</x:v>
      </x:c>
      <x:c r="G149" s="6" t="s">
        <x:v>39</x:v>
      </x:c>
      <x:c r="H149" s="6" t="s">
        <x:v>388</x:v>
      </x:c>
      <x:c r="I149" s="10" t="s">
        <x:v>388</x:v>
      </x:c>
      <x:c r="J149" s="10" t="s">
        <x:v>37</x:v>
      </x:c>
      <x:c r="K149" s="9" t="str">
        <x:f>"497716085689"</x:f>
        <x:v>497716085689</x:v>
      </x:c>
      <x:c r="L149" s="9" t="str">
        <x:f>"497716085689"</x:f>
        <x:v>497716085689</x:v>
      </x:c>
      <x:c r="M149" s="12" t="s">
        <x:v>489</x:v>
      </x:c>
      <x:c r="N149" s="8">
        <x:v>0</x:v>
      </x:c>
      <x:c r="O149" s="11" t="n">
        <x:f>IF(B149="KEEP EXISTING",N149,'Cost Review'!H144)</x:f>
        <x:v>3.5</x:v>
      </x:c>
      <x:c r="P149" s="8" t="str">
        <x:f t="shared" si="14">IF(B149="EXCLUDE","Excluded",IF(B149="REVIEW MATCH","Review match",IF(B149="KEEP EXISTING","Existing",IF(O149&lt;=0,"MISSING","REVIEW"))))</x:f>
        <x:v>REVIEW</x:v>
      </x:c>
      <x:c r="Q149" s="8">
        <x:v>15</x:v>
      </x:c>
      <x:c r="R149" s="11" t="n">
        <x:f>IF(B149="KEEP EXISTING",Q149,'Cost Review'!J144)</x:f>
        <x:v>15</x:v>
      </x:c>
      <x:c r="S149" s="6" t="str">
        <x:f t="shared" si="15">IF(B149="EXCLUDE","Excluded",IF(B149="REVIEW MATCH","Review match",IF(B149="KEEP EXISTING","Existing",IF(OR(R149&lt;=0,R149&gt;100000),"CHECK","OK"))))</x:f>
        <x:v>OK</x:v>
      </x:c>
      <x:c r="T149" s="9" t="str">
        <x:f>"497716085689"</x:f>
        <x:v>497716085689</x:v>
      </x:c>
      <x:c r="U149" s="10" t="s">
        <x:v>673</x:v>
      </x:c>
      <x:c r="V149" s="6" t="str">
        <x:f t="shared" si="16">IF(B149="EXCLUDE","Excluded",IF(B149="REVIEW MATCH","Review match",IF(B149="KEEP EXISTING","Existing",IF(U149="","MISSING","FOUND"))))</x:f>
        <x:v>FOUND</x:v>
      </x:c>
      <x:c r="W149" s="9">
        <x:v>8</x:v>
      </x:c>
      <x:c r="X149" s="9">
        <x:v>0</x:v>
      </x:c>
      <x:c r="Y149" s="6" t="str">
        <x:f>IF(B149="EXCLUDE","Excluded by user",IF(B149="REVIEW MATCH","Review current POS match",IF(B149="KEEP EXISTING","Already in POS",IF(O149&lt;=0,"Blocked: cost",IF(OR(R149&lt;=0,R149&gt;100000),"Blocked: retail",IF(U149="","Blocked: image",IF('Summary'!$B$3="APPROVED","READY","Pending approval")))))))</x:f>
        <x:v>Pending approval</x:v>
      </x:c>
      <x:c r="Z149" s="6" t="str">
        <x:v>Cost must be entered before import. Source stock 8 is reference only; POS starts at 0.</x:v>
      </x:c>
    </x:row>
    <x:row r="150" ht="29.25">
      <x:c r="A150" s="12" t="s">
        <x:v>390</x:v>
      </x:c>
      <x:c r="B150" s="6" t="str">
        <x:v>IMPORT</x:v>
      </x:c>
      <x:c r="C150" s="6"/>
      <x:c r="D150" s="6"/>
      <x:c r="E150" s="6" t="s">
        <x:v>488</x:v>
      </x:c>
      <x:c r="F150" s="6" t="s">
        <x:v>38</x:v>
      </x:c>
      <x:c r="G150" s="6" t="s">
        <x:v>39</x:v>
      </x:c>
      <x:c r="H150" s="6" t="s">
        <x:v>391</x:v>
      </x:c>
      <x:c r="I150" s="10" t="s">
        <x:v>391</x:v>
      </x:c>
      <x:c r="J150" s="10" t="s">
        <x:v>37</x:v>
      </x:c>
      <x:c r="K150" s="9" t="str">
        <x:f>"397089842967"</x:f>
        <x:v>397089842967</x:v>
      </x:c>
      <x:c r="L150" s="9" t="str">
        <x:f>"397089842967"</x:f>
        <x:v>397089842967</x:v>
      </x:c>
      <x:c r="M150" s="12" t="s">
        <x:v>489</x:v>
      </x:c>
      <x:c r="N150" s="8">
        <x:v>0</x:v>
      </x:c>
      <x:c r="O150" s="11" t="n">
        <x:f>IF(B150="KEEP EXISTING",N150,'Cost Review'!H145)</x:f>
        <x:v>3.5</x:v>
      </x:c>
      <x:c r="P150" s="8" t="str">
        <x:f t="shared" si="14">IF(B150="EXCLUDE","Excluded",IF(B150="REVIEW MATCH","Review match",IF(B150="KEEP EXISTING","Existing",IF(O150&lt;=0,"MISSING","REVIEW"))))</x:f>
        <x:v>REVIEW</x:v>
      </x:c>
      <x:c r="Q150" s="8">
        <x:v>15</x:v>
      </x:c>
      <x:c r="R150" s="11" t="n">
        <x:f>IF(B150="KEEP EXISTING",Q150,'Cost Review'!J145)</x:f>
        <x:v>15</x:v>
      </x:c>
      <x:c r="S150" s="6" t="str">
        <x:f t="shared" si="15">IF(B150="EXCLUDE","Excluded",IF(B150="REVIEW MATCH","Review match",IF(B150="KEEP EXISTING","Existing",IF(OR(R150&lt;=0,R150&gt;100000),"CHECK","OK"))))</x:f>
        <x:v>OK</x:v>
      </x:c>
      <x:c r="T150" s="9" t="str">
        <x:f>"397089842967"</x:f>
        <x:v>397089842967</x:v>
      </x:c>
      <x:c r="U150" s="10" t="s">
        <x:v>674</x:v>
      </x:c>
      <x:c r="V150" s="6" t="str">
        <x:f t="shared" si="16">IF(B150="EXCLUDE","Excluded",IF(B150="REVIEW MATCH","Review match",IF(B150="KEEP EXISTING","Existing",IF(U150="","MISSING","FOUND"))))</x:f>
        <x:v>FOUND</x:v>
      </x:c>
      <x:c r="W150" s="9">
        <x:v>14</x:v>
      </x:c>
      <x:c r="X150" s="9">
        <x:v>0</x:v>
      </x:c>
      <x:c r="Y150" s="6" t="str">
        <x:f>IF(B150="EXCLUDE","Excluded by user",IF(B150="REVIEW MATCH","Review current POS match",IF(B150="KEEP EXISTING","Already in POS",IF(O150&lt;=0,"Blocked: cost",IF(OR(R150&lt;=0,R150&gt;100000),"Blocked: retail",IF(U150="","Blocked: image",IF('Summary'!$B$3="APPROVED","READY","Pending approval")))))))</x:f>
        <x:v>Pending approval</x:v>
      </x:c>
      <x:c r="Z150" s="6" t="str">
        <x:v>Cost must be entered before import. Source stock 14 is reference only; POS starts at 0.</x:v>
      </x:c>
    </x:row>
    <x:row r="151" ht="29.25">
      <x:c r="A151" s="12" t="s">
        <x:v>393</x:v>
      </x:c>
      <x:c r="B151" s="6" t="str">
        <x:v>IMPORT</x:v>
      </x:c>
      <x:c r="C151" s="6"/>
      <x:c r="D151" s="6"/>
      <x:c r="E151" s="6" t="s">
        <x:v>488</x:v>
      </x:c>
      <x:c r="F151" s="6" t="s">
        <x:v>38</x:v>
      </x:c>
      <x:c r="G151" s="6" t="s">
        <x:v>39</x:v>
      </x:c>
      <x:c r="H151" s="6" t="s">
        <x:v>394</x:v>
      </x:c>
      <x:c r="I151" s="10" t="s">
        <x:v>394</x:v>
      </x:c>
      <x:c r="J151" s="10" t="s">
        <x:v>37</x:v>
      </x:c>
      <x:c r="K151" s="9" t="str">
        <x:f>"468709432902"</x:f>
        <x:v>468709432902</x:v>
      </x:c>
      <x:c r="L151" s="9" t="str">
        <x:f>"468709432902"</x:f>
        <x:v>468709432902</x:v>
      </x:c>
      <x:c r="M151" s="12" t="s">
        <x:v>489</x:v>
      </x:c>
      <x:c r="N151" s="8">
        <x:v>0</x:v>
      </x:c>
      <x:c r="O151" s="11" t="n">
        <x:f>IF(B151="KEEP EXISTING",N151,'Cost Review'!H146)</x:f>
        <x:v>3.5</x:v>
      </x:c>
      <x:c r="P151" s="8" t="str">
        <x:f t="shared" si="14">IF(B151="EXCLUDE","Excluded",IF(B151="REVIEW MATCH","Review match",IF(B151="KEEP EXISTING","Existing",IF(O151&lt;=0,"MISSING","REVIEW"))))</x:f>
        <x:v>REVIEW</x:v>
      </x:c>
      <x:c r="Q151" s="8">
        <x:v>15</x:v>
      </x:c>
      <x:c r="R151" s="11" t="n">
        <x:f>IF(B151="KEEP EXISTING",Q151,'Cost Review'!J146)</x:f>
        <x:v>15</x:v>
      </x:c>
      <x:c r="S151" s="6" t="str">
        <x:f t="shared" si="15">IF(B151="EXCLUDE","Excluded",IF(B151="REVIEW MATCH","Review match",IF(B151="KEEP EXISTING","Existing",IF(OR(R151&lt;=0,R151&gt;100000),"CHECK","OK"))))</x:f>
        <x:v>OK</x:v>
      </x:c>
      <x:c r="T151" s="9" t="str">
        <x:f>"468709432902"</x:f>
        <x:v>468709432902</x:v>
      </x:c>
      <x:c r="U151" s="10" t="s">
        <x:v>675</x:v>
      </x:c>
      <x:c r="V151" s="6" t="str">
        <x:f t="shared" si="16">IF(B151="EXCLUDE","Excluded",IF(B151="REVIEW MATCH","Review match",IF(B151="KEEP EXISTING","Existing",IF(U151="","MISSING","FOUND"))))</x:f>
        <x:v>FOUND</x:v>
      </x:c>
      <x:c r="W151" s="9">
        <x:v>2</x:v>
      </x:c>
      <x:c r="X151" s="9">
        <x:v>0</x:v>
      </x:c>
      <x:c r="Y151" s="6" t="str">
        <x:f>IF(B151="EXCLUDE","Excluded by user",IF(B151="REVIEW MATCH","Review current POS match",IF(B151="KEEP EXISTING","Already in POS",IF(O151&lt;=0,"Blocked: cost",IF(OR(R151&lt;=0,R151&gt;100000),"Blocked: retail",IF(U151="","Blocked: image",IF('Summary'!$B$3="APPROVED","READY","Pending approval")))))))</x:f>
        <x:v>Pending approval</x:v>
      </x:c>
      <x:c r="Z151" s="6" t="str">
        <x:v>Cost must be entered before import. Source stock 2 is reference only; POS starts at 0.</x:v>
      </x:c>
    </x:row>
    <x:row r="152" ht="29.25">
      <x:c r="A152" s="12" t="s">
        <x:v>395</x:v>
      </x:c>
      <x:c r="B152" s="6" t="str">
        <x:v>IMPORT</x:v>
      </x:c>
      <x:c r="C152" s="6"/>
      <x:c r="D152" s="6"/>
      <x:c r="E152" s="6" t="s">
        <x:v>488</x:v>
      </x:c>
      <x:c r="F152" s="6" t="s">
        <x:v>38</x:v>
      </x:c>
      <x:c r="G152" s="6" t="s">
        <x:v>39</x:v>
      </x:c>
      <x:c r="H152" s="6" t="s">
        <x:v>396</x:v>
      </x:c>
      <x:c r="I152" s="10" t="s">
        <x:v>396</x:v>
      </x:c>
      <x:c r="J152" s="10" t="s">
        <x:v>37</x:v>
      </x:c>
      <x:c r="K152" s="9" t="str">
        <x:f>"565124307508"</x:f>
        <x:v>565124307508</x:v>
      </x:c>
      <x:c r="L152" s="9" t="str">
        <x:f>"565124307508"</x:f>
        <x:v>565124307508</x:v>
      </x:c>
      <x:c r="M152" s="12" t="s">
        <x:v>489</x:v>
      </x:c>
      <x:c r="N152" s="8">
        <x:v>0</x:v>
      </x:c>
      <x:c r="O152" s="11" t="n">
        <x:f>IF(B152="KEEP EXISTING",N152,'Cost Review'!H147)</x:f>
        <x:v>5</x:v>
      </x:c>
      <x:c r="P152" s="8" t="str">
        <x:f t="shared" si="14">IF(B152="EXCLUDE","Excluded",IF(B152="REVIEW MATCH","Review match",IF(B152="KEEP EXISTING","Existing",IF(O152&lt;=0,"MISSING","REVIEW"))))</x:f>
        <x:v>REVIEW</x:v>
      </x:c>
      <x:c r="Q152" s="8">
        <x:v>15</x:v>
      </x:c>
      <x:c r="R152" s="11" t="n">
        <x:f>IF(B152="KEEP EXISTING",Q152,'Cost Review'!J147)</x:f>
        <x:v>15</x:v>
      </x:c>
      <x:c r="S152" s="6" t="str">
        <x:f t="shared" si="15">IF(B152="EXCLUDE","Excluded",IF(B152="REVIEW MATCH","Review match",IF(B152="KEEP EXISTING","Existing",IF(OR(R152&lt;=0,R152&gt;100000),"CHECK","OK"))))</x:f>
        <x:v>OK</x:v>
      </x:c>
      <x:c r="T152" s="9" t="str">
        <x:f>"565124307508"</x:f>
        <x:v>565124307508</x:v>
      </x:c>
      <x:c r="U152" s="10" t="s">
        <x:v>676</x:v>
      </x:c>
      <x:c r="V152" s="6" t="str">
        <x:f t="shared" si="16">IF(B152="EXCLUDE","Excluded",IF(B152="REVIEW MATCH","Review match",IF(B152="KEEP EXISTING","Existing",IF(U152="","MISSING","FOUND"))))</x:f>
        <x:v>FOUND</x:v>
      </x:c>
      <x:c r="W152" s="9">
        <x:v>0</x:v>
      </x:c>
      <x:c r="X152" s="9">
        <x:v>0</x:v>
      </x:c>
      <x:c r="Y152" s="6" t="str">
        <x:f>IF(B152="EXCLUDE","Excluded by user",IF(B152="REVIEW MATCH","Review current POS match",IF(B152="KEEP EXISTING","Already in POS",IF(O152&lt;=0,"Blocked: cost",IF(OR(R152&lt;=0,R152&gt;100000),"Blocked: retail",IF(U152="","Blocked: image",IF('Summary'!$B$3="APPROVED","READY","Pending approval")))))))</x:f>
        <x:v>Pending approval</x:v>
      </x:c>
      <x:c r="Z152" s="6" t="str">
        <x:v>Cost must be entered before import.</x:v>
      </x:c>
    </x:row>
    <x:row r="153" ht="29.25">
      <x:c r="A153" s="12" t="s">
        <x:v>397</x:v>
      </x:c>
      <x:c r="B153" s="25" t="str">
        <x:v>EXCLUDE</x:v>
      </x:c>
      <x:c r="C153" s="6"/>
      <x:c r="D153" s="6"/>
      <x:c r="E153" s="6" t="s">
        <x:v>488</x:v>
      </x:c>
      <x:c r="F153" s="6" t="s">
        <x:v>38</x:v>
      </x:c>
      <x:c r="G153" s="6" t="s">
        <x:v>39</x:v>
      </x:c>
      <x:c r="H153" s="6" t="s">
        <x:v>398</x:v>
      </x:c>
      <x:c r="I153" s="10" t="s">
        <x:v>398</x:v>
      </x:c>
      <x:c r="J153" s="10" t="s">
        <x:v>37</x:v>
      </x:c>
      <x:c r="K153" s="9" t="str">
        <x:f>"860085245013"</x:f>
        <x:v>860085245013</x:v>
      </x:c>
      <x:c r="L153" s="9" t="str">
        <x:f>"860085245013"</x:f>
        <x:v>860085245013</x:v>
      </x:c>
      <x:c r="M153" s="12" t="s">
        <x:v>489</x:v>
      </x:c>
      <x:c r="N153" s="8">
        <x:v>0</x:v>
      </x:c>
      <x:c r="O153" s="11" t="n">
        <x:f>IF(B153="KEEP EXISTING",N153,'Cost Review'!H148)</x:f>
        <x:v>0</x:v>
      </x:c>
      <x:c r="P153" s="8" t="str">
        <x:f t="shared" si="14">IF(B153="EXCLUDE","Excluded",IF(B153="REVIEW MATCH","Review match",IF(B153="KEEP EXISTING","Existing",IF(O153&lt;=0,"MISSING","REVIEW"))))</x:f>
        <x:v>Excluded</x:v>
      </x:c>
      <x:c r="Q153" s="8">
        <x:v>25</x:v>
      </x:c>
      <x:c r="R153" s="11" t="n">
        <x:f>IF(B153="KEEP EXISTING",Q153,'Cost Review'!J148)</x:f>
        <x:v>25</x:v>
      </x:c>
      <x:c r="S153" s="6" t="str">
        <x:f t="shared" si="15">IF(B153="EXCLUDE","Excluded",IF(B153="REVIEW MATCH","Review match",IF(B153="KEEP EXISTING","Existing",IF(OR(R153&lt;=0,R153&gt;100000),"CHECK","OK"))))</x:f>
        <x:v>Excluded</x:v>
      </x:c>
      <x:c r="T153" s="9" t="str">
        <x:f>"860085245013"</x:f>
        <x:v>860085245013</x:v>
      </x:c>
      <x:c r="U153" s="10" t="s">
        <x:v>677</x:v>
      </x:c>
      <x:c r="V153" s="6" t="str">
        <x:f t="shared" si="16">IF(B153="EXCLUDE","Excluded",IF(B153="REVIEW MATCH","Review match",IF(B153="KEEP EXISTING","Existing",IF(U153="","MISSING","FOUND"))))</x:f>
        <x:v>Excluded</x:v>
      </x:c>
      <x:c r="W153" s="9">
        <x:v>-1</x:v>
      </x:c>
      <x:c r="X153" s="9">
        <x:v>0</x:v>
      </x:c>
      <x:c r="Y153" s="26" t="str">
        <x:f>IF(B153="EXCLUDE","Excluded by user",IF(B153="REVIEW MATCH","Review current POS match",IF(B153="KEEP EXISTING","Already in POS",IF(O153&lt;=0,"Blocked: cost",IF(OR(R153&lt;=0,R153&gt;100000),"Blocked: retail",IF(U153="","Blocked: image",IF('Summary'!$B$3="APPROVED","READY","Pending approval")))))))</x:f>
        <x:v>Excluded by user</x:v>
      </x:c>
      <x:c r="Z153" s="26" t="str">
        <x:v>Cost must be entered before import. Source stock -1 is reference only; POS starts at 0. USER EXCLUSION: red-marked item; do not import.</x:v>
      </x:c>
    </x:row>
    <x:row r="154" ht="29.25">
      <x:c r="A154" s="12" t="s">
        <x:v>399</x:v>
      </x:c>
      <x:c r="B154" s="6" t="str">
        <x:v>IMPORT</x:v>
      </x:c>
      <x:c r="C154" s="6"/>
      <x:c r="D154" s="6"/>
      <x:c r="E154" s="6" t="s">
        <x:v>488</x:v>
      </x:c>
      <x:c r="F154" s="6" t="s">
        <x:v>38</x:v>
      </x:c>
      <x:c r="G154" s="6" t="s">
        <x:v>39</x:v>
      </x:c>
      <x:c r="H154" s="6" t="s">
        <x:v>400</x:v>
      </x:c>
      <x:c r="I154" s="10" t="s">
        <x:v>400</x:v>
      </x:c>
      <x:c r="J154" s="10" t="s">
        <x:v>37</x:v>
      </x:c>
      <x:c r="K154" s="9" t="str">
        <x:f>"981720708660"</x:f>
        <x:v>981720708660</x:v>
      </x:c>
      <x:c r="L154" s="9" t="str">
        <x:f>"981720708660"</x:f>
        <x:v>981720708660</x:v>
      </x:c>
      <x:c r="M154" s="12" t="s">
        <x:v>489</x:v>
      </x:c>
      <x:c r="N154" s="8">
        <x:v>0</x:v>
      </x:c>
      <x:c r="O154" s="11" t="n">
        <x:f>IF(B154="KEEP EXISTING",N154,'Cost Review'!H149)</x:f>
        <x:v>5</x:v>
      </x:c>
      <x:c r="P154" s="8" t="str">
        <x:f t="shared" si="14">IF(B154="EXCLUDE","Excluded",IF(B154="REVIEW MATCH","Review match",IF(B154="KEEP EXISTING","Existing",IF(O154&lt;=0,"MISSING","REVIEW"))))</x:f>
        <x:v>REVIEW</x:v>
      </x:c>
      <x:c r="Q154" s="8">
        <x:v>25</x:v>
      </x:c>
      <x:c r="R154" s="11" t="n">
        <x:f>IF(B154="KEEP EXISTING",Q154,'Cost Review'!J149)</x:f>
        <x:v>25</x:v>
      </x:c>
      <x:c r="S154" s="6" t="str">
        <x:f t="shared" si="15">IF(B154="EXCLUDE","Excluded",IF(B154="REVIEW MATCH","Review match",IF(B154="KEEP EXISTING","Existing",IF(OR(R154&lt;=0,R154&gt;100000),"CHECK","OK"))))</x:f>
        <x:v>OK</x:v>
      </x:c>
      <x:c r="T154" s="9" t="str">
        <x:f>"981720708660"</x:f>
        <x:v>981720708660</x:v>
      </x:c>
      <x:c r="U154" s="10" t="s">
        <x:v>678</x:v>
      </x:c>
      <x:c r="V154" s="6" t="str">
        <x:f t="shared" si="16">IF(B154="EXCLUDE","Excluded",IF(B154="REVIEW MATCH","Review match",IF(B154="KEEP EXISTING","Existing",IF(U154="","MISSING","FOUND"))))</x:f>
        <x:v>FOUND</x:v>
      </x:c>
      <x:c r="W154" s="9">
        <x:v>0</x:v>
      </x:c>
      <x:c r="X154" s="9">
        <x:v>0</x:v>
      </x:c>
      <x:c r="Y154" s="6" t="str">
        <x:f>IF(B154="EXCLUDE","Excluded by user",IF(B154="REVIEW MATCH","Review current POS match",IF(B154="KEEP EXISTING","Already in POS",IF(O154&lt;=0,"Blocked: cost",IF(OR(R154&lt;=0,R154&gt;100000),"Blocked: retail",IF(U154="","Blocked: image",IF('Summary'!$B$3="APPROVED","READY","Pending approval")))))))</x:f>
        <x:v>Pending approval</x:v>
      </x:c>
      <x:c r="Z154" s="6" t="str">
        <x:v>Cost must be entered before import.</x:v>
      </x:c>
    </x:row>
    <x:row r="155" ht="29.25">
      <x:c r="A155" s="12" t="s">
        <x:v>401</x:v>
      </x:c>
      <x:c r="B155" s="6" t="str">
        <x:v>IMPORT</x:v>
      </x:c>
      <x:c r="C155" s="6"/>
      <x:c r="D155" s="6"/>
      <x:c r="E155" s="6" t="s">
        <x:v>488</x:v>
      </x:c>
      <x:c r="F155" s="6" t="s">
        <x:v>38</x:v>
      </x:c>
      <x:c r="G155" s="6" t="s">
        <x:v>39</x:v>
      </x:c>
      <x:c r="H155" s="6" t="s">
        <x:v>402</x:v>
      </x:c>
      <x:c r="I155" s="10" t="s">
        <x:v>402</x:v>
      </x:c>
      <x:c r="J155" s="10" t="s">
        <x:v>37</x:v>
      </x:c>
      <x:c r="K155" s="9" t="str">
        <x:f>"757521758919"</x:f>
        <x:v>757521758919</x:v>
      </x:c>
      <x:c r="L155" s="9" t="str">
        <x:f>"757521758919"</x:f>
        <x:v>757521758919</x:v>
      </x:c>
      <x:c r="M155" s="12" t="s">
        <x:v>489</x:v>
      </x:c>
      <x:c r="N155" s="8">
        <x:v>0</x:v>
      </x:c>
      <x:c r="O155" s="11" t="n">
        <x:f>IF(B155="KEEP EXISTING",N155,'Cost Review'!H150)</x:f>
        <x:v>3.5</x:v>
      </x:c>
      <x:c r="P155" s="8" t="str">
        <x:f t="shared" si="14">IF(B155="EXCLUDE","Excluded",IF(B155="REVIEW MATCH","Review match",IF(B155="KEEP EXISTING","Existing",IF(O155&lt;=0,"MISSING","REVIEW"))))</x:f>
        <x:v>REVIEW</x:v>
      </x:c>
      <x:c r="Q155" s="8">
        <x:v>15</x:v>
      </x:c>
      <x:c r="R155" s="11" t="n">
        <x:f>IF(B155="KEEP EXISTING",Q155,'Cost Review'!J150)</x:f>
        <x:v>15</x:v>
      </x:c>
      <x:c r="S155" s="6" t="str">
        <x:f t="shared" si="15">IF(B155="EXCLUDE","Excluded",IF(B155="REVIEW MATCH","Review match",IF(B155="KEEP EXISTING","Existing",IF(OR(R155&lt;=0,R155&gt;100000),"CHECK","OK"))))</x:f>
        <x:v>OK</x:v>
      </x:c>
      <x:c r="T155" s="9" t="str">
        <x:f>"757521758919"</x:f>
        <x:v>757521758919</x:v>
      </x:c>
      <x:c r="U155" s="10" t="s">
        <x:v>679</x:v>
      </x:c>
      <x:c r="V155" s="6" t="str">
        <x:f t="shared" si="16">IF(B155="EXCLUDE","Excluded",IF(B155="REVIEW MATCH","Review match",IF(B155="KEEP EXISTING","Existing",IF(U155="","MISSING","FOUND"))))</x:f>
        <x:v>FOUND</x:v>
      </x:c>
      <x:c r="W155" s="9">
        <x:v>7</x:v>
      </x:c>
      <x:c r="X155" s="9">
        <x:v>0</x:v>
      </x:c>
      <x:c r="Y155" s="6" t="str">
        <x:f>IF(B155="EXCLUDE","Excluded by user",IF(B155="REVIEW MATCH","Review current POS match",IF(B155="KEEP EXISTING","Already in POS",IF(O155&lt;=0,"Blocked: cost",IF(OR(R155&lt;=0,R155&gt;100000),"Blocked: retail",IF(U155="","Blocked: image",IF('Summary'!$B$3="APPROVED","READY","Pending approval")))))))</x:f>
        <x:v>Pending approval</x:v>
      </x:c>
      <x:c r="Z155" s="6" t="str">
        <x:v>Cost must be entered before import. Source stock 7 is reference only; POS starts at 0.</x:v>
      </x:c>
    </x:row>
    <x:row r="156" ht="29.25">
      <x:c r="A156" s="12" t="s">
        <x:v>404</x:v>
      </x:c>
      <x:c r="B156" s="6" t="str">
        <x:v>IMPORT</x:v>
      </x:c>
      <x:c r="C156" s="6"/>
      <x:c r="D156" s="6"/>
      <x:c r="E156" s="6" t="s">
        <x:v>488</x:v>
      </x:c>
      <x:c r="F156" s="6" t="s">
        <x:v>38</x:v>
      </x:c>
      <x:c r="G156" s="6" t="s">
        <x:v>39</x:v>
      </x:c>
      <x:c r="H156" s="6" t="s">
        <x:v>405</x:v>
      </x:c>
      <x:c r="I156" s="10" t="s">
        <x:v>405</x:v>
      </x:c>
      <x:c r="J156" s="10" t="s">
        <x:v>37</x:v>
      </x:c>
      <x:c r="K156" s="9" t="str">
        <x:f>"983741083696"</x:f>
        <x:v>983741083696</x:v>
      </x:c>
      <x:c r="L156" s="9" t="str">
        <x:f>"983741083696"</x:f>
        <x:v>983741083696</x:v>
      </x:c>
      <x:c r="M156" s="12" t="s">
        <x:v>489</x:v>
      </x:c>
      <x:c r="N156" s="8">
        <x:v>0</x:v>
      </x:c>
      <x:c r="O156" s="11" t="n">
        <x:f>IF(B156="KEEP EXISTING",N156,'Cost Review'!H151)</x:f>
        <x:v>5</x:v>
      </x:c>
      <x:c r="P156" s="8" t="str">
        <x:f t="shared" si="14">IF(B156="EXCLUDE","Excluded",IF(B156="REVIEW MATCH","Review match",IF(B156="KEEP EXISTING","Existing",IF(O156&lt;=0,"MISSING","REVIEW"))))</x:f>
        <x:v>REVIEW</x:v>
      </x:c>
      <x:c r="Q156" s="8">
        <x:v>20</x:v>
      </x:c>
      <x:c r="R156" s="11" t="n">
        <x:f>IF(B156="KEEP EXISTING",Q156,'Cost Review'!J151)</x:f>
        <x:v>20</x:v>
      </x:c>
      <x:c r="S156" s="6" t="str">
        <x:f t="shared" si="15">IF(B156="EXCLUDE","Excluded",IF(B156="REVIEW MATCH","Review match",IF(B156="KEEP EXISTING","Existing",IF(OR(R156&lt;=0,R156&gt;100000),"CHECK","OK"))))</x:f>
        <x:v>OK</x:v>
      </x:c>
      <x:c r="T156" s="9" t="str">
        <x:f>"983741083696"</x:f>
        <x:v>983741083696</x:v>
      </x:c>
      <x:c r="U156" s="10" t="s">
        <x:v>680</x:v>
      </x:c>
      <x:c r="V156" s="6" t="str">
        <x:f t="shared" si="16">IF(B156="EXCLUDE","Excluded",IF(B156="REVIEW MATCH","Review match",IF(B156="KEEP EXISTING","Existing",IF(U156="","MISSING","FOUND"))))</x:f>
        <x:v>FOUND</x:v>
      </x:c>
      <x:c r="W156" s="9">
        <x:v>0</x:v>
      </x:c>
      <x:c r="X156" s="9">
        <x:v>0</x:v>
      </x:c>
      <x:c r="Y156" s="6" t="str">
        <x:f>IF(B156="EXCLUDE","Excluded by user",IF(B156="REVIEW MATCH","Review current POS match",IF(B156="KEEP EXISTING","Already in POS",IF(O156&lt;=0,"Blocked: cost",IF(OR(R156&lt;=0,R156&gt;100000),"Blocked: retail",IF(U156="","Blocked: image",IF('Summary'!$B$3="APPROVED","READY","Pending approval")))))))</x:f>
        <x:v>Pending approval</x:v>
      </x:c>
      <x:c r="Z156" s="6" t="str">
        <x:v>Cost must be entered before import.</x:v>
      </x:c>
    </x:row>
    <x:row r="157" ht="29.25">
      <x:c r="A157" s="12" t="s">
        <x:v>406</x:v>
      </x:c>
      <x:c r="B157" s="6" t="str">
        <x:v>IMPORT</x:v>
      </x:c>
      <x:c r="C157" s="6"/>
      <x:c r="D157" s="6"/>
      <x:c r="E157" s="6" t="s">
        <x:v>488</x:v>
      </x:c>
      <x:c r="F157" s="6" t="s">
        <x:v>38</x:v>
      </x:c>
      <x:c r="G157" s="6" t="s">
        <x:v>39</x:v>
      </x:c>
      <x:c r="H157" s="6" t="s">
        <x:v>407</x:v>
      </x:c>
      <x:c r="I157" s="10" t="s">
        <x:v>407</x:v>
      </x:c>
      <x:c r="J157" s="10" t="s">
        <x:v>37</x:v>
      </x:c>
      <x:c r="K157" s="9" t="str">
        <x:f>"221824527775"</x:f>
        <x:v>221824527775</x:v>
      </x:c>
      <x:c r="L157" s="9" t="str">
        <x:f>"221824527775"</x:f>
        <x:v>221824527775</x:v>
      </x:c>
      <x:c r="M157" s="12" t="s">
        <x:v>489</x:v>
      </x:c>
      <x:c r="N157" s="8">
        <x:v>0</x:v>
      </x:c>
      <x:c r="O157" s="11" t="n">
        <x:f>IF(B157="KEEP EXISTING",N157,'Cost Review'!H152)</x:f>
        <x:v>3.5</x:v>
      </x:c>
      <x:c r="P157" s="8" t="str">
        <x:f t="shared" si="14">IF(B157="EXCLUDE","Excluded",IF(B157="REVIEW MATCH","Review match",IF(B157="KEEP EXISTING","Existing",IF(O157&lt;=0,"MISSING","REVIEW"))))</x:f>
        <x:v>REVIEW</x:v>
      </x:c>
      <x:c r="Q157" s="8">
        <x:v>15</x:v>
      </x:c>
      <x:c r="R157" s="11" t="n">
        <x:f>IF(B157="KEEP EXISTING",Q157,'Cost Review'!J152)</x:f>
        <x:v>15</x:v>
      </x:c>
      <x:c r="S157" s="6" t="str">
        <x:f t="shared" si="15">IF(B157="EXCLUDE","Excluded",IF(B157="REVIEW MATCH","Review match",IF(B157="KEEP EXISTING","Existing",IF(OR(R157&lt;=0,R157&gt;100000),"CHECK","OK"))))</x:f>
        <x:v>OK</x:v>
      </x:c>
      <x:c r="T157" s="9" t="str">
        <x:f>"221824527775"</x:f>
        <x:v>221824527775</x:v>
      </x:c>
      <x:c r="U157" s="10" t="s">
        <x:v>681</x:v>
      </x:c>
      <x:c r="V157" s="6" t="str">
        <x:f t="shared" si="16">IF(B157="EXCLUDE","Excluded",IF(B157="REVIEW MATCH","Review match",IF(B157="KEEP EXISTING","Existing",IF(U157="","MISSING","FOUND"))))</x:f>
        <x:v>FOUND</x:v>
      </x:c>
      <x:c r="W157" s="9">
        <x:v>7</x:v>
      </x:c>
      <x:c r="X157" s="9">
        <x:v>0</x:v>
      </x:c>
      <x:c r="Y157" s="6" t="str">
        <x:f>IF(B157="EXCLUDE","Excluded by user",IF(B157="REVIEW MATCH","Review current POS match",IF(B157="KEEP EXISTING","Already in POS",IF(O157&lt;=0,"Blocked: cost",IF(OR(R157&lt;=0,R157&gt;100000),"Blocked: retail",IF(U157="","Blocked: image",IF('Summary'!$B$3="APPROVED","READY","Pending approval")))))))</x:f>
        <x:v>Pending approval</x:v>
      </x:c>
      <x:c r="Z157" s="6" t="str">
        <x:v>Cost must be entered before import. Source stock 7 is reference only; POS starts at 0.</x:v>
      </x:c>
    </x:row>
    <x:row r="158" ht="29.25">
      <x:c r="A158" s="12" t="s">
        <x:v>408</x:v>
      </x:c>
      <x:c r="B158" s="6" t="str">
        <x:v>IMPORT</x:v>
      </x:c>
      <x:c r="C158" s="6"/>
      <x:c r="D158" s="6"/>
      <x:c r="E158" s="6" t="s">
        <x:v>488</x:v>
      </x:c>
      <x:c r="F158" s="6" t="s">
        <x:v>38</x:v>
      </x:c>
      <x:c r="G158" s="6" t="s">
        <x:v>367</x:v>
      </x:c>
      <x:c r="H158" s="6" t="s">
        <x:v>409</x:v>
      </x:c>
      <x:c r="I158" s="10" t="s">
        <x:v>409</x:v>
      </x:c>
      <x:c r="J158" s="10" t="s">
        <x:v>37</x:v>
      </x:c>
      <x:c r="K158" s="9" t="str">
        <x:f>"213208711412"</x:f>
        <x:v>213208711412</x:v>
      </x:c>
      <x:c r="L158" s="9" t="str">
        <x:f>"213208711412"</x:f>
        <x:v>213208711412</x:v>
      </x:c>
      <x:c r="M158" s="12" t="s">
        <x:v>489</x:v>
      </x:c>
      <x:c r="N158" s="8">
        <x:v>0</x:v>
      </x:c>
      <x:c r="O158" s="11" t="n">
        <x:f>IF(B158="KEEP EXISTING",N158,'Cost Review'!H153)</x:f>
        <x:v>3.5</x:v>
      </x:c>
      <x:c r="P158" s="8" t="str">
        <x:f t="shared" si="14">IF(B158="EXCLUDE","Excluded",IF(B158="REVIEW MATCH","Review match",IF(B158="KEEP EXISTING","Existing",IF(O158&lt;=0,"MISSING","REVIEW"))))</x:f>
        <x:v>REVIEW</x:v>
      </x:c>
      <x:c r="Q158" s="8">
        <x:v>15</x:v>
      </x:c>
      <x:c r="R158" s="11" t="n">
        <x:f>IF(B158="KEEP EXISTING",Q158,'Cost Review'!J153)</x:f>
        <x:v>15</x:v>
      </x:c>
      <x:c r="S158" s="6" t="str">
        <x:f t="shared" si="15">IF(B158="EXCLUDE","Excluded",IF(B158="REVIEW MATCH","Review match",IF(B158="KEEP EXISTING","Existing",IF(OR(R158&lt;=0,R158&gt;100000),"CHECK","OK"))))</x:f>
        <x:v>OK</x:v>
      </x:c>
      <x:c r="T158" s="9" t="str">
        <x:f>"213208711412"</x:f>
        <x:v>213208711412</x:v>
      </x:c>
      <x:c r="U158" s="10" t="s">
        <x:v>682</x:v>
      </x:c>
      <x:c r="V158" s="6" t="str">
        <x:f t="shared" si="16">IF(B158="EXCLUDE","Excluded",IF(B158="REVIEW MATCH","Review match",IF(B158="KEEP EXISTING","Existing",IF(U158="","MISSING","FOUND"))))</x:f>
        <x:v>FOUND</x:v>
      </x:c>
      <x:c r="W158" s="9">
        <x:v>4</x:v>
      </x:c>
      <x:c r="X158" s="9">
        <x:v>0</x:v>
      </x:c>
      <x:c r="Y158" s="6" t="str">
        <x:f>IF(B158="EXCLUDE","Excluded by user",IF(B158="REVIEW MATCH","Review current POS match",IF(B158="KEEP EXISTING","Already in POS",IF(O158&lt;=0,"Blocked: cost",IF(OR(R158&lt;=0,R158&gt;100000),"Blocked: retail",IF(U158="","Blocked: image",IF('Summary'!$B$3="APPROVED","READY","Pending approval")))))))</x:f>
        <x:v>Pending approval</x:v>
      </x:c>
      <x:c r="Z158" s="6" t="str">
        <x:v>Cost must be entered before import. Source stock 4 is reference only; POS starts at 0.</x:v>
      </x:c>
    </x:row>
    <x:row r="159" ht="29.25">
      <x:c r="A159" s="12" t="s">
        <x:v>411</x:v>
      </x:c>
      <x:c r="B159" s="25" t="str">
        <x:v>EXCLUDE</x:v>
      </x:c>
      <x:c r="C159" s="6"/>
      <x:c r="D159" s="6"/>
      <x:c r="E159" s="6" t="s">
        <x:v>488</x:v>
      </x:c>
      <x:c r="F159" s="6" t="s">
        <x:v>38</x:v>
      </x:c>
      <x:c r="G159" s="6" t="s">
        <x:v>39</x:v>
      </x:c>
      <x:c r="H159" s="6" t="s">
        <x:v>412</x:v>
      </x:c>
      <x:c r="I159" s="10" t="s">
        <x:v>412</x:v>
      </x:c>
      <x:c r="J159" s="10" t="s">
        <x:v>37</x:v>
      </x:c>
      <x:c r="K159" s="9" t="str">
        <x:f>"297535793396"</x:f>
        <x:v>297535793396</x:v>
      </x:c>
      <x:c r="L159" s="9" t="str">
        <x:f>"297535793396"</x:f>
        <x:v>297535793396</x:v>
      </x:c>
      <x:c r="M159" s="12" t="s">
        <x:v>489</x:v>
      </x:c>
      <x:c r="N159" s="8">
        <x:v>0</x:v>
      </x:c>
      <x:c r="O159" s="11" t="n">
        <x:f>IF(B159="KEEP EXISTING",N159,'Cost Review'!H154)</x:f>
        <x:v>0</x:v>
      </x:c>
      <x:c r="P159" s="8" t="str">
        <x:f t="shared" si="14">IF(B159="EXCLUDE","Excluded",IF(B159="REVIEW MATCH","Review match",IF(B159="KEEP EXISTING","Existing",IF(O159&lt;=0,"MISSING","REVIEW"))))</x:f>
        <x:v>Excluded</x:v>
      </x:c>
      <x:c r="Q159" s="8">
        <x:v>20</x:v>
      </x:c>
      <x:c r="R159" s="11" t="n">
        <x:f>IF(B159="KEEP EXISTING",Q159,'Cost Review'!J154)</x:f>
        <x:v>20</x:v>
      </x:c>
      <x:c r="S159" s="6" t="str">
        <x:f t="shared" si="15">IF(B159="EXCLUDE","Excluded",IF(B159="REVIEW MATCH","Review match",IF(B159="KEEP EXISTING","Existing",IF(OR(R159&lt;=0,R159&gt;100000),"CHECK","OK"))))</x:f>
        <x:v>Excluded</x:v>
      </x:c>
      <x:c r="T159" s="9" t="str">
        <x:f>"297535793396"</x:f>
        <x:v>297535793396</x:v>
      </x:c>
      <x:c r="U159" s="10" t="s">
        <x:v>683</x:v>
      </x:c>
      <x:c r="V159" s="6" t="str">
        <x:f t="shared" si="16">IF(B159="EXCLUDE","Excluded",IF(B159="REVIEW MATCH","Review match",IF(B159="KEEP EXISTING","Existing",IF(U159="","MISSING","FOUND"))))</x:f>
        <x:v>Excluded</x:v>
      </x:c>
      <x:c r="W159" s="9">
        <x:v>1</x:v>
      </x:c>
      <x:c r="X159" s="9">
        <x:v>0</x:v>
      </x:c>
      <x:c r="Y159" s="26" t="str">
        <x:f>IF(B159="EXCLUDE","Excluded by user",IF(B159="REVIEW MATCH","Review current POS match",IF(B159="KEEP EXISTING","Already in POS",IF(O159&lt;=0,"Blocked: cost",IF(OR(R159&lt;=0,R159&gt;100000),"Blocked: retail",IF(U159="","Blocked: image",IF('Summary'!$B$3="APPROVED","READY","Pending approval")))))))</x:f>
        <x:v>Excluded by user</x:v>
      </x:c>
      <x:c r="Z159" s="26" t="str">
        <x:v>Cost must be entered before import. Source stock 1 is reference only; POS starts at 0. USER EXCLUSION: red-marked item; do not import.</x:v>
      </x:c>
    </x:row>
    <x:row r="160" ht="29.25">
      <x:c r="A160" s="12" t="s">
        <x:v>413</x:v>
      </x:c>
      <x:c r="B160" s="6" t="str">
        <x:v>IMPORT</x:v>
      </x:c>
      <x:c r="C160" s="6"/>
      <x:c r="D160" s="6"/>
      <x:c r="E160" s="6" t="s">
        <x:v>503</x:v>
      </x:c>
      <x:c r="F160" s="6" t="s">
        <x:v>52</x:v>
      </x:c>
      <x:c r="G160" s="6" t="s">
        <x:v>72</x:v>
      </x:c>
      <x:c r="H160" s="6" t="s">
        <x:v>414</x:v>
      </x:c>
      <x:c r="I160" s="10" t="s">
        <x:v>414</x:v>
      </x:c>
      <x:c r="J160" s="10" t="s">
        <x:v>37</x:v>
      </x:c>
      <x:c r="K160" s="9" t="str">
        <x:f>"619659115913"</x:f>
        <x:v>619659115913</x:v>
      </x:c>
      <x:c r="L160" s="9" t="str">
        <x:f>"619659115913"</x:f>
        <x:v>619659115913</x:v>
      </x:c>
      <x:c r="M160" s="12" t="s">
        <x:v>489</x:v>
      </x:c>
      <x:c r="N160" s="8">
        <x:v>0</x:v>
      </x:c>
      <x:c r="O160" s="11" t="n">
        <x:f>IF(B160="KEEP EXISTING",N160,'Cost Review'!H155)</x:f>
        <x:v>35</x:v>
      </x:c>
      <x:c r="P160" s="8" t="str">
        <x:f t="shared" si="14">IF(B160="EXCLUDE","Excluded",IF(B160="REVIEW MATCH","Review match",IF(B160="KEEP EXISTING","Existing",IF(O160&lt;=0,"MISSING","REVIEW"))))</x:f>
        <x:v>REVIEW</x:v>
      </x:c>
      <x:c r="Q160" s="8">
        <x:v>39</x:v>
      </x:c>
      <x:c r="R160" s="11" t="n">
        <x:f>IF(B160="KEEP EXISTING",Q160,'Cost Review'!J155)</x:f>
        <x:v>39</x:v>
      </x:c>
      <x:c r="S160" s="6" t="str">
        <x:f t="shared" si="15">IF(B160="EXCLUDE","Excluded",IF(B160="REVIEW MATCH","Review match",IF(B160="KEEP EXISTING","Existing",IF(OR(R160&lt;=0,R160&gt;100000),"CHECK","OK"))))</x:f>
        <x:v>OK</x:v>
      </x:c>
      <x:c r="T160" s="9" t="str">
        <x:f>"619659115913"</x:f>
        <x:v>619659115913</x:v>
      </x:c>
      <x:c r="U160" s="10" t="s">
        <x:v>684</x:v>
      </x:c>
      <x:c r="V160" s="6" t="str">
        <x:f t="shared" si="16">IF(B160="EXCLUDE","Excluded",IF(B160="REVIEW MATCH","Review match",IF(B160="KEEP EXISTING","Existing",IF(U160="","MISSING","FOUND"))))</x:f>
        <x:v>FOUND</x:v>
      </x:c>
      <x:c r="W160" s="9">
        <x:v>4</x:v>
      </x:c>
      <x:c r="X160" s="9">
        <x:v>0</x:v>
      </x:c>
      <x:c r="Y160" s="6" t="str">
        <x:f>IF(B160="EXCLUDE","Excluded by user",IF(B160="REVIEW MATCH","Review current POS match",IF(B160="KEEP EXISTING","Already in POS",IF(O160&lt;=0,"Blocked: cost",IF(OR(R160&lt;=0,R160&gt;100000),"Blocked: retail",IF(U160="","Blocked: image",IF('Summary'!$B$3="APPROVED","READY","Pending approval")))))))</x:f>
        <x:v>Pending approval</x:v>
      </x:c>
      <x:c r="Z160" s="6" t="str">
        <x:v>Cost must be entered before import. Source stock 4 is reference only; POS starts at 0.</x:v>
      </x:c>
    </x:row>
    <x:row r="161" ht="29.25">
      <x:c r="A161" s="12" t="s">
        <x:v>415</x:v>
      </x:c>
      <x:c r="B161" s="6" t="str">
        <x:v>IMPORT</x:v>
      </x:c>
      <x:c r="C161" s="6"/>
      <x:c r="D161" s="6"/>
      <x:c r="E161" s="6" t="s">
        <x:v>503</x:v>
      </x:c>
      <x:c r="F161" s="6" t="s">
        <x:v>52</x:v>
      </x:c>
      <x:c r="G161" s="6" t="s">
        <x:v>72</x:v>
      </x:c>
      <x:c r="H161" s="6" t="s">
        <x:v>416</x:v>
      </x:c>
      <x:c r="I161" s="10" t="s">
        <x:v>416</x:v>
      </x:c>
      <x:c r="J161" s="10" t="s">
        <x:v>37</x:v>
      </x:c>
      <x:c r="K161" s="9" t="str">
        <x:f>"619659115906"</x:f>
        <x:v>619659115906</x:v>
      </x:c>
      <x:c r="L161" s="9" t="str">
        <x:f>"619659115906"</x:f>
        <x:v>619659115906</x:v>
      </x:c>
      <x:c r="M161" s="12" t="s">
        <x:v>489</x:v>
      </x:c>
      <x:c r="N161" s="8">
        <x:v>0</x:v>
      </x:c>
      <x:c r="O161" s="11" t="n">
        <x:f>IF(B161="KEEP EXISTING",N161,'Cost Review'!H156)</x:f>
        <x:v>25</x:v>
      </x:c>
      <x:c r="P161" s="8" t="str">
        <x:f t="shared" si="14">IF(B161="EXCLUDE","Excluded",IF(B161="REVIEW MATCH","Review match",IF(B161="KEEP EXISTING","Existing",IF(O161&lt;=0,"MISSING","REVIEW"))))</x:f>
        <x:v>REVIEW</x:v>
      </x:c>
      <x:c r="Q161" s="8">
        <x:v>28</x:v>
      </x:c>
      <x:c r="R161" s="11" t="n">
        <x:f>IF(B161="KEEP EXISTING",Q161,'Cost Review'!J156)</x:f>
        <x:v>28</x:v>
      </x:c>
      <x:c r="S161" s="6" t="str">
        <x:f t="shared" si="15">IF(B161="EXCLUDE","Excluded",IF(B161="REVIEW MATCH","Review match",IF(B161="KEEP EXISTING","Existing",IF(OR(R161&lt;=0,R161&gt;100000),"CHECK","OK"))))</x:f>
        <x:v>OK</x:v>
      </x:c>
      <x:c r="T161" s="9" t="str">
        <x:f>"619659115906"</x:f>
        <x:v>619659115906</x:v>
      </x:c>
      <x:c r="U161" s="10" t="s">
        <x:v>685</x:v>
      </x:c>
      <x:c r="V161" s="6" t="str">
        <x:f t="shared" si="16">IF(B161="EXCLUDE","Excluded",IF(B161="REVIEW MATCH","Review match",IF(B161="KEEP EXISTING","Existing",IF(U161="","MISSING","FOUND"))))</x:f>
        <x:v>FOUND</x:v>
      </x:c>
      <x:c r="W161" s="9">
        <x:v>4</x:v>
      </x:c>
      <x:c r="X161" s="9">
        <x:v>0</x:v>
      </x:c>
      <x:c r="Y161" s="6" t="str">
        <x:f>IF(B161="EXCLUDE","Excluded by user",IF(B161="REVIEW MATCH","Review current POS match",IF(B161="KEEP EXISTING","Already in POS",IF(O161&lt;=0,"Blocked: cost",IF(OR(R161&lt;=0,R161&gt;100000),"Blocked: retail",IF(U161="","Blocked: image",IF('Summary'!$B$3="APPROVED","READY","Pending approval")))))))</x:f>
        <x:v>Pending approval</x:v>
      </x:c>
      <x:c r="Z161" s="6" t="str">
        <x:v>Cost must be entered before import. Source stock 4 is reference only; POS starts at 0.</x:v>
      </x:c>
    </x:row>
    <x:row r="162" ht="29.25">
      <x:c r="A162" s="12" t="s">
        <x:v>417</x:v>
      </x:c>
      <x:c r="B162" s="6" t="str">
        <x:v>IMPORT</x:v>
      </x:c>
      <x:c r="C162" s="6"/>
      <x:c r="D162" s="6"/>
      <x:c r="E162" s="6" t="s">
        <x:v>503</x:v>
      </x:c>
      <x:c r="F162" s="6" t="s">
        <x:v>52</x:v>
      </x:c>
      <x:c r="G162" s="6" t="s">
        <x:v>72</x:v>
      </x:c>
      <x:c r="H162" s="6" t="s">
        <x:v>418</x:v>
      </x:c>
      <x:c r="I162" s="10" t="s">
        <x:v>418</x:v>
      </x:c>
      <x:c r="J162" s="10" t="s">
        <x:v>37</x:v>
      </x:c>
      <x:c r="K162" s="9" t="str">
        <x:f>"619659102166"</x:f>
        <x:v>619659102166</x:v>
      </x:c>
      <x:c r="L162" s="9" t="str">
        <x:f>"619659102166"</x:f>
        <x:v>619659102166</x:v>
      </x:c>
      <x:c r="M162" s="12" t="s">
        <x:v>489</x:v>
      </x:c>
      <x:c r="N162" s="8">
        <x:v>0</x:v>
      </x:c>
      <x:c r="O162" s="11" t="n">
        <x:f>IF(B162="KEEP EXISTING",N162,'Cost Review'!H157)</x:f>
        <x:v>15</x:v>
      </x:c>
      <x:c r="P162" s="8" t="str">
        <x:f t="shared" ref="P162:P184" si="17">IF(B162="EXCLUDE","Excluded",IF(B162="REVIEW MATCH","Review match",IF(B162="KEEP EXISTING","Existing",IF(O162&lt;=0,"MISSING","REVIEW"))))</x:f>
        <x:v>REVIEW</x:v>
      </x:c>
      <x:c r="Q162" s="8">
        <x:v>19</x:v>
      </x:c>
      <x:c r="R162" s="11" t="n">
        <x:f>IF(B162="KEEP EXISTING",Q162,'Cost Review'!J157)</x:f>
        <x:v>19</x:v>
      </x:c>
      <x:c r="S162" s="6" t="str">
        <x:f t="shared" ref="S162:S184" si="18">IF(B162="EXCLUDE","Excluded",IF(B162="REVIEW MATCH","Review match",IF(B162="KEEP EXISTING","Existing",IF(OR(R162&lt;=0,R162&gt;100000),"CHECK","OK"))))</x:f>
        <x:v>OK</x:v>
      </x:c>
      <x:c r="T162" s="9" t="str">
        <x:f>"619659102166"</x:f>
        <x:v>619659102166</x:v>
      </x:c>
      <x:c r="U162" s="10" t="s">
        <x:v>686</x:v>
      </x:c>
      <x:c r="V162" s="6" t="str">
        <x:f t="shared" ref="V162:V184" si="19">IF(B162="EXCLUDE","Excluded",IF(B162="REVIEW MATCH","Review match",IF(B162="KEEP EXISTING","Existing",IF(U162="","MISSING","FOUND"))))</x:f>
        <x:v>FOUND</x:v>
      </x:c>
      <x:c r="W162" s="9">
        <x:v>5</x:v>
      </x:c>
      <x:c r="X162" s="9">
        <x:v>0</x:v>
      </x:c>
      <x:c r="Y162" s="6" t="str">
        <x:f>IF(B162="EXCLUDE","Excluded by user",IF(B162="REVIEW MATCH","Review current POS match",IF(B162="KEEP EXISTING","Already in POS",IF(O162&lt;=0,"Blocked: cost",IF(OR(R162&lt;=0,R162&gt;100000),"Blocked: retail",IF(U162="","Blocked: image",IF('Summary'!$B$3="APPROVED","READY","Pending approval")))))))</x:f>
        <x:v>Pending approval</x:v>
      </x:c>
      <x:c r="Z162" s="6" t="str">
        <x:v>Cost must be entered before import. Source stock 5 is reference only; POS starts at 0.</x:v>
      </x:c>
    </x:row>
    <x:row r="163" ht="29.25">
      <x:c r="A163" s="12" t="s">
        <x:v>419</x:v>
      </x:c>
      <x:c r="B163" s="6" t="str">
        <x:v>IMPORT</x:v>
      </x:c>
      <x:c r="C163" s="6"/>
      <x:c r="D163" s="6"/>
      <x:c r="E163" s="6" t="s">
        <x:v>503</x:v>
      </x:c>
      <x:c r="F163" s="6" t="s">
        <x:v>52</x:v>
      </x:c>
      <x:c r="G163" s="6" t="s">
        <x:v>72</x:v>
      </x:c>
      <x:c r="H163" s="6" t="s">
        <x:v>420</x:v>
      </x:c>
      <x:c r="I163" s="10" t="s">
        <x:v>420</x:v>
      </x:c>
      <x:c r="J163" s="10" t="s">
        <x:v>37</x:v>
      </x:c>
      <x:c r="K163" s="9" t="str">
        <x:f>"658817"</x:f>
        <x:v>658817</x:v>
      </x:c>
      <x:c r="L163" s="9" t="str">
        <x:f>"658817"</x:f>
        <x:v>658817</x:v>
      </x:c>
      <x:c r="M163" s="12" t="s">
        <x:v>489</x:v>
      </x:c>
      <x:c r="N163" s="8">
        <x:v>0</x:v>
      </x:c>
      <x:c r="O163" s="11" t="n">
        <x:f>IF(B163="KEEP EXISTING",N163,'Cost Review'!H158)</x:f>
        <x:v>12</x:v>
      </x:c>
      <x:c r="P163" s="8" t="str">
        <x:f t="shared" si="17">IF(B163="EXCLUDE","Excluded",IF(B163="REVIEW MATCH","Review match",IF(B163="KEEP EXISTING","Existing",IF(O163&lt;=0,"MISSING","REVIEW"))))</x:f>
        <x:v>REVIEW</x:v>
      </x:c>
      <x:c r="Q163" s="8">
        <x:v>15</x:v>
      </x:c>
      <x:c r="R163" s="11" t="n">
        <x:f>IF(B163="KEEP EXISTING",Q163,'Cost Review'!J158)</x:f>
        <x:v>15</x:v>
      </x:c>
      <x:c r="S163" s="6" t="str">
        <x:f t="shared" si="18">IF(B163="EXCLUDE","Excluded",IF(B163="REVIEW MATCH","Review match",IF(B163="KEEP EXISTING","Existing",IF(OR(R163&lt;=0,R163&gt;100000),"CHECK","OK"))))</x:f>
        <x:v>OK</x:v>
      </x:c>
      <x:c r="T163" s="9" t="str">
        <x:f>"2998000065885"</x:f>
        <x:v>2998000065885</x:v>
      </x:c>
      <x:c r="U163" s="10" t="s">
        <x:v>687</x:v>
      </x:c>
      <x:c r="V163" s="6" t="str">
        <x:f t="shared" si="19">IF(B163="EXCLUDE","Excluded",IF(B163="REVIEW MATCH","Review match",IF(B163="KEEP EXISTING","Existing",IF(U163="","MISSING","FOUND"))))</x:f>
        <x:v>FOUND</x:v>
      </x:c>
      <x:c r="W163" s="9">
        <x:v>0</x:v>
      </x:c>
      <x:c r="X163" s="9">
        <x:v>0</x:v>
      </x:c>
      <x:c r="Y163" s="6" t="str">
        <x:f>IF(B163="EXCLUDE","Excluded by user",IF(B163="REVIEW MATCH","Review current POS match",IF(B163="KEEP EXISTING","Already in POS",IF(O163&lt;=0,"Blocked: cost",IF(OR(R163&lt;=0,R163&gt;100000),"Blocked: retail",IF(U163="","Blocked: image",IF('Summary'!$B$3="APPROVED","READY","Pending approval")))))))</x:f>
        <x:v>Pending approval</x:v>
      </x:c>
      <x:c r="Z163" s="6" t="str">
        <x:v>Cost must be entered before import.</x:v>
      </x:c>
    </x:row>
    <x:row r="164" ht="29.25">
      <x:c r="A164" s="12" t="s">
        <x:v>421</x:v>
      </x:c>
      <x:c r="B164" s="6" t="str">
        <x:v>IMPORT</x:v>
      </x:c>
      <x:c r="C164" s="6"/>
      <x:c r="D164" s="6"/>
      <x:c r="E164" s="6" t="s">
        <x:v>648</x:v>
      </x:c>
      <x:c r="F164" s="6" t="s">
        <x:v>52</x:v>
      </x:c>
      <x:c r="G164" s="6" t="s">
        <x:v>72</x:v>
      </x:c>
      <x:c r="H164" s="6" t="s">
        <x:v>422</x:v>
      </x:c>
      <x:c r="I164" s="10" t="s">
        <x:v>422</x:v>
      </x:c>
      <x:c r="J164" s="10" t="s">
        <x:v>37</x:v>
      </x:c>
      <x:c r="K164" s="9" t="str">
        <x:f>"658716"</x:f>
        <x:v>658716</x:v>
      </x:c>
      <x:c r="L164" s="9" t="str">
        <x:f>"658716"</x:f>
        <x:v>658716</x:v>
      </x:c>
      <x:c r="M164" s="12" t="s">
        <x:v>489</x:v>
      </x:c>
      <x:c r="N164" s="8">
        <x:v>39</x:v>
      </x:c>
      <x:c r="O164" s="11" t="n">
        <x:f>IF(B164="KEEP EXISTING",N164,'Cost Review'!H159)</x:f>
        <x:v>39</x:v>
      </x:c>
      <x:c r="P164" s="8" t="str">
        <x:f t="shared" si="17">IF(B164="EXCLUDE","Excluded",IF(B164="REVIEW MATCH","Review match",IF(B164="KEEP EXISTING","Existing",IF(O164&lt;=0,"MISSING","REVIEW"))))</x:f>
        <x:v>REVIEW</x:v>
      </x:c>
      <x:c r="Q164" s="8">
        <x:v>49</x:v>
      </x:c>
      <x:c r="R164" s="11" t="n">
        <x:f>IF(B164="KEEP EXISTING",Q164,'Cost Review'!J159)</x:f>
        <x:v>49</x:v>
      </x:c>
      <x:c r="S164" s="6" t="str">
        <x:f t="shared" si="18">IF(B164="EXCLUDE","Excluded",IF(B164="REVIEW MATCH","Review match",IF(B164="KEEP EXISTING","Existing",IF(OR(R164&lt;=0,R164&gt;100000),"CHECK","OK"))))</x:f>
        <x:v>OK</x:v>
      </x:c>
      <x:c r="T164" s="9" t="str">
        <x:f>"2998000065878"</x:f>
        <x:v>2998000065878</x:v>
      </x:c>
      <x:c r="U164" s="10" t="s">
        <x:v>688</x:v>
      </x:c>
      <x:c r="V164" s="6" t="str">
        <x:f t="shared" si="19">IF(B164="EXCLUDE","Excluded",IF(B164="REVIEW MATCH","Review match",IF(B164="KEEP EXISTING","Existing",IF(U164="","MISSING","FOUND"))))</x:f>
        <x:v>FOUND</x:v>
      </x:c>
      <x:c r="W164" s="9">
        <x:v>3</x:v>
      </x:c>
      <x:c r="X164" s="9">
        <x:v>0</x:v>
      </x:c>
      <x:c r="Y164" s="6" t="str">
        <x:f>IF(B164="EXCLUDE","Excluded by user",IF(B164="REVIEW MATCH","Review current POS match",IF(B164="KEEP EXISTING","Already in POS",IF(O164&lt;=0,"Blocked: cost",IF(OR(R164&lt;=0,R164&gt;100000),"Blocked: retail",IF(U164="","Blocked: image",IF('Summary'!$B$3="APPROVED","READY","Pending approval")))))))</x:f>
        <x:v>Pending approval</x:v>
      </x:c>
      <x:c r="Z164" s="6" t="str">
        <x:v>Source stock 3 is reference only; POS starts at 0.</x:v>
      </x:c>
    </x:row>
    <x:row r="165" ht="29.25">
      <x:c r="A165" s="12" t="s">
        <x:v>423</x:v>
      </x:c>
      <x:c r="B165" s="6" t="str">
        <x:v>IMPORT</x:v>
      </x:c>
      <x:c r="C165" s="6"/>
      <x:c r="D165" s="6"/>
      <x:c r="E165" s="6" t="s">
        <x:v>648</x:v>
      </x:c>
      <x:c r="F165" s="6" t="s">
        <x:v>52</x:v>
      </x:c>
      <x:c r="G165" s="6" t="s">
        <x:v>72</x:v>
      </x:c>
      <x:c r="H165" s="6" t="s">
        <x:v>424</x:v>
      </x:c>
      <x:c r="I165" s="10" t="s">
        <x:v>424</x:v>
      </x:c>
      <x:c r="J165" s="10" t="s">
        <x:v>37</x:v>
      </x:c>
      <x:c r="K165" s="9" t="str">
        <x:f>"658615"</x:f>
        <x:v>658615</x:v>
      </x:c>
      <x:c r="L165" s="9" t="str">
        <x:f>"658615"</x:f>
        <x:v>658615</x:v>
      </x:c>
      <x:c r="M165" s="12" t="s">
        <x:v>489</x:v>
      </x:c>
      <x:c r="N165" s="8">
        <x:v>28</x:v>
      </x:c>
      <x:c r="O165" s="11" t="n">
        <x:f>IF(B165="KEEP EXISTING",N165,'Cost Review'!H160)</x:f>
        <x:v>28</x:v>
      </x:c>
      <x:c r="P165" s="8" t="str">
        <x:f t="shared" si="17">IF(B165="EXCLUDE","Excluded",IF(B165="REVIEW MATCH","Review match",IF(B165="KEEP EXISTING","Existing",IF(O165&lt;=0,"MISSING","REVIEW"))))</x:f>
        <x:v>REVIEW</x:v>
      </x:c>
      <x:c r="Q165" s="8">
        <x:v>38</x:v>
      </x:c>
      <x:c r="R165" s="11" t="n">
        <x:f>IF(B165="KEEP EXISTING",Q165,'Cost Review'!J160)</x:f>
        <x:v>38</x:v>
      </x:c>
      <x:c r="S165" s="6" t="str">
        <x:f t="shared" si="18">IF(B165="EXCLUDE","Excluded",IF(B165="REVIEW MATCH","Review match",IF(B165="KEEP EXISTING","Existing",IF(OR(R165&lt;=0,R165&gt;100000),"CHECK","OK"))))</x:f>
        <x:v>OK</x:v>
      </x:c>
      <x:c r="T165" s="9" t="str">
        <x:f>"2998000065861"</x:f>
        <x:v>2998000065861</x:v>
      </x:c>
      <x:c r="U165" s="10" t="s">
        <x:v>689</x:v>
      </x:c>
      <x:c r="V165" s="6" t="str">
        <x:f t="shared" si="19">IF(B165="EXCLUDE","Excluded",IF(B165="REVIEW MATCH","Review match",IF(B165="KEEP EXISTING","Existing",IF(U165="","MISSING","FOUND"))))</x:f>
        <x:v>FOUND</x:v>
      </x:c>
      <x:c r="W165" s="9">
        <x:v>1</x:v>
      </x:c>
      <x:c r="X165" s="9">
        <x:v>0</x:v>
      </x:c>
      <x:c r="Y165" s="6" t="str">
        <x:f>IF(B165="EXCLUDE","Excluded by user",IF(B165="REVIEW MATCH","Review current POS match",IF(B165="KEEP EXISTING","Already in POS",IF(O165&lt;=0,"Blocked: cost",IF(OR(R165&lt;=0,R165&gt;100000),"Blocked: retail",IF(U165="","Blocked: image",IF('Summary'!$B$3="APPROVED","READY","Pending approval")))))))</x:f>
        <x:v>Pending approval</x:v>
      </x:c>
      <x:c r="Z165" s="6" t="str">
        <x:v>Source stock 1 is reference only; POS starts at 0.</x:v>
      </x:c>
    </x:row>
    <x:row r="166" ht="29.25">
      <x:c r="A166" s="12" t="s">
        <x:v>425</x:v>
      </x:c>
      <x:c r="B166" s="6" t="str">
        <x:v>IMPORT</x:v>
      </x:c>
      <x:c r="C166" s="6"/>
      <x:c r="D166" s="6"/>
      <x:c r="E166" s="6" t="s">
        <x:v>648</x:v>
      </x:c>
      <x:c r="F166" s="6" t="s">
        <x:v>52</x:v>
      </x:c>
      <x:c r="G166" s="6" t="s">
        <x:v>72</x:v>
      </x:c>
      <x:c r="H166" s="6" t="s">
        <x:v>426</x:v>
      </x:c>
      <x:c r="I166" s="10" t="s">
        <x:v>426</x:v>
      </x:c>
      <x:c r="J166" s="10" t="s">
        <x:v>37</x:v>
      </x:c>
      <x:c r="K166" s="9" t="str">
        <x:f>"658514"</x:f>
        <x:v>658514</x:v>
      </x:c>
      <x:c r="L166" s="9" t="str">
        <x:f>"658514"</x:f>
        <x:v>658514</x:v>
      </x:c>
      <x:c r="M166" s="12" t="s">
        <x:v>489</x:v>
      </x:c>
      <x:c r="N166" s="8">
        <x:v>0</x:v>
      </x:c>
      <x:c r="O166" s="11" t="n">
        <x:f>IF(B166="KEEP EXISTING",N166,'Cost Review'!H161)</x:f>
        <x:v>15</x:v>
      </x:c>
      <x:c r="P166" s="8" t="str">
        <x:f t="shared" si="17">IF(B166="EXCLUDE","Excluded",IF(B166="REVIEW MATCH","Review match",IF(B166="KEEP EXISTING","Existing",IF(O166&lt;=0,"MISSING","REVIEW"))))</x:f>
        <x:v>REVIEW</x:v>
      </x:c>
      <x:c r="Q166" s="8">
        <x:v>19</x:v>
      </x:c>
      <x:c r="R166" s="11" t="n">
        <x:f>IF(B166="KEEP EXISTING",Q166,'Cost Review'!J161)</x:f>
        <x:v>19</x:v>
      </x:c>
      <x:c r="S166" s="6" t="str">
        <x:f t="shared" si="18">IF(B166="EXCLUDE","Excluded",IF(B166="REVIEW MATCH","Review match",IF(B166="KEEP EXISTING","Existing",IF(OR(R166&lt;=0,R166&gt;100000),"CHECK","OK"))))</x:f>
        <x:v>OK</x:v>
      </x:c>
      <x:c r="T166" s="9" t="str">
        <x:f>"2998000065854"</x:f>
        <x:v>2998000065854</x:v>
      </x:c>
      <x:c r="U166" s="10" t="s">
        <x:v>690</x:v>
      </x:c>
      <x:c r="V166" s="6" t="str">
        <x:f t="shared" si="19">IF(B166="EXCLUDE","Excluded",IF(B166="REVIEW MATCH","Review match",IF(B166="KEEP EXISTING","Existing",IF(U166="","MISSING","FOUND"))))</x:f>
        <x:v>FOUND</x:v>
      </x:c>
      <x:c r="W166" s="9">
        <x:v>0</x:v>
      </x:c>
      <x:c r="X166" s="9">
        <x:v>0</x:v>
      </x:c>
      <x:c r="Y166" s="6" t="str">
        <x:f>IF(B166="EXCLUDE","Excluded by user",IF(B166="REVIEW MATCH","Review current POS match",IF(B166="KEEP EXISTING","Already in POS",IF(O166&lt;=0,"Blocked: cost",IF(OR(R166&lt;=0,R166&gt;100000),"Blocked: retail",IF(U166="","Blocked: image",IF('Summary'!$B$3="APPROVED","READY","Pending approval")))))))</x:f>
        <x:v>Pending approval</x:v>
      </x:c>
      <x:c r="Z166" s="6" t="str">
        <x:v>Cost must be entered before import.</x:v>
      </x:c>
    </x:row>
    <x:row r="167" ht="29.25">
      <x:c r="A167" s="12" t="s">
        <x:v>427</x:v>
      </x:c>
      <x:c r="B167" s="6" t="str">
        <x:v>IMPORT</x:v>
      </x:c>
      <x:c r="C167" s="6"/>
      <x:c r="D167" s="6"/>
      <x:c r="E167" s="6" t="s">
        <x:v>648</x:v>
      </x:c>
      <x:c r="F167" s="6" t="s">
        <x:v>52</x:v>
      </x:c>
      <x:c r="G167" s="6" t="s">
        <x:v>72</x:v>
      </x:c>
      <x:c r="H167" s="6" t="s">
        <x:v>428</x:v>
      </x:c>
      <x:c r="I167" s="10" t="s">
        <x:v>428</x:v>
      </x:c>
      <x:c r="J167" s="10" t="s">
        <x:v>37</x:v>
      </x:c>
      <x:c r="K167" s="9" t="str">
        <x:f>"658413"</x:f>
        <x:v>658413</x:v>
      </x:c>
      <x:c r="L167" s="9" t="str">
        <x:f>"658413"</x:f>
        <x:v>658413</x:v>
      </x:c>
      <x:c r="M167" s="12" t="s">
        <x:v>489</x:v>
      </x:c>
      <x:c r="N167" s="8">
        <x:v>0</x:v>
      </x:c>
      <x:c r="O167" s="11" t="n">
        <x:f>IF(B167="KEEP EXISTING",N167,'Cost Review'!H162)</x:f>
        <x:v>12</x:v>
      </x:c>
      <x:c r="P167" s="8" t="str">
        <x:f t="shared" si="17">IF(B167="EXCLUDE","Excluded",IF(B167="REVIEW MATCH","Review match",IF(B167="KEEP EXISTING","Existing",IF(O167&lt;=0,"MISSING","REVIEW"))))</x:f>
        <x:v>REVIEW</x:v>
      </x:c>
      <x:c r="Q167" s="8">
        <x:v>15</x:v>
      </x:c>
      <x:c r="R167" s="11" t="n">
        <x:f>IF(B167="KEEP EXISTING",Q167,'Cost Review'!J162)</x:f>
        <x:v>15</x:v>
      </x:c>
      <x:c r="S167" s="6" t="str">
        <x:f t="shared" si="18">IF(B167="EXCLUDE","Excluded",IF(B167="REVIEW MATCH","Review match",IF(B167="KEEP EXISTING","Existing",IF(OR(R167&lt;=0,R167&gt;100000),"CHECK","OK"))))</x:f>
        <x:v>OK</x:v>
      </x:c>
      <x:c r="T167" s="9" t="str">
        <x:f>"2998000065847"</x:f>
        <x:v>2998000065847</x:v>
      </x:c>
      <x:c r="U167" s="10" t="s">
        <x:v>691</x:v>
      </x:c>
      <x:c r="V167" s="6" t="str">
        <x:f t="shared" si="19">IF(B167="EXCLUDE","Excluded",IF(B167="REVIEW MATCH","Review match",IF(B167="KEEP EXISTING","Existing",IF(U167="","MISSING","FOUND"))))</x:f>
        <x:v>FOUND</x:v>
      </x:c>
      <x:c r="W167" s="9">
        <x:v>0</x:v>
      </x:c>
      <x:c r="X167" s="9">
        <x:v>0</x:v>
      </x:c>
      <x:c r="Y167" s="6" t="str">
        <x:f>IF(B167="EXCLUDE","Excluded by user",IF(B167="REVIEW MATCH","Review current POS match",IF(B167="KEEP EXISTING","Already in POS",IF(O167&lt;=0,"Blocked: cost",IF(OR(R167&lt;=0,R167&gt;100000),"Blocked: retail",IF(U167="","Blocked: image",IF('Summary'!$B$3="APPROVED","READY","Pending approval")))))))</x:f>
        <x:v>Pending approval</x:v>
      </x:c>
      <x:c r="Z167" s="6" t="str">
        <x:v>Cost must be entered before import.</x:v>
      </x:c>
    </x:row>
    <x:row r="168" ht="43.5">
      <x:c r="A168" s="12" t="s">
        <x:v>429</x:v>
      </x:c>
      <x:c r="B168" s="6" t="str">
        <x:v>IMPORT</x:v>
      </x:c>
      <x:c r="C168" s="6"/>
      <x:c r="D168" s="6"/>
      <x:c r="E168" s="6" t="s">
        <x:v>515</x:v>
      </x:c>
      <x:c r="F168" s="6" t="s">
        <x:v>52</x:v>
      </x:c>
      <x:c r="G168" s="6" t="s">
        <x:v>58</x:v>
      </x:c>
      <x:c r="H168" s="6" t="s">
        <x:v>430</x:v>
      </x:c>
      <x:c r="I168" s="10" t="s">
        <x:v>430</x:v>
      </x:c>
      <x:c r="J168" s="10" t="s">
        <x:v>136</x:v>
      </x:c>
      <x:c r="K168" s="9" t="str">
        <x:f>"6970344732452"</x:f>
        <x:v>6970344732452</x:v>
      </x:c>
      <x:c r="L168" s="9" t="str">
        <x:f>"TM8-COMP-6497"</x:f>
        <x:v>TM8-COMP-6497</x:v>
      </x:c>
      <x:c r="M168" s="12" t="s">
        <x:v>536</x:v>
      </x:c>
      <x:c r="N168" s="8">
        <x:v>7.76</x:v>
      </x:c>
      <x:c r="O168" s="11" t="n">
        <x:f>IF(B168="KEEP EXISTING",N168,'Cost Review'!H163)</x:f>
        <x:v>7.76</x:v>
      </x:c>
      <x:c r="P168" s="8" t="str">
        <x:f t="shared" si="17">IF(B168="EXCLUDE","Excluded",IF(B168="REVIEW MATCH","Review match",IF(B168="KEEP EXISTING","Existing",IF(O168&lt;=0,"MISSING","REVIEW"))))</x:f>
        <x:v>REVIEW</x:v>
      </x:c>
      <x:c r="Q168" s="8">
        <x:v>24.99</x:v>
      </x:c>
      <x:c r="R168" s="11" t="n">
        <x:f>IF(B168="KEEP EXISTING",Q168,'Cost Review'!J163)</x:f>
        <x:v>24.99</x:v>
      </x:c>
      <x:c r="S168" s="6" t="str">
        <x:f t="shared" si="18">IF(B168="EXCLUDE","Excluded",IF(B168="REVIEW MATCH","Review match",IF(B168="KEEP EXISTING","Existing",IF(OR(R168&lt;=0,R168&gt;100000),"CHECK","OK"))))</x:f>
        <x:v>OK</x:v>
      </x:c>
      <x:c r="T168" s="9" t="str">
        <x:f>"2998000064970"</x:f>
        <x:v>2998000064970</x:v>
      </x:c>
      <x:c r="U168" s="10" t="s">
        <x:v>692</x:v>
      </x:c>
      <x:c r="V168" s="6" t="str">
        <x:f t="shared" si="19">IF(B168="EXCLUDE","Excluded",IF(B168="REVIEW MATCH","Review match",IF(B168="KEEP EXISTING","Existing",IF(U168="","MISSING","FOUND"))))</x:f>
        <x:v>FOUND</x:v>
      </x:c>
      <x:c r="W168" s="9">
        <x:v>9</x:v>
      </x:c>
      <x:c r="X168" s="9">
        <x:v>0</x:v>
      </x:c>
      <x:c r="Y168" s="6" t="str">
        <x:f>IF(B168="EXCLUDE","Excluded by user",IF(B168="REVIEW MATCH","Review current POS match",IF(B168="KEEP EXISTING","Already in POS",IF(O168&lt;=0,"Blocked: cost",IF(OR(R168&lt;=0,R168&gt;100000),"Blocked: retail",IF(U168="","Blocked: image",IF('Summary'!$B$3="APPROVED","READY","Pending approval")))))))</x:f>
        <x:v>Pending approval</x:v>
      </x:c>
      <x:c r="Z168" s="6" t="str">
        <x:v>Source stock 9 is reference only; POS starts at 0.</x:v>
      </x:c>
    </x:row>
    <x:row r="169" ht="29.25">
      <x:c r="A169" s="12" t="s">
        <x:v>432</x:v>
      </x:c>
      <x:c r="B169" s="6" t="str">
        <x:v>IMPORT</x:v>
      </x:c>
      <x:c r="C169" s="6"/>
      <x:c r="D169" s="6"/>
      <x:c r="E169" s="6" t="s">
        <x:v>497</x:v>
      </x:c>
      <x:c r="F169" s="6" t="s">
        <x:v>52</x:v>
      </x:c>
      <x:c r="G169" s="6" t="s">
        <x:v>58</x:v>
      </x:c>
      <x:c r="H169" s="6" t="s">
        <x:v>433</x:v>
      </x:c>
      <x:c r="I169" s="10" t="s">
        <x:v>433</x:v>
      </x:c>
      <x:c r="J169" s="10" t="s">
        <x:v>136</x:v>
      </x:c>
      <x:c r="K169" s="9" t="str">
        <x:f>"6970344732575"</x:f>
        <x:v>6970344732575</x:v>
      </x:c>
      <x:c r="L169" s="9" t="str">
        <x:f>"6970344732575"</x:f>
        <x:v>6970344732575</x:v>
      </x:c>
      <x:c r="M169" s="12" t="s">
        <x:v>489</x:v>
      </x:c>
      <x:c r="N169" s="8">
        <x:v>13.2</x:v>
      </x:c>
      <x:c r="O169" s="11" t="n">
        <x:f>IF(B169="KEEP EXISTING",N169,'Cost Review'!H164)</x:f>
        <x:v>13.2</x:v>
      </x:c>
      <x:c r="P169" s="8" t="str">
        <x:f t="shared" si="17">IF(B169="EXCLUDE","Excluded",IF(B169="REVIEW MATCH","Review match",IF(B169="KEEP EXISTING","Existing",IF(O169&lt;=0,"MISSING","REVIEW"))))</x:f>
        <x:v>REVIEW</x:v>
      </x:c>
      <x:c r="Q169" s="8">
        <x:v>19.989999999999998</x:v>
      </x:c>
      <x:c r="R169" s="11" t="n">
        <x:f>IF(B169="KEEP EXISTING",Q169,'Cost Review'!J164)</x:f>
        <x:v>19.99</x:v>
      </x:c>
      <x:c r="S169" s="6" t="str">
        <x:f t="shared" si="18">IF(B169="EXCLUDE","Excluded",IF(B169="REVIEW MATCH","Review match",IF(B169="KEEP EXISTING","Existing",IF(OR(R169&lt;=0,R169&gt;100000),"CHECK","OK"))))</x:f>
        <x:v>OK</x:v>
      </x:c>
      <x:c r="T169" s="9" t="str">
        <x:f>"6970344732575"</x:f>
        <x:v>6970344732575</x:v>
      </x:c>
      <x:c r="U169" s="10" t="s">
        <x:v>693</x:v>
      </x:c>
      <x:c r="V169" s="6" t="str">
        <x:f t="shared" si="19">IF(B169="EXCLUDE","Excluded",IF(B169="REVIEW MATCH","Review match",IF(B169="KEEP EXISTING","Existing",IF(U169="","MISSING","FOUND"))))</x:f>
        <x:v>FOUND</x:v>
      </x:c>
      <x:c r="W169" s="9">
        <x:v>13</x:v>
      </x:c>
      <x:c r="X169" s="9">
        <x:v>0</x:v>
      </x:c>
      <x:c r="Y169" s="6" t="str">
        <x:f>IF(B169="EXCLUDE","Excluded by user",IF(B169="REVIEW MATCH","Review current POS match",IF(B169="KEEP EXISTING","Already in POS",IF(O169&lt;=0,"Blocked: cost",IF(OR(R169&lt;=0,R169&gt;100000),"Blocked: retail",IF(U169="","Blocked: image",IF('Summary'!$B$3="APPROVED","READY","Pending approval")))))))</x:f>
        <x:v>Pending approval</x:v>
      </x:c>
      <x:c r="Z169" s="6" t="str">
        <x:v>Source stock 13 is reference only; POS starts at 0.</x:v>
      </x:c>
    </x:row>
    <x:row r="170" ht="29.25">
      <x:c r="A170" s="12" t="s">
        <x:v>435</x:v>
      </x:c>
      <x:c r="B170" s="6" t="str">
        <x:v>IMPORT</x:v>
      </x:c>
      <x:c r="C170" s="6"/>
      <x:c r="D170" s="6"/>
      <x:c r="E170" s="6" t="s">
        <x:v>497</x:v>
      </x:c>
      <x:c r="F170" s="6" t="s">
        <x:v>52</x:v>
      </x:c>
      <x:c r="G170" s="6" t="s">
        <x:v>58</x:v>
      </x:c>
      <x:c r="H170" s="6" t="s">
        <x:v>436</x:v>
      </x:c>
      <x:c r="I170" s="10" t="s">
        <x:v>436</x:v>
      </x:c>
      <x:c r="J170" s="10" t="s">
        <x:v>37</x:v>
      </x:c>
      <x:c r="K170" s="9" t="str">
        <x:f>"6970344731691"</x:f>
        <x:v>6970344731691</x:v>
      </x:c>
      <x:c r="L170" s="9" t="str">
        <x:f>"6970344731691"</x:f>
        <x:v>6970344731691</x:v>
      </x:c>
      <x:c r="M170" s="12" t="s">
        <x:v>489</x:v>
      </x:c>
      <x:c r="N170" s="8">
        <x:v>19.84</x:v>
      </x:c>
      <x:c r="O170" s="11" t="n">
        <x:f>IF(B170="KEEP EXISTING",N170,'Cost Review'!H165)</x:f>
        <x:v>19.84</x:v>
      </x:c>
      <x:c r="P170" s="8" t="str">
        <x:f t="shared" si="17">IF(B170="EXCLUDE","Excluded",IF(B170="REVIEW MATCH","Review match",IF(B170="KEEP EXISTING","Existing",IF(O170&lt;=0,"MISSING","REVIEW"))))</x:f>
        <x:v>REVIEW</x:v>
      </x:c>
      <x:c r="Q170" s="8">
        <x:v>29.99</x:v>
      </x:c>
      <x:c r="R170" s="11" t="n">
        <x:f>IF(B170="KEEP EXISTING",Q170,'Cost Review'!J165)</x:f>
        <x:v>29.99</x:v>
      </x:c>
      <x:c r="S170" s="6" t="str">
        <x:f t="shared" si="18">IF(B170="EXCLUDE","Excluded",IF(B170="REVIEW MATCH","Review match",IF(B170="KEEP EXISTING","Existing",IF(OR(R170&lt;=0,R170&gt;100000),"CHECK","OK"))))</x:f>
        <x:v>OK</x:v>
      </x:c>
      <x:c r="T170" s="9" t="str">
        <x:f>"6970344731691"</x:f>
        <x:v>6970344731691</x:v>
      </x:c>
      <x:c r="U170" s="10" t="s">
        <x:v>694</x:v>
      </x:c>
      <x:c r="V170" s="6" t="str">
        <x:f t="shared" si="19">IF(B170="EXCLUDE","Excluded",IF(B170="REVIEW MATCH","Review match",IF(B170="KEEP EXISTING","Existing",IF(U170="","MISSING","FOUND"))))</x:f>
        <x:v>FOUND</x:v>
      </x:c>
      <x:c r="W170" s="9">
        <x:v>0</x:v>
      </x:c>
      <x:c r="X170" s="9">
        <x:v>0</x:v>
      </x:c>
      <x:c r="Y170" s="6" t="str">
        <x:f>IF(B170="EXCLUDE","Excluded by user",IF(B170="REVIEW MATCH","Review current POS match",IF(B170="KEEP EXISTING","Already in POS",IF(O170&lt;=0,"Blocked: cost",IF(OR(R170&lt;=0,R170&gt;100000),"Blocked: retail",IF(U170="","Blocked: image",IF('Summary'!$B$3="APPROVED","READY","Pending approval")))))))</x:f>
        <x:v>Pending approval</x:v>
      </x:c>
      <x:c r="Z170" s="6" t="str"/>
    </x:row>
    <x:row r="171" ht="29.25">
      <x:c r="A171" s="12" t="s">
        <x:v>437</x:v>
      </x:c>
      <x:c r="B171" s="6" t="str">
        <x:v>IMPORT</x:v>
      </x:c>
      <x:c r="C171" s="6"/>
      <x:c r="D171" s="6"/>
      <x:c r="E171" s="6" t="s">
        <x:v>515</x:v>
      </x:c>
      <x:c r="F171" s="6" t="s">
        <x:v>52</x:v>
      </x:c>
      <x:c r="G171" s="6" t="s">
        <x:v>58</x:v>
      </x:c>
      <x:c r="H171" s="6" t="s">
        <x:v>438</x:v>
      </x:c>
      <x:c r="I171" s="10" t="s">
        <x:v>438</x:v>
      </x:c>
      <x:c r="J171" s="10" t="s">
        <x:v>136</x:v>
      </x:c>
      <x:c r="K171" s="9" t="str">
        <x:f>"6970344732520"</x:f>
        <x:v>6970344732520</x:v>
      </x:c>
      <x:c r="L171" s="9" t="str">
        <x:f>"6970344732520"</x:f>
        <x:v>6970344732520</x:v>
      </x:c>
      <x:c r="M171" s="12" t="s">
        <x:v>489</x:v>
      </x:c>
      <x:c r="N171" s="8">
        <x:v>6.12</x:v>
      </x:c>
      <x:c r="O171" s="11" t="n">
        <x:f>IF(B171="KEEP EXISTING",N171,'Cost Review'!H166)</x:f>
        <x:v>6.12</x:v>
      </x:c>
      <x:c r="P171" s="8" t="str">
        <x:f t="shared" si="17">IF(B171="EXCLUDE","Excluded",IF(B171="REVIEW MATCH","Review match",IF(B171="KEEP EXISTING","Existing",IF(O171&lt;=0,"MISSING","REVIEW"))))</x:f>
        <x:v>REVIEW</x:v>
      </x:c>
      <x:c r="Q171" s="8">
        <x:v>15.99</x:v>
      </x:c>
      <x:c r="R171" s="11" t="n">
        <x:f>IF(B171="KEEP EXISTING",Q171,'Cost Review'!J166)</x:f>
        <x:v>15.99</x:v>
      </x:c>
      <x:c r="S171" s="6" t="str">
        <x:f t="shared" si="18">IF(B171="EXCLUDE","Excluded",IF(B171="REVIEW MATCH","Review match",IF(B171="KEEP EXISTING","Existing",IF(OR(R171&lt;=0,R171&gt;100000),"CHECK","OK"))))</x:f>
        <x:v>OK</x:v>
      </x:c>
      <x:c r="T171" s="9" t="str">
        <x:f>"6970344732520"</x:f>
        <x:v>6970344732520</x:v>
      </x:c>
      <x:c r="U171" s="10" t="s">
        <x:v>695</x:v>
      </x:c>
      <x:c r="V171" s="6" t="str">
        <x:f t="shared" si="19">IF(B171="EXCLUDE","Excluded",IF(B171="REVIEW MATCH","Review match",IF(B171="KEEP EXISTING","Existing",IF(U171="","MISSING","FOUND"))))</x:f>
        <x:v>FOUND</x:v>
      </x:c>
      <x:c r="W171" s="9">
        <x:v>-1</x:v>
      </x:c>
      <x:c r="X171" s="9">
        <x:v>0</x:v>
      </x:c>
      <x:c r="Y171" s="6" t="str">
        <x:f>IF(B171="EXCLUDE","Excluded by user",IF(B171="REVIEW MATCH","Review current POS match",IF(B171="KEEP EXISTING","Already in POS",IF(O171&lt;=0,"Blocked: cost",IF(OR(R171&lt;=0,R171&gt;100000),"Blocked: retail",IF(U171="","Blocked: image",IF('Summary'!$B$3="APPROVED","READY","Pending approval")))))))</x:f>
        <x:v>Pending approval</x:v>
      </x:c>
      <x:c r="Z171" s="6" t="str">
        <x:v>Source stock -1 is reference only; POS starts at 0.</x:v>
      </x:c>
    </x:row>
    <x:row r="172" ht="29.25">
      <x:c r="A172" s="12" t="s">
        <x:v>439</x:v>
      </x:c>
      <x:c r="B172" s="6" t="str">
        <x:v>IMPORT</x:v>
      </x:c>
      <x:c r="C172" s="6"/>
      <x:c r="D172" s="6"/>
      <x:c r="E172" s="6" t="s">
        <x:v>515</x:v>
      </x:c>
      <x:c r="F172" s="6" t="s">
        <x:v>52</x:v>
      </x:c>
      <x:c r="G172" s="6" t="s">
        <x:v>58</x:v>
      </x:c>
      <x:c r="H172" s="6" t="s">
        <x:v>440</x:v>
      </x:c>
      <x:c r="I172" s="10" t="s">
        <x:v>440</x:v>
      </x:c>
      <x:c r="J172" s="10" t="s">
        <x:v>136</x:v>
      </x:c>
      <x:c r="K172" s="9" t="str">
        <x:f>"6970344732209"</x:f>
        <x:v>6970344732209</x:v>
      </x:c>
      <x:c r="L172" s="9" t="str">
        <x:f>"6970344732209"</x:f>
        <x:v>6970344732209</x:v>
      </x:c>
      <x:c r="M172" s="12" t="s">
        <x:v>489</x:v>
      </x:c>
      <x:c r="N172" s="8">
        <x:v>18.16</x:v>
      </x:c>
      <x:c r="O172" s="11" t="n">
        <x:f>IF(B172="KEEP EXISTING",N172,'Cost Review'!H167)</x:f>
        <x:v>18.16</x:v>
      </x:c>
      <x:c r="P172" s="8" t="str">
        <x:f t="shared" si="17">IF(B172="EXCLUDE","Excluded",IF(B172="REVIEW MATCH","Review match",IF(B172="KEEP EXISTING","Existing",IF(O172&lt;=0,"MISSING","REVIEW"))))</x:f>
        <x:v>REVIEW</x:v>
      </x:c>
      <x:c r="Q172" s="8">
        <x:v>54.99</x:v>
      </x:c>
      <x:c r="R172" s="11" t="n">
        <x:f>IF(B172="KEEP EXISTING",Q172,'Cost Review'!J167)</x:f>
        <x:v>54.99</x:v>
      </x:c>
      <x:c r="S172" s="6" t="str">
        <x:f t="shared" si="18">IF(B172="EXCLUDE","Excluded",IF(B172="REVIEW MATCH","Review match",IF(B172="KEEP EXISTING","Existing",IF(OR(R172&lt;=0,R172&gt;100000),"CHECK","OK"))))</x:f>
        <x:v>OK</x:v>
      </x:c>
      <x:c r="T172" s="9" t="str">
        <x:f>"6970344732209"</x:f>
        <x:v>6970344732209</x:v>
      </x:c>
      <x:c r="U172" s="10" t="s">
        <x:v>696</x:v>
      </x:c>
      <x:c r="V172" s="6" t="str">
        <x:f t="shared" si="19">IF(B172="EXCLUDE","Excluded",IF(B172="REVIEW MATCH","Review match",IF(B172="KEEP EXISTING","Existing",IF(U172="","MISSING","FOUND"))))</x:f>
        <x:v>FOUND</x:v>
      </x:c>
      <x:c r="W172" s="9">
        <x:v>6</x:v>
      </x:c>
      <x:c r="X172" s="9">
        <x:v>0</x:v>
      </x:c>
      <x:c r="Y172" s="6" t="str">
        <x:f>IF(B172="EXCLUDE","Excluded by user",IF(B172="REVIEW MATCH","Review current POS match",IF(B172="KEEP EXISTING","Already in POS",IF(O172&lt;=0,"Blocked: cost",IF(OR(R172&lt;=0,R172&gt;100000),"Blocked: retail",IF(U172="","Blocked: image",IF('Summary'!$B$3="APPROVED","READY","Pending approval")))))))</x:f>
        <x:v>Pending approval</x:v>
      </x:c>
      <x:c r="Z172" s="6" t="str">
        <x:v>Source stock 6 is reference only; POS starts at 0.</x:v>
      </x:c>
    </x:row>
    <x:row r="173" ht="29.25">
      <x:c r="A173" s="12" t="s">
        <x:v>442</x:v>
      </x:c>
      <x:c r="B173" s="6" t="str">
        <x:v>IMPORT</x:v>
      </x:c>
      <x:c r="C173" s="6"/>
      <x:c r="D173" s="6"/>
      <x:c r="E173" s="6" t="s">
        <x:v>497</x:v>
      </x:c>
      <x:c r="F173" s="6" t="s">
        <x:v>52</x:v>
      </x:c>
      <x:c r="G173" s="6" t="s">
        <x:v>58</x:v>
      </x:c>
      <x:c r="H173" s="6" t="s">
        <x:v>443</x:v>
      </x:c>
      <x:c r="I173" s="10" t="s">
        <x:v>443</x:v>
      </x:c>
      <x:c r="J173" s="10" t="s">
        <x:v>136</x:v>
      </x:c>
      <x:c r="K173" s="9" t="str">
        <x:f>"6970344731974"</x:f>
        <x:v>6970344731974</x:v>
      </x:c>
      <x:c r="L173" s="9" t="str">
        <x:f>"6970344731974"</x:f>
        <x:v>6970344731974</x:v>
      </x:c>
      <x:c r="M173" s="12" t="s">
        <x:v>489</x:v>
      </x:c>
      <x:c r="N173" s="8">
        <x:v>24.4</x:v>
      </x:c>
      <x:c r="O173" s="11" t="n">
        <x:f>IF(B173="KEEP EXISTING",N173,'Cost Review'!H168)</x:f>
        <x:v>24.4</x:v>
      </x:c>
      <x:c r="P173" s="8" t="str">
        <x:f t="shared" si="17">IF(B173="EXCLUDE","Excluded",IF(B173="REVIEW MATCH","Review match",IF(B173="KEEP EXISTING","Existing",IF(O173&lt;=0,"MISSING","REVIEW"))))</x:f>
        <x:v>REVIEW</x:v>
      </x:c>
      <x:c r="Q173" s="8">
        <x:v>59.99</x:v>
      </x:c>
      <x:c r="R173" s="11" t="n">
        <x:f>IF(B173="KEEP EXISTING",Q173,'Cost Review'!J168)</x:f>
        <x:v>59.99</x:v>
      </x:c>
      <x:c r="S173" s="6" t="str">
        <x:f t="shared" si="18">IF(B173="EXCLUDE","Excluded",IF(B173="REVIEW MATCH","Review match",IF(B173="KEEP EXISTING","Existing",IF(OR(R173&lt;=0,R173&gt;100000),"CHECK","OK"))))</x:f>
        <x:v>OK</x:v>
      </x:c>
      <x:c r="T173" s="9" t="str">
        <x:f>"6970344731974"</x:f>
        <x:v>6970344731974</x:v>
      </x:c>
      <x:c r="U173" s="10" t="s">
        <x:v>697</x:v>
      </x:c>
      <x:c r="V173" s="6" t="str">
        <x:f t="shared" si="19">IF(B173="EXCLUDE","Excluded",IF(B173="REVIEW MATCH","Review match",IF(B173="KEEP EXISTING","Existing",IF(U173="","MISSING","FOUND"))))</x:f>
        <x:v>FOUND</x:v>
      </x:c>
      <x:c r="W173" s="9">
        <x:v>-2</x:v>
      </x:c>
      <x:c r="X173" s="9">
        <x:v>0</x:v>
      </x:c>
      <x:c r="Y173" s="6" t="str">
        <x:f>IF(B173="EXCLUDE","Excluded by user",IF(B173="REVIEW MATCH","Review current POS match",IF(B173="KEEP EXISTING","Already in POS",IF(O173&lt;=0,"Blocked: cost",IF(OR(R173&lt;=0,R173&gt;100000),"Blocked: retail",IF(U173="","Blocked: image",IF('Summary'!$B$3="APPROVED","READY","Pending approval")))))))</x:f>
        <x:v>Pending approval</x:v>
      </x:c>
      <x:c r="Z173" s="6" t="str">
        <x:v>Source stock -2 is reference only; POS starts at 0.</x:v>
      </x:c>
    </x:row>
    <x:row r="174" ht="29.25">
      <x:c r="A174" s="12" t="s">
        <x:v>445</x:v>
      </x:c>
      <x:c r="B174" s="6" t="str">
        <x:v>IMPORT</x:v>
      </x:c>
      <x:c r="C174" s="6"/>
      <x:c r="D174" s="6"/>
      <x:c r="E174" s="6" t="s">
        <x:v>497</x:v>
      </x:c>
      <x:c r="F174" s="6" t="s">
        <x:v>52</x:v>
      </x:c>
      <x:c r="G174" s="6" t="s">
        <x:v>58</x:v>
      </x:c>
      <x:c r="H174" s="6" t="s">
        <x:v>446</x:v>
      </x:c>
      <x:c r="I174" s="10" t="s">
        <x:v>446</x:v>
      </x:c>
      <x:c r="J174" s="10" t="s">
        <x:v>136</x:v>
      </x:c>
      <x:c r="K174" s="9" t="str">
        <x:f>"6970344731295"</x:f>
        <x:v>6970344731295</x:v>
      </x:c>
      <x:c r="L174" s="9" t="str">
        <x:f>"6970344731295"</x:f>
        <x:v>6970344731295</x:v>
      </x:c>
      <x:c r="M174" s="12" t="s">
        <x:v>489</x:v>
      </x:c>
      <x:c r="N174" s="8">
        <x:v>95.36</x:v>
      </x:c>
      <x:c r="O174" s="11" t="n">
        <x:f>IF(B174="KEEP EXISTING",N174,'Cost Review'!H169)</x:f>
        <x:v>95.36</x:v>
      </x:c>
      <x:c r="P174" s="8" t="str">
        <x:f t="shared" si="17">IF(B174="EXCLUDE","Excluded",IF(B174="REVIEW MATCH","Review match",IF(B174="KEEP EXISTING","Existing",IF(O174&lt;=0,"MISSING","REVIEW"))))</x:f>
        <x:v>REVIEW</x:v>
      </x:c>
      <x:c r="Q174" s="8">
        <x:v>219</x:v>
      </x:c>
      <x:c r="R174" s="11" t="n">
        <x:f>IF(B174="KEEP EXISTING",Q174,'Cost Review'!J169)</x:f>
        <x:v>219</x:v>
      </x:c>
      <x:c r="S174" s="6" t="str">
        <x:f t="shared" si="18">IF(B174="EXCLUDE","Excluded",IF(B174="REVIEW MATCH","Review match",IF(B174="KEEP EXISTING","Existing",IF(OR(R174&lt;=0,R174&gt;100000),"CHECK","OK"))))</x:f>
        <x:v>OK</x:v>
      </x:c>
      <x:c r="T174" s="9" t="str">
        <x:f>"6970344731295"</x:f>
        <x:v>6970344731295</x:v>
      </x:c>
      <x:c r="U174" s="10" t="s">
        <x:v>698</x:v>
      </x:c>
      <x:c r="V174" s="6" t="str">
        <x:f t="shared" si="19">IF(B174="EXCLUDE","Excluded",IF(B174="REVIEW MATCH","Review match",IF(B174="KEEP EXISTING","Existing",IF(U174="","MISSING","FOUND"))))</x:f>
        <x:v>FOUND</x:v>
      </x:c>
      <x:c r="W174" s="9">
        <x:v>2</x:v>
      </x:c>
      <x:c r="X174" s="9">
        <x:v>0</x:v>
      </x:c>
      <x:c r="Y174" s="6" t="str">
        <x:f>IF(B174="EXCLUDE","Excluded by user",IF(B174="REVIEW MATCH","Review current POS match",IF(B174="KEEP EXISTING","Already in POS",IF(O174&lt;=0,"Blocked: cost",IF(OR(R174&lt;=0,R174&gt;100000),"Blocked: retail",IF(U174="","Blocked: image",IF('Summary'!$B$3="APPROVED","READY","Pending approval")))))))</x:f>
        <x:v>Pending approval</x:v>
      </x:c>
      <x:c r="Z174" s="6" t="str">
        <x:v>Source stock 2 is reference only; POS starts at 0.</x:v>
      </x:c>
    </x:row>
    <x:row r="175" ht="29.25">
      <x:c r="A175" s="12" t="s">
        <x:v>447</x:v>
      </x:c>
      <x:c r="B175" s="6" t="str">
        <x:v>IMPORT</x:v>
      </x:c>
      <x:c r="C175" s="6"/>
      <x:c r="D175" s="6"/>
      <x:c r="E175" s="6" t="s">
        <x:v>512</x:v>
      </x:c>
      <x:c r="F175" s="6" t="s">
        <x:v>67</x:v>
      </x:c>
      <x:c r="G175" s="6" t="s">
        <x:v>91</x:v>
      </x:c>
      <x:c r="H175" s="6" t="s">
        <x:v>448</x:v>
      </x:c>
      <x:c r="I175" s="10" t="s">
        <x:v>448</x:v>
      </x:c>
      <x:c r="J175" s="10" t="s">
        <x:v>136</x:v>
      </x:c>
      <x:c r="K175" s="9" t="str">
        <x:f>"6970344731561"</x:f>
        <x:v>6970344731561</x:v>
      </x:c>
      <x:c r="L175" s="9" t="str">
        <x:f>"6970344731561"</x:f>
        <x:v>6970344731561</x:v>
      </x:c>
      <x:c r="M175" s="12" t="s">
        <x:v>489</x:v>
      </x:c>
      <x:c r="N175" s="8">
        <x:v>32.94</x:v>
      </x:c>
      <x:c r="O175" s="11" t="n">
        <x:f>IF(B175="KEEP EXISTING",N175,'Cost Review'!H170)</x:f>
        <x:v>32.94</x:v>
      </x:c>
      <x:c r="P175" s="8" t="str">
        <x:f t="shared" si="17">IF(B175="EXCLUDE","Excluded",IF(B175="REVIEW MATCH","Review match",IF(B175="KEEP EXISTING","Existing",IF(O175&lt;=0,"MISSING","REVIEW"))))</x:f>
        <x:v>REVIEW</x:v>
      </x:c>
      <x:c r="Q175" s="8">
        <x:v>79.989999999999995</x:v>
      </x:c>
      <x:c r="R175" s="11" t="n">
        <x:f>IF(B175="KEEP EXISTING",Q175,'Cost Review'!J170)</x:f>
        <x:v>79.99</x:v>
      </x:c>
      <x:c r="S175" s="6" t="str">
        <x:f t="shared" si="18">IF(B175="EXCLUDE","Excluded",IF(B175="REVIEW MATCH","Review match",IF(B175="KEEP EXISTING","Existing",IF(OR(R175&lt;=0,R175&gt;100000),"CHECK","OK"))))</x:f>
        <x:v>OK</x:v>
      </x:c>
      <x:c r="T175" s="9" t="str">
        <x:f>"6970344731561"</x:f>
        <x:v>6970344731561</x:v>
      </x:c>
      <x:c r="U175" s="10" t="s">
        <x:v>699</x:v>
      </x:c>
      <x:c r="V175" s="6" t="str">
        <x:f t="shared" si="19">IF(B175="EXCLUDE","Excluded",IF(B175="REVIEW MATCH","Review match",IF(B175="KEEP EXISTING","Existing",IF(U175="","MISSING","FOUND"))))</x:f>
        <x:v>FOUND</x:v>
      </x:c>
      <x:c r="W175" s="9">
        <x:v>9</x:v>
      </x:c>
      <x:c r="X175" s="9">
        <x:v>0</x:v>
      </x:c>
      <x:c r="Y175" s="6" t="str">
        <x:f>IF(B175="EXCLUDE","Excluded by user",IF(B175="REVIEW MATCH","Review current POS match",IF(B175="KEEP EXISTING","Already in POS",IF(O175&lt;=0,"Blocked: cost",IF(OR(R175&lt;=0,R175&gt;100000),"Blocked: retail",IF(U175="","Blocked: image",IF('Summary'!$B$3="APPROVED","READY","Pending approval")))))))</x:f>
        <x:v>Pending approval</x:v>
      </x:c>
      <x:c r="Z175" s="6" t="str">
        <x:v>Source stock 9 is reference only; POS starts at 0.</x:v>
      </x:c>
    </x:row>
    <x:row r="176" ht="29.25">
      <x:c r="A176" s="12" t="s">
        <x:v>449</x:v>
      </x:c>
      <x:c r="B176" s="6" t="str">
        <x:v>IMPORT</x:v>
      </x:c>
      <x:c r="C176" s="6"/>
      <x:c r="D176" s="6"/>
      <x:c r="E176" s="6" t="s">
        <x:v>512</x:v>
      </x:c>
      <x:c r="F176" s="6" t="s">
        <x:v>67</x:v>
      </x:c>
      <x:c r="G176" s="6" t="s">
        <x:v>91</x:v>
      </x:c>
      <x:c r="H176" s="6" t="s">
        <x:v>450</x:v>
      </x:c>
      <x:c r="I176" s="10" t="s">
        <x:v>450</x:v>
      </x:c>
      <x:c r="J176" s="10" t="s">
        <x:v>136</x:v>
      </x:c>
      <x:c r="K176" s="9" t="str">
        <x:f>"6970344731363"</x:f>
        <x:v>6970344731363</x:v>
      </x:c>
      <x:c r="L176" s="9" t="str">
        <x:f>"6970344731363"</x:f>
        <x:v>6970344731363</x:v>
      </x:c>
      <x:c r="M176" s="12" t="s">
        <x:v>489</x:v>
      </x:c>
      <x:c r="N176" s="8">
        <x:v>19.8</x:v>
      </x:c>
      <x:c r="O176" s="11" t="n">
        <x:f>IF(B176="KEEP EXISTING",N176,'Cost Review'!H171)</x:f>
        <x:v>19.8</x:v>
      </x:c>
      <x:c r="P176" s="8" t="str">
        <x:f t="shared" si="17">IF(B176="EXCLUDE","Excluded",IF(B176="REVIEW MATCH","Review match",IF(B176="KEEP EXISTING","Existing",IF(O176&lt;=0,"MISSING","REVIEW"))))</x:f>
        <x:v>REVIEW</x:v>
      </x:c>
      <x:c r="Q176" s="8">
        <x:v>49.99</x:v>
      </x:c>
      <x:c r="R176" s="11" t="n">
        <x:f>IF(B176="KEEP EXISTING",Q176,'Cost Review'!J171)</x:f>
        <x:v>49.99</x:v>
      </x:c>
      <x:c r="S176" s="6" t="str">
        <x:f t="shared" si="18">IF(B176="EXCLUDE","Excluded",IF(B176="REVIEW MATCH","Review match",IF(B176="KEEP EXISTING","Existing",IF(OR(R176&lt;=0,R176&gt;100000),"CHECK","OK"))))</x:f>
        <x:v>OK</x:v>
      </x:c>
      <x:c r="T176" s="9" t="str">
        <x:f>"6970344731363"</x:f>
        <x:v>6970344731363</x:v>
      </x:c>
      <x:c r="U176" s="10" t="s">
        <x:v>700</x:v>
      </x:c>
      <x:c r="V176" s="6" t="str">
        <x:f t="shared" si="19">IF(B176="EXCLUDE","Excluded",IF(B176="REVIEW MATCH","Review match",IF(B176="KEEP EXISTING","Existing",IF(U176="","MISSING","FOUND"))))</x:f>
        <x:v>FOUND</x:v>
      </x:c>
      <x:c r="W176" s="9">
        <x:v>12</x:v>
      </x:c>
      <x:c r="X176" s="9">
        <x:v>0</x:v>
      </x:c>
      <x:c r="Y176" s="6" t="str">
        <x:f>IF(B176="EXCLUDE","Excluded by user",IF(B176="REVIEW MATCH","Review current POS match",IF(B176="KEEP EXISTING","Already in POS",IF(O176&lt;=0,"Blocked: cost",IF(OR(R176&lt;=0,R176&gt;100000),"Blocked: retail",IF(U176="","Blocked: image",IF('Summary'!$B$3="APPROVED","READY","Pending approval")))))))</x:f>
        <x:v>Pending approval</x:v>
      </x:c>
      <x:c r="Z176" s="6" t="str">
        <x:v>Source stock 12 is reference only; POS starts at 0.</x:v>
      </x:c>
    </x:row>
    <x:row r="177" ht="29.25">
      <x:c r="A177" s="12" t="s">
        <x:v>451</x:v>
      </x:c>
      <x:c r="B177" s="6" t="str">
        <x:v>IMPORT</x:v>
      </x:c>
      <x:c r="C177" s="6"/>
      <x:c r="D177" s="6"/>
      <x:c r="E177" s="6" t="s">
        <x:v>701</x:v>
      </x:c>
      <x:c r="F177" s="6" t="s">
        <x:v>52</x:v>
      </x:c>
      <x:c r="G177" s="6" t="s">
        <x:v>453</x:v>
      </x:c>
      <x:c r="H177" s="6" t="s">
        <x:v>452</x:v>
      </x:c>
      <x:c r="I177" s="10" t="s">
        <x:v>452</x:v>
      </x:c>
      <x:c r="J177" s="10" t="s">
        <x:v>37</x:v>
      </x:c>
      <x:c r="K177" s="9" t="str">
        <x:f>"328691755727"</x:f>
        <x:v>328691755727</x:v>
      </x:c>
      <x:c r="L177" s="9" t="str">
        <x:f>"328691755727"</x:f>
        <x:v>328691755727</x:v>
      </x:c>
      <x:c r="M177" s="12" t="s">
        <x:v>489</x:v>
      </x:c>
      <x:c r="N177" s="8">
        <x:v>5</x:v>
      </x:c>
      <x:c r="O177" s="11" t="n">
        <x:f>IF(B177="KEEP EXISTING",N177,'Cost Review'!H172)</x:f>
        <x:v>5</x:v>
      </x:c>
      <x:c r="P177" s="8" t="str">
        <x:f t="shared" si="17">IF(B177="EXCLUDE","Excluded",IF(B177="REVIEW MATCH","Review match",IF(B177="KEEP EXISTING","Existing",IF(O177&lt;=0,"MISSING","REVIEW"))))</x:f>
        <x:v>REVIEW</x:v>
      </x:c>
      <x:c r="Q177" s="8">
        <x:v>30</x:v>
      </x:c>
      <x:c r="R177" s="11" t="n">
        <x:f>IF(B177="KEEP EXISTING",Q177,'Cost Review'!J172)</x:f>
        <x:v>30</x:v>
      </x:c>
      <x:c r="S177" s="6" t="str">
        <x:f t="shared" si="18">IF(B177="EXCLUDE","Excluded",IF(B177="REVIEW MATCH","Review match",IF(B177="KEEP EXISTING","Existing",IF(OR(R177&lt;=0,R177&gt;100000),"CHECK","OK"))))</x:f>
        <x:v>OK</x:v>
      </x:c>
      <x:c r="T177" s="9" t="str">
        <x:f>"328691755727"</x:f>
        <x:v>328691755727</x:v>
      </x:c>
      <x:c r="U177" s="10" t="s">
        <x:v>702</x:v>
      </x:c>
      <x:c r="V177" s="6" t="str">
        <x:f t="shared" si="19">IF(B177="EXCLUDE","Excluded",IF(B177="REVIEW MATCH","Review match",IF(B177="KEEP EXISTING","Existing",IF(U177="","MISSING","FOUND"))))</x:f>
        <x:v>FOUND</x:v>
      </x:c>
      <x:c r="W177" s="9">
        <x:v>0</x:v>
      </x:c>
      <x:c r="X177" s="9">
        <x:v>0</x:v>
      </x:c>
      <x:c r="Y177" s="6" t="str">
        <x:f>IF(B177="EXCLUDE","Excluded by user",IF(B177="REVIEW MATCH","Review current POS match",IF(B177="KEEP EXISTING","Already in POS",IF(O177&lt;=0,"Blocked: cost",IF(OR(R177&lt;=0,R177&gt;100000),"Blocked: retail",IF(U177="","Blocked: image",IF('Summary'!$B$3="APPROVED","READY","Pending approval")))))))</x:f>
        <x:v>Pending approval</x:v>
      </x:c>
      <x:c r="Z177" s="6" t="str">
        <x:v>New POS subcategory to be added when approved.</x:v>
      </x:c>
    </x:row>
    <x:row r="178" ht="29.25">
      <x:c r="A178" s="12" t="s">
        <x:v>455</x:v>
      </x:c>
      <x:c r="B178" s="6" t="str">
        <x:v>IMPORT</x:v>
      </x:c>
      <x:c r="C178" s="6"/>
      <x:c r="D178" s="6"/>
      <x:c r="E178" s="6" t="s">
        <x:v>701</x:v>
      </x:c>
      <x:c r="F178" s="6" t="s">
        <x:v>52</x:v>
      </x:c>
      <x:c r="G178" s="6" t="s">
        <x:v>453</x:v>
      </x:c>
      <x:c r="H178" s="6" t="s">
        <x:v>456</x:v>
      </x:c>
      <x:c r="I178" s="10" t="s">
        <x:v>456</x:v>
      </x:c>
      <x:c r="J178" s="10" t="s">
        <x:v>37</x:v>
      </x:c>
      <x:c r="K178" s="9" t="str">
        <x:f>"550472159749"</x:f>
        <x:v>550472159749</x:v>
      </x:c>
      <x:c r="L178" s="9" t="str">
        <x:f>"550472159749"</x:f>
        <x:v>550472159749</x:v>
      </x:c>
      <x:c r="M178" s="12" t="s">
        <x:v>489</x:v>
      </x:c>
      <x:c r="N178" s="8">
        <x:v>5</x:v>
      </x:c>
      <x:c r="O178" s="11" t="n">
        <x:f>IF(B178="KEEP EXISTING",N178,'Cost Review'!H173)</x:f>
        <x:v>5</x:v>
      </x:c>
      <x:c r="P178" s="8" t="str">
        <x:f t="shared" si="17">IF(B178="EXCLUDE","Excluded",IF(B178="REVIEW MATCH","Review match",IF(B178="KEEP EXISTING","Existing",IF(O178&lt;=0,"MISSING","REVIEW"))))</x:f>
        <x:v>REVIEW</x:v>
      </x:c>
      <x:c r="Q178" s="8">
        <x:v>30</x:v>
      </x:c>
      <x:c r="R178" s="11" t="n">
        <x:f>IF(B178="KEEP EXISTING",Q178,'Cost Review'!J173)</x:f>
        <x:v>30</x:v>
      </x:c>
      <x:c r="S178" s="6" t="str">
        <x:f t="shared" si="18">IF(B178="EXCLUDE","Excluded",IF(B178="REVIEW MATCH","Review match",IF(B178="KEEP EXISTING","Existing",IF(OR(R178&lt;=0,R178&gt;100000),"CHECK","OK"))))</x:f>
        <x:v>OK</x:v>
      </x:c>
      <x:c r="T178" s="9" t="str">
        <x:f>"550472159749"</x:f>
        <x:v>550472159749</x:v>
      </x:c>
      <x:c r="U178" s="10" t="s">
        <x:v>703</x:v>
      </x:c>
      <x:c r="V178" s="6" t="str">
        <x:f t="shared" si="19">IF(B178="EXCLUDE","Excluded",IF(B178="REVIEW MATCH","Review match",IF(B178="KEEP EXISTING","Existing",IF(U178="","MISSING","FOUND"))))</x:f>
        <x:v>FOUND</x:v>
      </x:c>
      <x:c r="W178" s="9">
        <x:v>0</x:v>
      </x:c>
      <x:c r="X178" s="9">
        <x:v>0</x:v>
      </x:c>
      <x:c r="Y178" s="6" t="str">
        <x:f>IF(B178="EXCLUDE","Excluded by user",IF(B178="REVIEW MATCH","Review current POS match",IF(B178="KEEP EXISTING","Already in POS",IF(O178&lt;=0,"Blocked: cost",IF(OR(R178&lt;=0,R178&gt;100000),"Blocked: retail",IF(U178="","Blocked: image",IF('Summary'!$B$3="APPROVED","READY","Pending approval")))))))</x:f>
        <x:v>Pending approval</x:v>
      </x:c>
      <x:c r="Z178" s="6" t="str">
        <x:v>New POS subcategory to be added when approved.</x:v>
      </x:c>
    </x:row>
    <x:row r="179" ht="29.25">
      <x:c r="A179" s="12" t="s">
        <x:v>457</x:v>
      </x:c>
      <x:c r="B179" s="6" t="str">
        <x:v>IMPORT</x:v>
      </x:c>
      <x:c r="C179" s="6"/>
      <x:c r="D179" s="6"/>
      <x:c r="E179" s="6" t="s">
        <x:v>701</x:v>
      </x:c>
      <x:c r="F179" s="6" t="s">
        <x:v>52</x:v>
      </x:c>
      <x:c r="G179" s="6" t="s">
        <x:v>453</x:v>
      </x:c>
      <x:c r="H179" s="6" t="s">
        <x:v>458</x:v>
      </x:c>
      <x:c r="I179" s="10" t="s">
        <x:v>458</x:v>
      </x:c>
      <x:c r="J179" s="10" t="s">
        <x:v>37</x:v>
      </x:c>
      <x:c r="K179" s="9" t="str">
        <x:f>"914283473324"</x:f>
        <x:v>914283473324</x:v>
      </x:c>
      <x:c r="L179" s="9" t="str">
        <x:f>"914283473324"</x:f>
        <x:v>914283473324</x:v>
      </x:c>
      <x:c r="M179" s="12" t="s">
        <x:v>489</x:v>
      </x:c>
      <x:c r="N179" s="8">
        <x:v>5</x:v>
      </x:c>
      <x:c r="O179" s="11" t="n">
        <x:f>IF(B179="KEEP EXISTING",N179,'Cost Review'!H174)</x:f>
        <x:v>5</x:v>
      </x:c>
      <x:c r="P179" s="8" t="str">
        <x:f t="shared" si="17">IF(B179="EXCLUDE","Excluded",IF(B179="REVIEW MATCH","Review match",IF(B179="KEEP EXISTING","Existing",IF(O179&lt;=0,"MISSING","REVIEW"))))</x:f>
        <x:v>REVIEW</x:v>
      </x:c>
      <x:c r="Q179" s="8">
        <x:v>30</x:v>
      </x:c>
      <x:c r="R179" s="11" t="n">
        <x:f>IF(B179="KEEP EXISTING",Q179,'Cost Review'!J174)</x:f>
        <x:v>30</x:v>
      </x:c>
      <x:c r="S179" s="6" t="str">
        <x:f t="shared" si="18">IF(B179="EXCLUDE","Excluded",IF(B179="REVIEW MATCH","Review match",IF(B179="KEEP EXISTING","Existing",IF(OR(R179&lt;=0,R179&gt;100000),"CHECK","OK"))))</x:f>
        <x:v>OK</x:v>
      </x:c>
      <x:c r="T179" s="9" t="str">
        <x:f>"914283473324"</x:f>
        <x:v>914283473324</x:v>
      </x:c>
      <x:c r="U179" s="10" t="s">
        <x:v>704</x:v>
      </x:c>
      <x:c r="V179" s="6" t="str">
        <x:f t="shared" si="19">IF(B179="EXCLUDE","Excluded",IF(B179="REVIEW MATCH","Review match",IF(B179="KEEP EXISTING","Existing",IF(U179="","MISSING","FOUND"))))</x:f>
        <x:v>FOUND</x:v>
      </x:c>
      <x:c r="W179" s="9">
        <x:v>0</x:v>
      </x:c>
      <x:c r="X179" s="9">
        <x:v>0</x:v>
      </x:c>
      <x:c r="Y179" s="6" t="str">
        <x:f>IF(B179="EXCLUDE","Excluded by user",IF(B179="REVIEW MATCH","Review current POS match",IF(B179="KEEP EXISTING","Already in POS",IF(O179&lt;=0,"Blocked: cost",IF(OR(R179&lt;=0,R179&gt;100000),"Blocked: retail",IF(U179="","Blocked: image",IF('Summary'!$B$3="APPROVED","READY","Pending approval")))))))</x:f>
        <x:v>Pending approval</x:v>
      </x:c>
      <x:c r="Z179" s="6" t="str">
        <x:v>New POS subcategory to be added when approved.</x:v>
      </x:c>
    </x:row>
    <x:row r="180" ht="29.25">
      <x:c r="A180" s="12" t="s">
        <x:v>459</x:v>
      </x:c>
      <x:c r="B180" s="6" t="str">
        <x:v>IMPORT</x:v>
      </x:c>
      <x:c r="C180" s="6"/>
      <x:c r="D180" s="6"/>
      <x:c r="E180" s="6" t="s">
        <x:v>701</x:v>
      </x:c>
      <x:c r="F180" s="6" t="s">
        <x:v>52</x:v>
      </x:c>
      <x:c r="G180" s="6" t="s">
        <x:v>453</x:v>
      </x:c>
      <x:c r="H180" s="6" t="s">
        <x:v>460</x:v>
      </x:c>
      <x:c r="I180" s="10" t="s">
        <x:v>460</x:v>
      </x:c>
      <x:c r="J180" s="10" t="s">
        <x:v>37</x:v>
      </x:c>
      <x:c r="K180" s="9" t="str">
        <x:f>"173359217846"</x:f>
        <x:v>173359217846</x:v>
      </x:c>
      <x:c r="L180" s="9" t="str">
        <x:f>"173359217846"</x:f>
        <x:v>173359217846</x:v>
      </x:c>
      <x:c r="M180" s="12" t="s">
        <x:v>489</x:v>
      </x:c>
      <x:c r="N180" s="8">
        <x:v>5</x:v>
      </x:c>
      <x:c r="O180" s="11" t="n">
        <x:f>IF(B180="KEEP EXISTING",N180,'Cost Review'!H175)</x:f>
        <x:v>5</x:v>
      </x:c>
      <x:c r="P180" s="8" t="str">
        <x:f t="shared" si="17">IF(B180="EXCLUDE","Excluded",IF(B180="REVIEW MATCH","Review match",IF(B180="KEEP EXISTING","Existing",IF(O180&lt;=0,"MISSING","REVIEW"))))</x:f>
        <x:v>REVIEW</x:v>
      </x:c>
      <x:c r="Q180" s="8">
        <x:v>30</x:v>
      </x:c>
      <x:c r="R180" s="11" t="n">
        <x:f>IF(B180="KEEP EXISTING",Q180,'Cost Review'!J175)</x:f>
        <x:v>30</x:v>
      </x:c>
      <x:c r="S180" s="6" t="str">
        <x:f t="shared" si="18">IF(B180="EXCLUDE","Excluded",IF(B180="REVIEW MATCH","Review match",IF(B180="KEEP EXISTING","Existing",IF(OR(R180&lt;=0,R180&gt;100000),"CHECK","OK"))))</x:f>
        <x:v>OK</x:v>
      </x:c>
      <x:c r="T180" s="9" t="str">
        <x:f>"173359217846"</x:f>
        <x:v>173359217846</x:v>
      </x:c>
      <x:c r="U180" s="10" t="s">
        <x:v>705</x:v>
      </x:c>
      <x:c r="V180" s="6" t="str">
        <x:f t="shared" si="19">IF(B180="EXCLUDE","Excluded",IF(B180="REVIEW MATCH","Review match",IF(B180="KEEP EXISTING","Existing",IF(U180="","MISSING","FOUND"))))</x:f>
        <x:v>FOUND</x:v>
      </x:c>
      <x:c r="W180" s="9">
        <x:v>0</x:v>
      </x:c>
      <x:c r="X180" s="9">
        <x:v>0</x:v>
      </x:c>
      <x:c r="Y180" s="6" t="str">
        <x:f>IF(B180="EXCLUDE","Excluded by user",IF(B180="REVIEW MATCH","Review current POS match",IF(B180="KEEP EXISTING","Already in POS",IF(O180&lt;=0,"Blocked: cost",IF(OR(R180&lt;=0,R180&gt;100000),"Blocked: retail",IF(U180="","Blocked: image",IF('Summary'!$B$3="APPROVED","READY","Pending approval")))))))</x:f>
        <x:v>Pending approval</x:v>
      </x:c>
      <x:c r="Z180" s="6" t="str">
        <x:v>New POS subcategory to be added when approved.</x:v>
      </x:c>
    </x:row>
    <x:row r="181" ht="29.25">
      <x:c r="A181" s="12" t="s">
        <x:v>461</x:v>
      </x:c>
      <x:c r="B181" s="6" t="str">
        <x:v>IMPORT</x:v>
      </x:c>
      <x:c r="C181" s="6"/>
      <x:c r="D181" s="6"/>
      <x:c r="E181" s="6" t="s">
        <x:v>701</x:v>
      </x:c>
      <x:c r="F181" s="6" t="s">
        <x:v>52</x:v>
      </x:c>
      <x:c r="G181" s="6" t="s">
        <x:v>453</x:v>
      </x:c>
      <x:c r="H181" s="6" t="s">
        <x:v>462</x:v>
      </x:c>
      <x:c r="I181" s="10" t="s">
        <x:v>462</x:v>
      </x:c>
      <x:c r="J181" s="10" t="s">
        <x:v>37</x:v>
      </x:c>
      <x:c r="K181" s="9" t="str">
        <x:f>"320984572653"</x:f>
        <x:v>320984572653</x:v>
      </x:c>
      <x:c r="L181" s="9" t="str">
        <x:f>"320984572653"</x:f>
        <x:v>320984572653</x:v>
      </x:c>
      <x:c r="M181" s="12" t="s">
        <x:v>489</x:v>
      </x:c>
      <x:c r="N181" s="8">
        <x:v>5</x:v>
      </x:c>
      <x:c r="O181" s="11" t="n">
        <x:f>IF(B181="KEEP EXISTING",N181,'Cost Review'!H176)</x:f>
        <x:v>5</x:v>
      </x:c>
      <x:c r="P181" s="8" t="str">
        <x:f t="shared" si="17">IF(B181="EXCLUDE","Excluded",IF(B181="REVIEW MATCH","Review match",IF(B181="KEEP EXISTING","Existing",IF(O181&lt;=0,"MISSING","REVIEW"))))</x:f>
        <x:v>REVIEW</x:v>
      </x:c>
      <x:c r="Q181" s="8">
        <x:v>30</x:v>
      </x:c>
      <x:c r="R181" s="11" t="n">
        <x:f>IF(B181="KEEP EXISTING",Q181,'Cost Review'!J176)</x:f>
        <x:v>30</x:v>
      </x:c>
      <x:c r="S181" s="6" t="str">
        <x:f t="shared" si="18">IF(B181="EXCLUDE","Excluded",IF(B181="REVIEW MATCH","Review match",IF(B181="KEEP EXISTING","Existing",IF(OR(R181&lt;=0,R181&gt;100000),"CHECK","OK"))))</x:f>
        <x:v>OK</x:v>
      </x:c>
      <x:c r="T181" s="9" t="str">
        <x:f>"320984572653"</x:f>
        <x:v>320984572653</x:v>
      </x:c>
      <x:c r="U181" s="10" t="s">
        <x:v>706</x:v>
      </x:c>
      <x:c r="V181" s="6" t="str">
        <x:f t="shared" si="19">IF(B181="EXCLUDE","Excluded",IF(B181="REVIEW MATCH","Review match",IF(B181="KEEP EXISTING","Existing",IF(U181="","MISSING","FOUND"))))</x:f>
        <x:v>FOUND</x:v>
      </x:c>
      <x:c r="W181" s="9">
        <x:v>2</x:v>
      </x:c>
      <x:c r="X181" s="9">
        <x:v>0</x:v>
      </x:c>
      <x:c r="Y181" s="6" t="str">
        <x:f>IF(B181="EXCLUDE","Excluded by user",IF(B181="REVIEW MATCH","Review current POS match",IF(B181="KEEP EXISTING","Already in POS",IF(O181&lt;=0,"Blocked: cost",IF(OR(R181&lt;=0,R181&gt;100000),"Blocked: retail",IF(U181="","Blocked: image",IF('Summary'!$B$3="APPROVED","READY","Pending approval")))))))</x:f>
        <x:v>Pending approval</x:v>
      </x:c>
      <x:c r="Z181" s="6" t="str">
        <x:v>New POS subcategory to be added when approved. Source stock 2 is reference only; POS starts at 0.</x:v>
      </x:c>
    </x:row>
    <x:row r="182" ht="29.25">
      <x:c r="A182" s="12" t="s">
        <x:v>464</x:v>
      </x:c>
      <x:c r="B182" s="6" t="str">
        <x:v>IMPORT</x:v>
      </x:c>
      <x:c r="C182" s="6"/>
      <x:c r="D182" s="6"/>
      <x:c r="E182" s="6" t="s">
        <x:v>701</x:v>
      </x:c>
      <x:c r="F182" s="6" t="s">
        <x:v>52</x:v>
      </x:c>
      <x:c r="G182" s="6" t="s">
        <x:v>453</x:v>
      </x:c>
      <x:c r="H182" s="6" t="s">
        <x:v>465</x:v>
      </x:c>
      <x:c r="I182" s="10" t="s">
        <x:v>465</x:v>
      </x:c>
      <x:c r="J182" s="10" t="s">
        <x:v>37</x:v>
      </x:c>
      <x:c r="K182" s="9" t="str">
        <x:f>"022541446321"</x:f>
        <x:v>022541446321</x:v>
      </x:c>
      <x:c r="L182" s="9" t="str">
        <x:f>"022541446321"</x:f>
        <x:v>022541446321</x:v>
      </x:c>
      <x:c r="M182" s="12" t="s">
        <x:v>489</x:v>
      </x:c>
      <x:c r="N182" s="8">
        <x:v>5</x:v>
      </x:c>
      <x:c r="O182" s="11" t="n">
        <x:f>IF(B182="KEEP EXISTING",N182,'Cost Review'!H177)</x:f>
        <x:v>5</x:v>
      </x:c>
      <x:c r="P182" s="8" t="str">
        <x:f t="shared" si="17">IF(B182="EXCLUDE","Excluded",IF(B182="REVIEW MATCH","Review match",IF(B182="KEEP EXISTING","Existing",IF(O182&lt;=0,"MISSING","REVIEW"))))</x:f>
        <x:v>REVIEW</x:v>
      </x:c>
      <x:c r="Q182" s="8">
        <x:v>30</x:v>
      </x:c>
      <x:c r="R182" s="11" t="n">
        <x:f>IF(B182="KEEP EXISTING",Q182,'Cost Review'!J177)</x:f>
        <x:v>30</x:v>
      </x:c>
      <x:c r="S182" s="6" t="str">
        <x:f t="shared" si="18">IF(B182="EXCLUDE","Excluded",IF(B182="REVIEW MATCH","Review match",IF(B182="KEEP EXISTING","Existing",IF(OR(R182&lt;=0,R182&gt;100000),"CHECK","OK"))))</x:f>
        <x:v>OK</x:v>
      </x:c>
      <x:c r="T182" s="9" t="str">
        <x:f>"022541446321"</x:f>
        <x:v>022541446321</x:v>
      </x:c>
      <x:c r="U182" s="10" t="s">
        <x:v>707</x:v>
      </x:c>
      <x:c r="V182" s="6" t="str">
        <x:f t="shared" si="19">IF(B182="EXCLUDE","Excluded",IF(B182="REVIEW MATCH","Review match",IF(B182="KEEP EXISTING","Existing",IF(U182="","MISSING","FOUND"))))</x:f>
        <x:v>FOUND</x:v>
      </x:c>
      <x:c r="W182" s="9">
        <x:v>1</x:v>
      </x:c>
      <x:c r="X182" s="9">
        <x:v>0</x:v>
      </x:c>
      <x:c r="Y182" s="6" t="str">
        <x:f>IF(B182="EXCLUDE","Excluded by user",IF(B182="REVIEW MATCH","Review current POS match",IF(B182="KEEP EXISTING","Already in POS",IF(O182&lt;=0,"Blocked: cost",IF(OR(R182&lt;=0,R182&gt;100000),"Blocked: retail",IF(U182="","Blocked: image",IF('Summary'!$B$3="APPROVED","READY","Pending approval")))))))</x:f>
        <x:v>Pending approval</x:v>
      </x:c>
      <x:c r="Z182" s="6" t="str">
        <x:v>New POS subcategory to be added when approved. Source stock 1 is reference only; POS starts at 0.</x:v>
      </x:c>
    </x:row>
    <x:row r="183" ht="43.5">
      <x:c r="A183" s="12" t="s">
        <x:v>467</x:v>
      </x:c>
      <x:c r="B183" s="6" t="str">
        <x:v>IMPORT</x:v>
      </x:c>
      <x:c r="C183" s="6"/>
      <x:c r="D183" s="6"/>
      <x:c r="E183" s="6" t="s">
        <x:v>701</x:v>
      </x:c>
      <x:c r="F183" s="6" t="s">
        <x:v>52</x:v>
      </x:c>
      <x:c r="G183" s="6" t="s">
        <x:v>453</x:v>
      </x:c>
      <x:c r="H183" s="6" t="s">
        <x:v>468</x:v>
      </x:c>
      <x:c r="I183" s="10" t="s">
        <x:v>468</x:v>
      </x:c>
      <x:c r="J183" s="10" t="s">
        <x:v>37</x:v>
      </x:c>
      <x:c r="K183" s="9" t="str">
        <x:f>"504486006018"</x:f>
        <x:v>504486006018</x:v>
      </x:c>
      <x:c r="L183" s="9" t="str">
        <x:f>"504486006018"</x:f>
        <x:v>504486006018</x:v>
      </x:c>
      <x:c r="M183" s="12" t="s">
        <x:v>489</x:v>
      </x:c>
      <x:c r="N183" s="8">
        <x:v>0</x:v>
      </x:c>
      <x:c r="O183" s="11" t="n">
        <x:f>IF(B183="KEEP EXISTING",N183,'Cost Review'!H178)</x:f>
        <x:v>5</x:v>
      </x:c>
      <x:c r="P183" s="8" t="str">
        <x:f t="shared" si="17">IF(B183="EXCLUDE","Excluded",IF(B183="REVIEW MATCH","Review match",IF(B183="KEEP EXISTING","Existing",IF(O183&lt;=0,"MISSING","REVIEW"))))</x:f>
        <x:v>REVIEW</x:v>
      </x:c>
      <x:c r="Q183" s="8">
        <x:v>30</x:v>
      </x:c>
      <x:c r="R183" s="11" t="n">
        <x:f>IF(B183="KEEP EXISTING",Q183,'Cost Review'!J178)</x:f>
        <x:v>30</x:v>
      </x:c>
      <x:c r="S183" s="6" t="str">
        <x:f t="shared" si="18">IF(B183="EXCLUDE","Excluded",IF(B183="REVIEW MATCH","Review match",IF(B183="KEEP EXISTING","Existing",IF(OR(R183&lt;=0,R183&gt;100000),"CHECK","OK"))))</x:f>
        <x:v>OK</x:v>
      </x:c>
      <x:c r="T183" s="9" t="str">
        <x:f>"504486006018"</x:f>
        <x:v>504486006018</x:v>
      </x:c>
      <x:c r="U183" s="10" t="s">
        <x:v>708</x:v>
      </x:c>
      <x:c r="V183" s="6" t="str">
        <x:f t="shared" si="19">IF(B183="EXCLUDE","Excluded",IF(B183="REVIEW MATCH","Review match",IF(B183="KEEP EXISTING","Existing",IF(U183="","MISSING","FOUND"))))</x:f>
        <x:v>FOUND</x:v>
      </x:c>
      <x:c r="W183" s="9">
        <x:v>1</x:v>
      </x:c>
      <x:c r="X183" s="9">
        <x:v>0</x:v>
      </x:c>
      <x:c r="Y183" s="6" t="str">
        <x:f>IF(B183="EXCLUDE","Excluded by user",IF(B183="REVIEW MATCH","Review current POS match",IF(B183="KEEP EXISTING","Already in POS",IF(O183&lt;=0,"Blocked: cost",IF(OR(R183&lt;=0,R183&gt;100000),"Blocked: retail",IF(U183="","Blocked: image",IF('Summary'!$B$3="APPROVED","READY","Pending approval")))))))</x:f>
        <x:v>Pending approval</x:v>
      </x:c>
      <x:c r="Z183" s="6" t="str">
        <x:v>Cost must be entered before import. New POS subcategory to be added when approved. Source stock 1 is reference only; POS starts at 0.</x:v>
      </x:c>
    </x:row>
    <x:row r="184" ht="29.25">
      <x:c r="A184" s="12" t="s">
        <x:v>470</x:v>
      </x:c>
      <x:c r="B184" s="6" t="str">
        <x:v>IMPORT</x:v>
      </x:c>
      <x:c r="C184" s="6"/>
      <x:c r="D184" s="6"/>
      <x:c r="E184" s="6" t="s">
        <x:v>701</x:v>
      </x:c>
      <x:c r="F184" s="6" t="s">
        <x:v>52</x:v>
      </x:c>
      <x:c r="G184" s="6" t="s">
        <x:v>453</x:v>
      </x:c>
      <x:c r="H184" s="6" t="s">
        <x:v>471</x:v>
      </x:c>
      <x:c r="I184" s="10" t="s">
        <x:v>471</x:v>
      </x:c>
      <x:c r="J184" s="10" t="s">
        <x:v>37</x:v>
      </x:c>
      <x:c r="K184" s="9" t="str">
        <x:f>"651918577018"</x:f>
        <x:v>651918577018</x:v>
      </x:c>
      <x:c r="L184" s="9" t="str">
        <x:f>"651918577018"</x:f>
        <x:v>651918577018</x:v>
      </x:c>
      <x:c r="M184" s="12" t="s">
        <x:v>489</x:v>
      </x:c>
      <x:c r="N184" s="8">
        <x:v>5</x:v>
      </x:c>
      <x:c r="O184" s="11" t="n">
        <x:f>IF(B184="KEEP EXISTING",N184,'Cost Review'!H179)</x:f>
        <x:v>5</x:v>
      </x:c>
      <x:c r="P184" s="8" t="str">
        <x:f t="shared" si="17">IF(B184="EXCLUDE","Excluded",IF(B184="REVIEW MATCH","Review match",IF(B184="KEEP EXISTING","Existing",IF(O184&lt;=0,"MISSING","REVIEW"))))</x:f>
        <x:v>REVIEW</x:v>
      </x:c>
      <x:c r="Q184" s="8">
        <x:v>30</x:v>
      </x:c>
      <x:c r="R184" s="11" t="n">
        <x:f>IF(B184="KEEP EXISTING",Q184,'Cost Review'!J179)</x:f>
        <x:v>30</x:v>
      </x:c>
      <x:c r="S184" s="6" t="str">
        <x:f t="shared" si="18">IF(B184="EXCLUDE","Excluded",IF(B184="REVIEW MATCH","Review match",IF(B184="KEEP EXISTING","Existing",IF(OR(R184&lt;=0,R184&gt;100000),"CHECK","OK"))))</x:f>
        <x:v>OK</x:v>
      </x:c>
      <x:c r="T184" s="9" t="str">
        <x:f>"651918577018"</x:f>
        <x:v>651918577018</x:v>
      </x:c>
      <x:c r="U184" s="10" t="s">
        <x:v>709</x:v>
      </x:c>
      <x:c r="V184" s="6" t="str">
        <x:f t="shared" si="19">IF(B184="EXCLUDE","Excluded",IF(B184="REVIEW MATCH","Review match",IF(B184="KEEP EXISTING","Existing",IF(U184="","MISSING","FOUND"))))</x:f>
        <x:v>FOUND</x:v>
      </x:c>
      <x:c r="W184" s="9">
        <x:v>3</x:v>
      </x:c>
      <x:c r="X184" s="9">
        <x:v>0</x:v>
      </x:c>
      <x:c r="Y184" s="6" t="str">
        <x:f>IF(B184="EXCLUDE","Excluded by user",IF(B184="REVIEW MATCH","Review current POS match",IF(B184="KEEP EXISTING","Already in POS",IF(O184&lt;=0,"Blocked: cost",IF(OR(R184&lt;=0,R184&gt;100000),"Blocked: retail",IF(U184="","Blocked: image",IF('Summary'!$B$3="APPROVED","READY","Pending approval")))))))</x:f>
        <x:v>Pending approval</x:v>
      </x:c>
      <x:c r="Z184" s="6" t="str">
        <x:v>New POS subcategory to be added when approved. Source stock 3 is reference only; POS starts at 0.</x:v>
      </x:c>
    </x:row>
  </x:sheetData>
  <x:conditionalFormatting sqref="B2:B184">
    <x:cfRule type="containsText" dxfId="5" priority="6" operator="containsText" text="KEEP EXISTING"/>
  </x:conditionalFormatting>
  <x:conditionalFormatting sqref="P2:P184">
    <x:cfRule type="containsText" dxfId="4" priority="1" operator="containsText" text="MISSING"/>
  </x:conditionalFormatting>
  <x:conditionalFormatting sqref="S2:S184">
    <x:cfRule type="containsText" dxfId="3" priority="2" operator="containsText" text="CHECK"/>
  </x:conditionalFormatting>
  <x:conditionalFormatting sqref="V2:V184">
    <x:cfRule type="containsText" dxfId="2" priority="3" operator="containsText" text="MISSING"/>
  </x:conditionalFormatting>
  <x:conditionalFormatting sqref="Y2:Y184">
    <x:cfRule type="containsText" dxfId="1" priority="4" operator="containsText" text="Blocked"/>
    <x:cfRule type="containsText" dxfId="0" priority="5" operator="containsText" text="READY"/>
  </x:conditionalFormatting>
  <x:pageMargins left="0.7" right="0.7" top="0.75" bottom="0.75" header="0.3" footer="0.3"/>
  <x:tableParts count="1">
    <x:tablePart xmlns:r="http://schemas.openxmlformats.org/officeDocument/2006/relationships" r:id="R36a9ad6deabf4c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2" width="18" customWidth="1"/>
    <x:col min="3" max="3" width="48" customWidth="1"/>
    <x:col min="4" max="6" width="24" customWidth="1"/>
    <x:col min="7" max="7" width="20" customWidth="1"/>
    <x:col min="8" max="8" width="46" customWidth="1"/>
  </x:cols>
  <x:sheetData>
    <x:row r="1" ht="30">
      <x:c r="A1" s="13" t="s">
        <x:v>710</x:v>
      </x:c>
      <x:c r="B1" s="13" t="s">
        <x:v>21</x:v>
      </x:c>
      <x:c r="C1" s="13" t="s">
        <x:v>23</x:v>
      </x:c>
      <x:c r="D1" s="13" t="s">
        <x:v>25</x:v>
      </x:c>
      <x:c r="E1" s="13" t="s">
        <x:v>26</x:v>
      </x:c>
      <x:c r="F1" s="13" t="s">
        <x:v>24</x:v>
      </x:c>
      <x:c r="G1" s="13" t="s">
        <x:v>711</x:v>
      </x:c>
      <x:c r="H1" s="13" t="s">
        <x:v>712</x:v>
      </x:c>
    </x:row>
    <x:row r="2" ht="29.25">
      <x:c r="A2" s="6">
        <x:v>33</x:v>
      </x:c>
      <x:c r="B2" s="6" t="s">
        <x:v>129</x:v>
      </x:c>
      <x:c r="C2" s="6" t="s">
        <x:v>130</x:v>
      </x:c>
      <x:c r="D2" s="6" t="s">
        <x:v>52</x:v>
      </x:c>
      <x:c r="E2" s="6" t="s">
        <x:v>53</x:v>
      </x:c>
      <x:c r="F2" s="6" t="s">
        <x:v>81</x:v>
      </x:c>
      <x:c r="G2" s="4" t="s">
        <x:v>713</x:v>
      </x:c>
      <x:c r="H2" s="6" t="s">
        <x:v>714</x:v>
      </x:c>
    </x:row>
    <x:row r="3" ht="29.25">
      <x:c r="A3" s="37">
        <x:v>77</x:v>
      </x:c>
      <x:c r="B3" s="37" t="s">
        <x:v>219</x:v>
      </x:c>
      <x:c r="C3" s="37" t="s">
        <x:v>220</x:v>
      </x:c>
      <x:c r="D3" s="37" t="s">
        <x:v>52</x:v>
      </x:c>
      <x:c r="E3" s="37" t="s">
        <x:v>53</x:v>
      </x:c>
      <x:c r="F3" s="37" t="s">
        <x:v>221</x:v>
      </x:c>
      <x:c r="G3" s="38" t="str">
        <x:v>EXCLUDED</x:v>
      </x:c>
      <x:c r="H3" s="37" t="str">
        <x:v>No image required; user excluded this product.</x:v>
      </x:c>
    </x:row>
    <x:row r="4" ht="29.25">
      <x:c r="A4" s="37">
        <x:v>78</x:v>
      </x:c>
      <x:c r="B4" s="37" t="s">
        <x:v>222</x:v>
      </x:c>
      <x:c r="C4" s="37" t="s">
        <x:v>223</x:v>
      </x:c>
      <x:c r="D4" s="37" t="s">
        <x:v>52</x:v>
      </x:c>
      <x:c r="E4" s="37" t="s">
        <x:v>211</x:v>
      </x:c>
      <x:c r="F4" s="37" t="s">
        <x:v>81</x:v>
      </x:c>
      <x:c r="G4" s="38" t="str">
        <x:v>EXCLUDED</x:v>
      </x:c>
      <x:c r="H4" s="37" t="str">
        <x:v>No image required; user excluded this product.</x:v>
      </x:c>
    </x:row>
    <x:row r="5" ht="15">
      <x:c r="A5" s="6">
        <x:v>79</x:v>
      </x:c>
      <x:c r="B5" s="6" t="s">
        <x:v>224</x:v>
      </x:c>
      <x:c r="C5" s="6" t="s">
        <x:v>225</x:v>
      </x:c>
      <x:c r="D5" s="6" t="s">
        <x:v>52</x:v>
      </x:c>
      <x:c r="E5" s="6" t="s">
        <x:v>53</x:v>
      </x:c>
      <x:c r="F5" s="6" t="s">
        <x:v>221</x:v>
      </x:c>
      <x:c r="G5" s="4" t="s">
        <x:v>713</x:v>
      </x:c>
      <x:c r="H5" s="6" t="s">
        <x:v>715</x:v>
      </x:c>
    </x:row>
    <x:row r="6" ht="15">
      <x:c r="A6" s="6">
        <x:v>80</x:v>
      </x:c>
      <x:c r="B6" s="6" t="s">
        <x:v>227</x:v>
      </x:c>
      <x:c r="C6" s="6" t="s">
        <x:v>228</x:v>
      </x:c>
      <x:c r="D6" s="6" t="s">
        <x:v>52</x:v>
      </x:c>
      <x:c r="E6" s="6" t="s">
        <x:v>53</x:v>
      </x:c>
      <x:c r="F6" s="6" t="s">
        <x:v>221</x:v>
      </x:c>
      <x:c r="G6" s="4" t="s">
        <x:v>713</x:v>
      </x:c>
      <x:c r="H6" s="6" t="s">
        <x:v>716</x:v>
      </x:c>
    </x:row>
  </x:sheetData>
  <x:pageMargins left="0.7" right="0.7" top="0.75" bottom="0.75" header="0.3" footer="0.3"/>
  <x:tableParts count="1">
    <x:tablePart xmlns:r="http://schemas.openxmlformats.org/officeDocument/2006/relationships" r:id="R35a989619d3a4e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46" customWidth="1"/>
    <x:col min="2" max="3" width="28" customWidth="1"/>
    <x:col min="4" max="4" width="54" customWidth="1"/>
    <x:col min="5" max="5" width="16" customWidth="1"/>
  </x:cols>
  <x:sheetData>
    <x:row r="1" ht="15">
      <x:c r="A1" s="5" t="s">
        <x:v>717</x:v>
      </x:c>
      <x:c r="B1" s="5" t="s">
        <x:v>25</x:v>
      </x:c>
      <x:c r="C1" s="5" t="s">
        <x:v>26</x:v>
      </x:c>
      <x:c r="D1" s="5" t="s">
        <x:v>718</x:v>
      </x:c>
      <x:c r="E1" s="5" t="s">
        <x:v>719</x:v>
      </x:c>
    </x:row>
    <x:row r="2">
      <x:c r="A2" s="6" t="s">
        <x:v>720</x:v>
      </x:c>
      <x:c r="B2" s="6" t="s">
        <x:v>38</x:v>
      </x:c>
      <x:c r="C2" s="6" t="s">
        <x:v>367</x:v>
      </x:c>
      <x:c r="D2" s="6" t="s">
        <x:v>721</x:v>
      </x:c>
      <x:c r="E2" s="6" t="s">
        <x:v>722</x:v>
      </x:c>
    </x:row>
    <x:row r="3">
      <x:c r="A3" s="6" t="s">
        <x:v>723</x:v>
      </x:c>
      <x:c r="B3" s="6" t="s">
        <x:v>38</x:v>
      </x:c>
      <x:c r="C3" s="6" t="s">
        <x:v>380</x:v>
      </x:c>
      <x:c r="D3" s="6" t="s">
        <x:v>724</x:v>
      </x:c>
      <x:c r="E3" s="6" t="s">
        <x:v>722</x:v>
      </x:c>
    </x:row>
    <x:row r="4">
      <x:c r="A4" s="6" t="s">
        <x:v>725</x:v>
      </x:c>
      <x:c r="B4" s="6" t="s">
        <x:v>38</x:v>
      </x:c>
      <x:c r="C4" s="6" t="s">
        <x:v>39</x:v>
      </x:c>
      <x:c r="D4" s="6" t="s">
        <x:v>726</x:v>
      </x:c>
      <x:c r="E4" s="6" t="s">
        <x:v>722</x:v>
      </x:c>
    </x:row>
    <x:row r="5" ht="28.5">
      <x:c r="A5" s="6" t="s">
        <x:v>727</x:v>
      </x:c>
      <x:c r="B5" s="6" t="s">
        <x:v>52</x:v>
      </x:c>
      <x:c r="C5" s="6" t="s">
        <x:v>53</x:v>
      </x:c>
      <x:c r="D5" s="6" t="s">
        <x:v>728</x:v>
      </x:c>
      <x:c r="E5" s="6">
        <x:v>29</x:v>
      </x:c>
    </x:row>
    <x:row r="6" ht="28.5">
      <x:c r="A6" s="6" t="s">
        <x:v>729</x:v>
      </x:c>
      <x:c r="B6" s="6" t="s">
        <x:v>52</x:v>
      </x:c>
      <x:c r="C6" s="6" t="s">
        <x:v>58</x:v>
      </x:c>
      <x:c r="D6" s="6" t="s">
        <x:v>730</x:v>
      </x:c>
      <x:c r="E6" s="6">
        <x:v>44</x:v>
      </x:c>
    </x:row>
    <x:row r="7">
      <x:c r="A7" s="6" t="s">
        <x:v>731</x:v>
      </x:c>
      <x:c r="B7" s="6" t="s">
        <x:v>52</x:v>
      </x:c>
      <x:c r="C7" s="6" t="s">
        <x:v>63</x:v>
      </x:c>
      <x:c r="D7" s="6" t="s">
        <x:v>732</x:v>
      </x:c>
      <x:c r="E7" s="6">
        <x:v>4</x:v>
      </x:c>
    </x:row>
    <x:row r="8">
      <x:c r="A8" s="6" t="s">
        <x:v>733</x:v>
      </x:c>
      <x:c r="B8" s="6" t="s">
        <x:v>52</x:v>
      </x:c>
      <x:c r="C8" s="6" t="s">
        <x:v>211</x:v>
      </x:c>
      <x:c r="D8" s="6" t="s">
        <x:v>734</x:v>
      </x:c>
      <x:c r="E8" s="6">
        <x:v>8</x:v>
      </x:c>
    </x:row>
    <x:row r="9">
      <x:c r="A9" s="6" t="s">
        <x:v>735</x:v>
      </x:c>
      <x:c r="B9" s="6" t="s">
        <x:v>52</x:v>
      </x:c>
      <x:c r="C9" s="6" t="s">
        <x:v>72</x:v>
      </x:c>
      <x:c r="D9" s="6" t="s">
        <x:v>736</x:v>
      </x:c>
      <x:c r="E9" s="6">
        <x:v>16</x:v>
      </x:c>
    </x:row>
    <x:row r="10">
      <x:c r="A10" s="6" t="s">
        <x:v>359</x:v>
      </x:c>
      <x:c r="B10" s="6" t="s">
        <x:v>38</x:v>
      </x:c>
      <x:c r="C10" s="6" t="s">
        <x:v>360</x:v>
      </x:c>
      <x:c r="D10" s="6" t="s">
        <x:v>737</x:v>
      </x:c>
      <x:c r="E10" s="6" t="s">
        <x:v>722</x:v>
      </x:c>
    </x:row>
    <x:row r="11">
      <x:c r="A11" s="6" t="s">
        <x:v>738</x:v>
      </x:c>
      <x:c r="B11" s="6" t="s">
        <x:v>52</x:v>
      </x:c>
      <x:c r="C11" s="6" t="s">
        <x:v>123</x:v>
      </x:c>
      <x:c r="D11" s="6" t="s">
        <x:v>739</x:v>
      </x:c>
      <x:c r="E11" s="6">
        <x:v>11</x:v>
      </x:c>
    </x:row>
    <x:row r="12">
      <x:c r="A12" s="6" t="s">
        <x:v>740</x:v>
      </x:c>
      <x:c r="B12" s="6" t="s">
        <x:v>52</x:v>
      </x:c>
      <x:c r="C12" s="6" t="s">
        <x:v>162</x:v>
      </x:c>
      <x:c r="D12" s="6" t="s">
        <x:v>741</x:v>
      </x:c>
      <x:c r="E12" s="6">
        <x:v>14</x:v>
      </x:c>
    </x:row>
    <x:row r="13">
      <x:c r="A13" s="6" t="s">
        <x:v>742</x:v>
      </x:c>
      <x:c r="B13" s="6" t="s">
        <x:v>52</x:v>
      </x:c>
      <x:c r="C13" s="6" t="s">
        <x:v>453</x:v>
      </x:c>
      <x:c r="D13" s="6" t="s">
        <x:v>743</x:v>
      </x:c>
      <x:c r="E13" s="6">
        <x:v>8</x:v>
      </x:c>
    </x:row>
    <x:row r="14" ht="28.5">
      <x:c r="A14" s="6" t="s">
        <x:v>744</x:v>
      </x:c>
      <x:c r="B14" s="6" t="s">
        <x:v>67</x:v>
      </x:c>
      <x:c r="C14" s="6" t="s">
        <x:v>745</x:v>
      </x:c>
      <x:c r="D14" s="6" t="s">
        <x:v>746</x:v>
      </x:c>
      <x:c r="E14" s="6">
        <x:v>11</x:v>
      </x:c>
    </x:row>
    <x:row r="15">
      <x:c r="A15" s="6" t="s">
        <x:v>747</x:v>
      </x:c>
      <x:c r="B15" s="6" t="s">
        <x:v>67</x:v>
      </x:c>
      <x:c r="C15" s="6" t="s">
        <x:v>748</x:v>
      </x:c>
      <x:c r="D15" s="6" t="s">
        <x:v>749</x:v>
      </x:c>
      <x:c r="E15" s="6">
        <x:v>2</x:v>
      </x:c>
    </x:row>
    <x:row r="16">
      <x:c r="A16" s="6" t="s">
        <x:v>750</x:v>
      </x:c>
      <x:c r="B16" s="6" t="s">
        <x:v>86</x:v>
      </x:c>
      <x:c r="C16" s="6" t="s">
        <x:v>87</x:v>
      </x:c>
      <x:c r="D16" s="6" t="s">
        <x:v>751</x:v>
      </x:c>
      <x:c r="E16" s="6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35944c6f0cd348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4" hidden="0" customWidth="1"/>
    <x:col min="4" max="4" width="24" hidden="0" customWidth="1"/>
    <x:col min="5" max="5" width="24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44" hidden="0" customWidth="1"/>
    <x:col min="11" max="11" width="24" hidden="0" customWidth="1"/>
    <x:col min="12" max="12" width="2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42" hidden="0" customWidth="1"/>
    <x:col min="19" max="19" width="42" hidden="0" customWidth="1"/>
  </x:cols>
  <x:sheetData>
    <x:row r="1" ht="36" customHeight="1">
      <x:c r="A1" s="41" t="str">
        <x:v>Current POS Product Name and Price Cross-Check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</x:row>
    <x:row r="2">
      <x:c r="A2" s="43" t="str">
        <x:v>Compared against 436 live POS products on 2026-08-12. API: https://fwlronvmgqzkleofriis.supabase.co/functions/v1/internal-products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</x:row>
    <x:row r="4">
      <x:c r="A4" s="45" t="str">
        <x:v>Candidate Decision</x:v>
      </x:c>
      <x:c r="B4" s="45" t="str">
        <x:v>Item ID</x:v>
      </x:c>
      <x:c r="C4" s="45" t="str">
        <x:v>Candidate Product Name</x:v>
      </x:c>
      <x:c r="D4" s="45" t="str">
        <x:v>Candidate SKU</x:v>
      </x:c>
      <x:c r="E4" s="45" t="str">
        <x:v>Candidate Category</x:v>
      </x:c>
      <x:c r="F4" s="45" t="str">
        <x:v>Candidate Cost</x:v>
      </x:c>
      <x:c r="G4" s="45" t="str">
        <x:v>Candidate Retail</x:v>
      </x:c>
      <x:c r="H4" s="45" t="str">
        <x:v>Match Level</x:v>
      </x:c>
      <x:c r="I4" s="45" t="str">
        <x:v>Similarity</x:v>
      </x:c>
      <x:c r="J4" s="45" t="str">
        <x:v>Current POS Product Name</x:v>
      </x:c>
      <x:c r="K4" s="45" t="str">
        <x:v>Current POS SKU</x:v>
      </x:c>
      <x:c r="L4" s="45" t="str">
        <x:v>Current Category</x:v>
      </x:c>
      <x:c r="M4" s="45" t="str">
        <x:v>Current Cost</x:v>
      </x:c>
      <x:c r="N4" s="45" t="str">
        <x:v>Current Retail</x:v>
      </x:c>
      <x:c r="O4" s="45" t="str">
        <x:v>Cost Difference</x:v>
      </x:c>
      <x:c r="P4" s="45" t="str">
        <x:v>Retail Difference</x:v>
      </x:c>
      <x:c r="Q4" s="45" t="str">
        <x:v>Price Check</x:v>
      </x:c>
      <x:c r="R4" s="45" t="str">
        <x:v>Match Reason</x:v>
      </x:c>
      <x:c r="S4" s="45" t="str">
        <x:v>Recommendation</x:v>
      </x:c>
    </x:row>
    <x:row r="5">
      <x:c r="A5" s="46" t="str">
        <x:v>REVIEW MATCH</x:v>
      </x:c>
      <x:c r="B5" s="46" t="str">
        <x:v>10156</x:v>
      </x:c>
      <x:c r="C5" s="46" t="str">
        <x:v>MSI MAG CoreLiquid A13 360mm AIO Liquid CPU Cooler - Black</x:v>
      </x:c>
      <x:c r="D5" s="46" t="str">
        <x:v>TM8-COMP-10156</x:v>
      </x:c>
      <x:c r="E5" s="46" t="str">
        <x:v>PC Components</x:v>
      </x:c>
      <x:c r="F5" s="47" t="n">
        <x:v>95</x:v>
      </x:c>
      <x:c r="G5" s="47" t="n">
        <x:v>149</x:v>
      </x:c>
      <x:c r="H5" s="46" t="str">
        <x:v>LIKELY SAME</x:v>
      </x:c>
      <x:c r="I5" s="48" t="n">
        <x:v>0.9</x:v>
      </x:c>
      <x:c r="J5" s="46" t="str">
        <x:v>MSI MAG CORELIQUID A13 360 Liquid Cooler</x:v>
      </x:c>
      <x:c r="K5" s="46" t="str">
        <x:v>LC-MSI-A13-240-COPY</x:v>
      </x:c>
      <x:c r="L5" s="46" t="str">
        <x:v>Liquid Cooling</x:v>
      </x:c>
      <x:c r="M5" s="47" t="n">
        <x:v>98</x:v>
      </x:c>
      <x:c r="N5" s="47" t="n">
        <x:v>149</x:v>
      </x:c>
      <x:c r="O5" s="47" t="n">
        <x:v>-3</x:v>
      </x:c>
      <x:c r="P5" s="47" t="n">
        <x:v>0</x:v>
      </x:c>
      <x:c r="Q5" s="46" t="str">
        <x:v>Retail matches; cost differs</x:v>
      </x:c>
      <x:c r="R5" s="46" t="str">
        <x:v>Shared model: a13; shared spec: 360</x:v>
      </x:c>
      <x:c r="S5" s="46" t="str">
        <x:v>Likely duplicate. Candidate import is blocked pending review.</x:v>
      </x:c>
    </x:row>
    <x:row r="6">
      <x:c r="A6" s="46" t="str">
        <x:v>REVIEW MATCH</x:v>
      </x:c>
      <x:c r="B6" s="46" t="str">
        <x:v>10155</x:v>
      </x:c>
      <x:c r="C6" s="46" t="str">
        <x:v>MSI MAG CoreLiquid A13 240 CPU Cooler - Black</x:v>
      </x:c>
      <x:c r="D6" s="46" t="str">
        <x:v>TM8-COMP-10155</x:v>
      </x:c>
      <x:c r="E6" s="46" t="str">
        <x:v>PC Components</x:v>
      </x:c>
      <x:c r="F6" s="47" t="n">
        <x:v>80</x:v>
      </x:c>
      <x:c r="G6" s="47" t="n">
        <x:v>139</x:v>
      </x:c>
      <x:c r="H6" s="46" t="str">
        <x:v>LIKELY SAME</x:v>
      </x:c>
      <x:c r="I6" s="48" t="n">
        <x:v>0.9</x:v>
      </x:c>
      <x:c r="J6" s="46" t="str">
        <x:v>MSI MAG CORELIQUID A13 240 Liquid Cooler</x:v>
      </x:c>
      <x:c r="K6" s="46" t="str">
        <x:v>LC-MSI-A13-240</x:v>
      </x:c>
      <x:c r="L6" s="46" t="str">
        <x:v>Liquid Cooling</x:v>
      </x:c>
      <x:c r="M6" s="47" t="n">
        <x:v>88</x:v>
      </x:c>
      <x:c r="N6" s="47" t="n">
        <x:v>139</x:v>
      </x:c>
      <x:c r="O6" s="47" t="n">
        <x:v>-8</x:v>
      </x:c>
      <x:c r="P6" s="47" t="n">
        <x:v>0</x:v>
      </x:c>
      <x:c r="Q6" s="46" t="str">
        <x:v>Retail matches; cost differs</x:v>
      </x:c>
      <x:c r="R6" s="46" t="str">
        <x:v>Shared model: a13; shared spec: 240</x:v>
      </x:c>
      <x:c r="S6" s="46" t="str">
        <x:v>Likely duplicate. Candidate import is blocked pending review.</x:v>
      </x:c>
    </x:row>
    <x:row r="7">
      <x:c r="A7" s="46" t="str">
        <x:v>KEEP EXISTING</x:v>
      </x:c>
      <x:c r="B7" s="46" t="str">
        <x:v>10069</x:v>
      </x:c>
      <x:c r="C7" s="46" t="str">
        <x:v>DualSense Wireless Controller – Sterling Silver - PlayStation 5</x:v>
      </x:c>
      <x:c r="D7" s="46" t="str">
        <x:v>TM8-PS5-DS-STERLING-SILVER</x:v>
      </x:c>
      <x:c r="E7" s="46" t="str">
        <x:v>Consoles &amp; Controllers</x:v>
      </x:c>
      <x:c r="F7" s="47" t="n">
        <x:v>89.74</x:v>
      </x:c>
      <x:c r="G7" s="47" t="n">
        <x:v>125</x:v>
      </x:c>
      <x:c r="H7" s="46" t="str">
        <x:v>EXACT</x:v>
      </x:c>
      <x:c r="I7" s="48" t="n">
        <x:v>1</x:v>
      </x:c>
      <x:c r="J7" s="46" t="str">
        <x:v>DualSense Wireless Controller - Sterling Silver - PlayStation 5</x:v>
      </x:c>
      <x:c r="K7" s="46" t="str">
        <x:v>TM8-PS5-DS-STERLING-SILVER</x:v>
      </x:c>
      <x:c r="L7" s="46" t="str">
        <x:v>PS5 Controllers</x:v>
      </x:c>
      <x:c r="M7" s="47" t="n">
        <x:v>0</x:v>
      </x:c>
      <x:c r="N7" s="47" t="n">
        <x:v>115</x:v>
      </x:c>
      <x:c r="O7" s="47"/>
      <x:c r="P7" s="47" t="n">
        <x:v>10</x:v>
      </x:c>
      <x:c r="Q7" s="46" t="str">
        <x:v>Retail differs; current cost missing</x:v>
      </x:c>
      <x:c r="R7" s="46" t="str">
        <x:v>Same POS SKU</x:v>
      </x:c>
      <x:c r="S7" s="46" t="str">
        <x:v>Do not import a duplicate. Review whether the current POS retail/cost should be updated.</x:v>
      </x:c>
    </x:row>
    <x:row r="8">
      <x:c r="A8" s="46" t="str">
        <x:v>KEEP EXISTING</x:v>
      </x:c>
      <x:c r="B8" s="46" t="str">
        <x:v>10068</x:v>
      </x:c>
      <x:c r="C8" s="46" t="str">
        <x:v>DualSense Wireless Controller - Cosmic Red - PlayStation 5</x:v>
      </x:c>
      <x:c r="D8" s="46" t="str">
        <x:v>TM8-PS5-DS-COSMIC-RED</x:v>
      </x:c>
      <x:c r="E8" s="46" t="str">
        <x:v>Consoles &amp; Controllers</x:v>
      </x:c>
      <x:c r="F8" s="47" t="n">
        <x:v>86.15</x:v>
      </x:c>
      <x:c r="G8" s="47" t="n">
        <x:v>119.95</x:v>
      </x:c>
      <x:c r="H8" s="46" t="str">
        <x:v>EXACT</x:v>
      </x:c>
      <x:c r="I8" s="48" t="n">
        <x:v>1</x:v>
      </x:c>
      <x:c r="J8" s="46" t="str">
        <x:v>DualSense Wireless Controller - Cosmic Red - PlayStation 5</x:v>
      </x:c>
      <x:c r="K8" s="46" t="str">
        <x:v>TM8-PS5-DS-COSMIC-RED</x:v>
      </x:c>
      <x:c r="L8" s="46" t="str">
        <x:v>PS5 Controllers</x:v>
      </x:c>
      <x:c r="M8" s="47" t="n">
        <x:v>0</x:v>
      </x:c>
      <x:c r="N8" s="47" t="n">
        <x:v>109</x:v>
      </x:c>
      <x:c r="O8" s="47"/>
      <x:c r="P8" s="47" t="n">
        <x:v>10.950000000000003</x:v>
      </x:c>
      <x:c r="Q8" s="46" t="str">
        <x:v>Retail differs; current cost missing</x:v>
      </x:c>
      <x:c r="R8" s="46" t="str">
        <x:v>Same POS SKU</x:v>
      </x:c>
      <x:c r="S8" s="46" t="str">
        <x:v>Do not import a duplicate. Review whether the current POS retail/cost should be updated.</x:v>
      </x:c>
    </x:row>
    <x:row r="9">
      <x:c r="A9" s="46" t="str">
        <x:v>KEEP EXISTING</x:v>
      </x:c>
      <x:c r="B9" s="46" t="str">
        <x:v>10067</x:v>
      </x:c>
      <x:c r="C9" s="46" t="str">
        <x:v>DualSense Wireless Controller – Gray Camouflage</x:v>
      </x:c>
      <x:c r="D9" s="46" t="str">
        <x:v>TM8-PS5-DS-GRAY-CAMO</x:v>
      </x:c>
      <x:c r="E9" s="46" t="str">
        <x:v>Consoles &amp; Controllers</x:v>
      </x:c>
      <x:c r="F9" s="47" t="n">
        <x:v>86.15</x:v>
      </x:c>
      <x:c r="G9" s="47" t="n">
        <x:v>119.95</x:v>
      </x:c>
      <x:c r="H9" s="46" t="str">
        <x:v>EXACT</x:v>
      </x:c>
      <x:c r="I9" s="48" t="n">
        <x:v>1</x:v>
      </x:c>
      <x:c r="J9" s="46" t="str">
        <x:v>DualSense Wireless Controller - Gray Camouflage</x:v>
      </x:c>
      <x:c r="K9" s="46" t="str">
        <x:v>TM8-PS5-DS-GRAY-CAMO</x:v>
      </x:c>
      <x:c r="L9" s="46" t="str">
        <x:v>PS5 Controllers</x:v>
      </x:c>
      <x:c r="M9" s="47" t="n">
        <x:v>0</x:v>
      </x:c>
      <x:c r="N9" s="47" t="n">
        <x:v>109</x:v>
      </x:c>
      <x:c r="O9" s="47"/>
      <x:c r="P9" s="47" t="n">
        <x:v>10.950000000000003</x:v>
      </x:c>
      <x:c r="Q9" s="46" t="str">
        <x:v>Retail differs; current cost missing</x:v>
      </x:c>
      <x:c r="R9" s="46" t="str">
        <x:v>Same POS SKU</x:v>
      </x:c>
      <x:c r="S9" s="46" t="str">
        <x:v>Do not import a duplicate. Review whether the current POS retail/cost should be updated.</x:v>
      </x:c>
    </x:row>
    <x:row r="10">
      <x:c r="A10" s="46" t="str">
        <x:v>KEEP EXISTING</x:v>
      </x:c>
      <x:c r="B10" s="46" t="str">
        <x:v>10066</x:v>
      </x:c>
      <x:c r="C10" s="46" t="str">
        <x:v>DualSense Wireless Controller - PlayStation 5 - Black</x:v>
      </x:c>
      <x:c r="D10" s="46" t="str">
        <x:v>TM8-PS5-DS-BLACK</x:v>
      </x:c>
      <x:c r="E10" s="46" t="str">
        <x:v>Consoles &amp; Controllers</x:v>
      </x:c>
      <x:c r="F10" s="47" t="n">
        <x:v>86.15</x:v>
      </x:c>
      <x:c r="G10" s="47" t="n">
        <x:v>119.95</x:v>
      </x:c>
      <x:c r="H10" s="46" t="str">
        <x:v>EXACT</x:v>
      </x:c>
      <x:c r="I10" s="48" t="n">
        <x:v>1</x:v>
      </x:c>
      <x:c r="J10" s="46" t="str">
        <x:v>DualSense Wireless Controller - PlayStation 5 - Black</x:v>
      </x:c>
      <x:c r="K10" s="46" t="str">
        <x:v>TM8-PS5-DS-BLACK</x:v>
      </x:c>
      <x:c r="L10" s="46" t="str">
        <x:v>PS5 Controllers</x:v>
      </x:c>
      <x:c r="M10" s="47" t="n">
        <x:v>0</x:v>
      </x:c>
      <x:c r="N10" s="47" t="n">
        <x:v>109</x:v>
      </x:c>
      <x:c r="O10" s="47"/>
      <x:c r="P10" s="47" t="n">
        <x:v>10.950000000000003</x:v>
      </x:c>
      <x:c r="Q10" s="46" t="str">
        <x:v>Retail differs; current cost missing</x:v>
      </x:c>
      <x:c r="R10" s="46" t="str">
        <x:v>Same POS SKU</x:v>
      </x:c>
      <x:c r="S10" s="46" t="str">
        <x:v>Do not import a duplicate. Review whether the current POS retail/cost should be updated.</x:v>
      </x:c>
    </x:row>
    <x:row r="11">
      <x:c r="A11" s="46" t="str">
        <x:v>KEEP EXISTING</x:v>
      </x:c>
      <x:c r="B11" s="46" t="str">
        <x:v>10065</x:v>
      </x:c>
      <x:c r="C11" s="46" t="str">
        <x:v>DualSense Wireless Controller - PlayStation 5 - White</x:v>
      </x:c>
      <x:c r="D11" s="46" t="str">
        <x:v>TM8-PS5-DS-WHITE</x:v>
      </x:c>
      <x:c r="E11" s="46" t="str">
        <x:v>Consoles &amp; Controllers</x:v>
      </x:c>
      <x:c r="F11" s="47" t="n">
        <x:v>86.15</x:v>
      </x:c>
      <x:c r="G11" s="47" t="n">
        <x:v>119.95</x:v>
      </x:c>
      <x:c r="H11" s="46" t="str">
        <x:v>EXACT</x:v>
      </x:c>
      <x:c r="I11" s="48" t="n">
        <x:v>1</x:v>
      </x:c>
      <x:c r="J11" s="46" t="str">
        <x:v>DualSense Wireless Controller - PlayStation 5 - White</x:v>
      </x:c>
      <x:c r="K11" s="46" t="str">
        <x:v>TM8-PS5-DS-WHITE</x:v>
      </x:c>
      <x:c r="L11" s="46" t="str">
        <x:v>PS5 Controllers</x:v>
      </x:c>
      <x:c r="M11" s="47" t="n">
        <x:v>0</x:v>
      </x:c>
      <x:c r="N11" s="47" t="n">
        <x:v>109</x:v>
      </x:c>
      <x:c r="O11" s="47"/>
      <x:c r="P11" s="47" t="n">
        <x:v>10.950000000000003</x:v>
      </x:c>
      <x:c r="Q11" s="46" t="str">
        <x:v>Retail differs; current cost missing</x:v>
      </x:c>
      <x:c r="R11" s="46" t="str">
        <x:v>Same POS SKU</x:v>
      </x:c>
      <x:c r="S11" s="46" t="str">
        <x:v>Do not import a duplicate. Review whether the current POS retail/cost should be updated.</x:v>
      </x:c>
    </x:row>
  </x:sheetData>
  <x:mergeCells>
    <x:mergeCell ref="A1:S1"/>
    <x:mergeCell ref="A2:S2"/>
  </x:mergeCells>
  <x:conditionalFormatting sqref="H5:H11">
    <x:cfRule type="containsText" dxfId="9" priority="1" operator="containsText" text="EXACT"/>
    <x:cfRule type="containsText" dxfId="10" priority="2" operator="containsText" text="LIKELY SAME"/>
  </x:conditionalFormatting>
  <x:conditionalFormatting sqref="A5:A11">
    <x:cfRule type="containsText" dxfId="11" priority="3" operator="containsText" text="REVIEW MATCH"/>
  </x:conditionalFormatting>
  <x:pageMargins left="0.7" right="0.7" top="0.75" bottom="0.75" header="0.3" footer="0.3"/>
  <x:tableParts count="1">
    <x:tablePart xmlns:r="http://schemas.openxmlformats.org/officeDocument/2006/relationships" r:id="R0bc1d43005fa4fa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44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46" hidden="0" customWidth="1"/>
    <x:col min="16" max="16" width="46" hidden="0" customWidth="1"/>
  </x:cols>
  <x:sheetData>
    <x:row r="1" ht="36" customHeight="1">
      <x:c r="A1" s="41" t="str">
        <x:v>Similar Product Names with Different Prices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</x:row>
    <x:row r="2">
      <x:c r="A2" s="43" t="str">
        <x:v>These are related products inside the review workbook. They are not automatically treated as duplicates; the interpretation explains expected variant differences.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</x:row>
    <x:row r="4">
      <x:c r="A4" s="45" t="str">
        <x:v>Pair Type</x:v>
      </x:c>
      <x:c r="B4" s="45" t="str">
        <x:v>Left Decision</x:v>
      </x:c>
      <x:c r="C4" s="45" t="str">
        <x:v>Left Item ID</x:v>
      </x:c>
      <x:c r="D4" s="45" t="str">
        <x:v>Left Product Name</x:v>
      </x:c>
      <x:c r="E4" s="45" t="str">
        <x:v>Left Cost</x:v>
      </x:c>
      <x:c r="F4" s="45" t="str">
        <x:v>Left Retail</x:v>
      </x:c>
      <x:c r="G4" s="45" t="str">
        <x:v>Right Decision</x:v>
      </x:c>
      <x:c r="H4" s="45" t="str">
        <x:v>Right Item ID</x:v>
      </x:c>
      <x:c r="I4" s="45" t="str">
        <x:v>Right Product Name</x:v>
      </x:c>
      <x:c r="J4" s="45" t="str">
        <x:v>Right Cost</x:v>
      </x:c>
      <x:c r="K4" s="45" t="str">
        <x:v>Right Retail</x:v>
      </x:c>
      <x:c r="L4" s="45" t="str">
        <x:v>Similarity</x:v>
      </x:c>
      <x:c r="M4" s="45" t="str">
        <x:v>Cost Difference</x:v>
      </x:c>
      <x:c r="N4" s="45" t="str">
        <x:v>Retail Difference</x:v>
      </x:c>
      <x:c r="O4" s="45" t="str">
        <x:v>Similarity Reason</x:v>
      </x:c>
      <x:c r="P4" s="45" t="str">
        <x:v>Interpretation</x:v>
      </x:c>
    </x:row>
    <x:row r="5">
      <x:c r="A5" s="46" t="str">
        <x:v>RELATED VARIANTS</x:v>
      </x:c>
      <x:c r="B5" s="46" t="str">
        <x:v>IMPORT</x:v>
      </x:c>
      <x:c r="C5" s="46" t="str">
        <x:v>10154</x:v>
      </x:c>
      <x:c r="D5" s="46" t="str">
        <x:v>AX1800 WiFi USB Adapter</x:v>
      </x:c>
      <x:c r="E5" s="47" t="n">
        <x:v>43</x:v>
      </x:c>
      <x:c r="F5" s="47" t="n">
        <x:v>64</x:v>
      </x:c>
      <x:c r="G5" s="46" t="str">
        <x:v>IMPORT</x:v>
      </x:c>
      <x:c r="H5" s="46" t="str">
        <x:v>10153</x:v>
      </x:c>
      <x:c r="I5" s="46" t="str">
        <x:v>AX1800 Nano WiFi USB Adapter</x:v>
      </x:c>
      <x:c r="J5" s="47" t="n">
        <x:v>40</x:v>
      </x:c>
      <x:c r="K5" s="47" t="n">
        <x:v>59</x:v>
      </x:c>
      <x:c r="L5" s="48" t="n">
        <x:v>0.9</x:v>
      </x:c>
      <x:c r="M5" s="47" t="n">
        <x:v>3</x:v>
      </x:c>
      <x:c r="N5" s="47" t="n">
        <x:v>5</x:v>
      </x:c>
      <x:c r="O5" s="46" t="str">
        <x:v>Shared model: ax1800</x:v>
      </x:c>
      <x:c r="P5" s="46" t="str">
        <x:v>Standard and nano form factors; price difference is expected.</x:v>
      </x:c>
    </x:row>
    <x:row r="6">
      <x:c r="A6" s="46" t="str">
        <x:v>RELATED VARIANTS</x:v>
      </x:c>
      <x:c r="B6" s="46" t="str">
        <x:v>IMPORT</x:v>
      </x:c>
      <x:c r="C6" s="46" t="str">
        <x:v>7815</x:v>
      </x:c>
      <x:c r="D6" s="46" t="str">
        <x:v>C10 SD Card 256GB</x:v>
      </x:c>
      <x:c r="E6" s="47" t="n">
        <x:v>33.5</x:v>
      </x:c>
      <x:c r="F6" s="47" t="n">
        <x:v>79</x:v>
      </x:c>
      <x:c r="G6" s="46" t="str">
        <x:v>IMPORT</x:v>
      </x:c>
      <x:c r="H6" s="46" t="str">
        <x:v>7814</x:v>
      </x:c>
      <x:c r="I6" s="46" t="str">
        <x:v>C10 SD Card 128GB</x:v>
      </x:c>
      <x:c r="J6" s="47" t="n">
        <x:v>18</x:v>
      </x:c>
      <x:c r="K6" s="47" t="n">
        <x:v>39</x:v>
      </x:c>
      <x:c r="L6" s="48" t="n">
        <x:v>0.9</x:v>
      </x:c>
      <x:c r="M6" s="47" t="n">
        <x:v>15.5</x:v>
      </x:c>
      <x:c r="N6" s="47" t="n">
        <x:v>40</x:v>
      </x:c>
      <x:c r="O6" s="46" t="str">
        <x:v>Shared model: c10</x:v>
      </x:c>
      <x:c r="P6" s="46" t="str">
        <x:v>Different storage capacities; price difference is expected.</x:v>
      </x:c>
    </x:row>
    <x:row r="7">
      <x:c r="A7" s="46" t="str">
        <x:v>RELATED VARIANTS</x:v>
      </x:c>
      <x:c r="B7" s="46" t="str">
        <x:v>IMPORT</x:v>
      </x:c>
      <x:c r="C7" s="46" t="str">
        <x:v>7815</x:v>
      </x:c>
      <x:c r="D7" s="46" t="str">
        <x:v>C10 SD Card 256GB</x:v>
      </x:c>
      <x:c r="E7" s="47" t="n">
        <x:v>33.5</x:v>
      </x:c>
      <x:c r="F7" s="47" t="n">
        <x:v>79</x:v>
      </x:c>
      <x:c r="G7" s="46" t="str">
        <x:v>IMPORT</x:v>
      </x:c>
      <x:c r="H7" s="46" t="str">
        <x:v>7813</x:v>
      </x:c>
      <x:c r="I7" s="46" t="str">
        <x:v>C10 SD Card 64GB</x:v>
      </x:c>
      <x:c r="J7" s="47" t="n">
        <x:v>6.38</x:v>
      </x:c>
      <x:c r="K7" s="47" t="n">
        <x:v>28</x:v>
      </x:c>
      <x:c r="L7" s="48" t="n">
        <x:v>0.9</x:v>
      </x:c>
      <x:c r="M7" s="47" t="n">
        <x:v>27.12</x:v>
      </x:c>
      <x:c r="N7" s="47" t="n">
        <x:v>51</x:v>
      </x:c>
      <x:c r="O7" s="46" t="str">
        <x:v>Shared model: c10</x:v>
      </x:c>
      <x:c r="P7" s="46" t="str">
        <x:v>Different storage capacities; price difference is expected.</x:v>
      </x:c>
    </x:row>
    <x:row r="8">
      <x:c r="A8" s="46" t="str">
        <x:v>RELATED VARIANTS</x:v>
      </x:c>
      <x:c r="B8" s="46" t="str">
        <x:v>IMPORT</x:v>
      </x:c>
      <x:c r="C8" s="46" t="str">
        <x:v>7815</x:v>
      </x:c>
      <x:c r="D8" s="46" t="str">
        <x:v>C10 SD Card 256GB</x:v>
      </x:c>
      <x:c r="E8" s="47" t="n">
        <x:v>33.5</x:v>
      </x:c>
      <x:c r="F8" s="47" t="n">
        <x:v>79</x:v>
      </x:c>
      <x:c r="G8" s="46" t="str">
        <x:v>IMPORT</x:v>
      </x:c>
      <x:c r="H8" s="46" t="str">
        <x:v>7812</x:v>
      </x:c>
      <x:c r="I8" s="46" t="str">
        <x:v>C10 SD Card 32GB</x:v>
      </x:c>
      <x:c r="J8" s="47" t="n">
        <x:v>4.5</x:v>
      </x:c>
      <x:c r="K8" s="47" t="n">
        <x:v>19</x:v>
      </x:c>
      <x:c r="L8" s="48" t="n">
        <x:v>0.9</x:v>
      </x:c>
      <x:c r="M8" s="47" t="n">
        <x:v>29</x:v>
      </x:c>
      <x:c r="N8" s="47" t="n">
        <x:v>60</x:v>
      </x:c>
      <x:c r="O8" s="46" t="str">
        <x:v>Shared model: c10</x:v>
      </x:c>
      <x:c r="P8" s="46" t="str">
        <x:v>Different storage capacities; price difference is expected.</x:v>
      </x:c>
    </x:row>
    <x:row r="9">
      <x:c r="A9" s="46" t="str">
        <x:v>RELATED VARIANTS</x:v>
      </x:c>
      <x:c r="B9" s="46" t="str">
        <x:v>IMPORT</x:v>
      </x:c>
      <x:c r="C9" s="46" t="str">
        <x:v>7814</x:v>
      </x:c>
      <x:c r="D9" s="46" t="str">
        <x:v>C10 SD Card 128GB</x:v>
      </x:c>
      <x:c r="E9" s="47" t="n">
        <x:v>18</x:v>
      </x:c>
      <x:c r="F9" s="47" t="n">
        <x:v>39</x:v>
      </x:c>
      <x:c r="G9" s="46" t="str">
        <x:v>IMPORT</x:v>
      </x:c>
      <x:c r="H9" s="46" t="str">
        <x:v>7813</x:v>
      </x:c>
      <x:c r="I9" s="46" t="str">
        <x:v>C10 SD Card 64GB</x:v>
      </x:c>
      <x:c r="J9" s="47" t="n">
        <x:v>6.38</x:v>
      </x:c>
      <x:c r="K9" s="47" t="n">
        <x:v>28</x:v>
      </x:c>
      <x:c r="L9" s="48" t="n">
        <x:v>0.9</x:v>
      </x:c>
      <x:c r="M9" s="47" t="n">
        <x:v>11.620000000000001</x:v>
      </x:c>
      <x:c r="N9" s="47" t="n">
        <x:v>11</x:v>
      </x:c>
      <x:c r="O9" s="46" t="str">
        <x:v>Shared model: c10</x:v>
      </x:c>
      <x:c r="P9" s="46" t="str">
        <x:v>Different storage capacities; price difference is expected.</x:v>
      </x:c>
    </x:row>
    <x:row r="10">
      <x:c r="A10" s="46" t="str">
        <x:v>RELATED VARIANTS</x:v>
      </x:c>
      <x:c r="B10" s="46" t="str">
        <x:v>IMPORT</x:v>
      </x:c>
      <x:c r="C10" s="46" t="str">
        <x:v>7814</x:v>
      </x:c>
      <x:c r="D10" s="46" t="str">
        <x:v>C10 SD Card 128GB</x:v>
      </x:c>
      <x:c r="E10" s="47" t="n">
        <x:v>18</x:v>
      </x:c>
      <x:c r="F10" s="47" t="n">
        <x:v>39</x:v>
      </x:c>
      <x:c r="G10" s="46" t="str">
        <x:v>IMPORT</x:v>
      </x:c>
      <x:c r="H10" s="46" t="str">
        <x:v>7812</x:v>
      </x:c>
      <x:c r="I10" s="46" t="str">
        <x:v>C10 SD Card 32GB</x:v>
      </x:c>
      <x:c r="J10" s="47" t="n">
        <x:v>4.5</x:v>
      </x:c>
      <x:c r="K10" s="47" t="n">
        <x:v>19</x:v>
      </x:c>
      <x:c r="L10" s="48" t="n">
        <x:v>0.9</x:v>
      </x:c>
      <x:c r="M10" s="47" t="n">
        <x:v>13.5</x:v>
      </x:c>
      <x:c r="N10" s="47" t="n">
        <x:v>20</x:v>
      </x:c>
      <x:c r="O10" s="46" t="str">
        <x:v>Shared model: c10</x:v>
      </x:c>
      <x:c r="P10" s="46" t="str">
        <x:v>Different storage capacities; price difference is expected.</x:v>
      </x:c>
    </x:row>
    <x:row r="11">
      <x:c r="A11" s="46" t="str">
        <x:v>RELATED VARIANTS</x:v>
      </x:c>
      <x:c r="B11" s="46" t="str">
        <x:v>IMPORT</x:v>
      </x:c>
      <x:c r="C11" s="46" t="str">
        <x:v>7813</x:v>
      </x:c>
      <x:c r="D11" s="46" t="str">
        <x:v>C10 SD Card 64GB</x:v>
      </x:c>
      <x:c r="E11" s="47" t="n">
        <x:v>6.38</x:v>
      </x:c>
      <x:c r="F11" s="47" t="n">
        <x:v>28</x:v>
      </x:c>
      <x:c r="G11" s="46" t="str">
        <x:v>IMPORT</x:v>
      </x:c>
      <x:c r="H11" s="46" t="str">
        <x:v>7812</x:v>
      </x:c>
      <x:c r="I11" s="46" t="str">
        <x:v>C10 SD Card 32GB</x:v>
      </x:c>
      <x:c r="J11" s="47" t="n">
        <x:v>4.5</x:v>
      </x:c>
      <x:c r="K11" s="47" t="n">
        <x:v>19</x:v>
      </x:c>
      <x:c r="L11" s="48" t="n">
        <x:v>0.9</x:v>
      </x:c>
      <x:c r="M11" s="47" t="n">
        <x:v>1.88</x:v>
      </x:c>
      <x:c r="N11" s="47" t="n">
        <x:v>9</x:v>
      </x:c>
      <x:c r="O11" s="46" t="str">
        <x:v>Shared model: c10</x:v>
      </x:c>
      <x:c r="P11" s="46" t="str">
        <x:v>Different storage capacities; price difference is expected.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965bc104169f4778"/>
  </x:tableParts>
</x:worksheet>
</file>