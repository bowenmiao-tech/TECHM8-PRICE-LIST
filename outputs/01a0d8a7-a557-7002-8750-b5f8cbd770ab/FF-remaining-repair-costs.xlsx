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52EA7330-7B46-4125-9D34-39BD9B5614D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F完整清单" sheetId="1" r:id="rId1"/>
    <sheet name="待补成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H33" i="1"/>
  <c r="G33" i="1"/>
  <c r="F33" i="1"/>
  <c r="I33" i="1" s="1"/>
  <c r="H32" i="1"/>
  <c r="G32" i="1"/>
  <c r="F32" i="1"/>
  <c r="I32" i="1" s="1"/>
  <c r="I31" i="1"/>
  <c r="I30" i="1"/>
  <c r="I29" i="1"/>
  <c r="I28" i="1"/>
  <c r="I27" i="1"/>
  <c r="H26" i="1"/>
  <c r="G26" i="1"/>
  <c r="F26" i="1"/>
  <c r="I26" i="1" s="1"/>
  <c r="I25" i="1"/>
  <c r="I24" i="1"/>
  <c r="I23" i="1"/>
  <c r="I22" i="1"/>
  <c r="H21" i="1"/>
  <c r="G21" i="1"/>
  <c r="F21" i="1"/>
  <c r="I21" i="1" s="1"/>
  <c r="H20" i="1"/>
  <c r="G20" i="1"/>
  <c r="F20" i="1"/>
  <c r="I20" i="1" s="1"/>
  <c r="H19" i="1"/>
  <c r="G19" i="1"/>
  <c r="F19" i="1"/>
  <c r="I19" i="1" s="1"/>
  <c r="H18" i="1"/>
  <c r="G18" i="1"/>
  <c r="F18" i="1"/>
  <c r="I18" i="1" s="1"/>
  <c r="I17" i="1"/>
  <c r="H16" i="1"/>
  <c r="G16" i="1"/>
  <c r="F16" i="1"/>
  <c r="I16" i="1" s="1"/>
  <c r="H15" i="1"/>
  <c r="G15" i="1"/>
  <c r="F15" i="1"/>
  <c r="I15" i="1" s="1"/>
  <c r="I14" i="1"/>
  <c r="I13" i="1"/>
  <c r="I12" i="1"/>
  <c r="I11" i="1"/>
  <c r="H10" i="1"/>
  <c r="G10" i="1"/>
  <c r="F10" i="1"/>
  <c r="I10" i="1" s="1"/>
  <c r="H9" i="1"/>
  <c r="G9" i="1"/>
  <c r="F9" i="1"/>
  <c r="I8" i="1"/>
  <c r="I7" i="1"/>
  <c r="E4" i="1" l="1"/>
  <c r="I9" i="1"/>
</calcChain>
</file>

<file path=xl/sharedStrings.xml><?xml version="1.0" encoding="utf-8"?>
<sst xmlns="http://schemas.openxmlformats.org/spreadsheetml/2006/main" count="296" uniqueCount="125">
  <si>
    <t>FF｜2026年9月维修配件成本</t>
  </si>
  <si>
    <t>已保留 FF 手填成本；仅对同机型、同维修项目的 5 条空白记录套用 TW 成本。待补成本请到第二个工作表填写。</t>
  </si>
  <si>
    <t>维修销售条目数</t>
  </si>
  <si>
    <t>仍待补成本</t>
  </si>
  <si>
    <t>1 AUD = CNY</t>
  </si>
  <si>
    <t>日期</t>
  </si>
  <si>
    <t>工单号</t>
  </si>
  <si>
    <t>设备/机型</t>
  </si>
  <si>
    <t>维修项目</t>
  </si>
  <si>
    <t>销售额含 GST</t>
  </si>
  <si>
    <t>单次配件成本</t>
  </si>
  <si>
    <t>货币</t>
  </si>
  <si>
    <t>成本 GST 口径</t>
  </si>
  <si>
    <t>成本 AUD 不含 GST</t>
  </si>
  <si>
    <t>成本来源/备注</t>
  </si>
  <si>
    <t>2026-09-03</t>
  </si>
  <si>
    <t>RPR-1788395541264</t>
  </si>
  <si>
    <t>Onsite/Remote Assistance - Insurance Report - Insurance Report</t>
  </si>
  <si>
    <t>AUD</t>
  </si>
  <si>
    <t>FF 已填</t>
  </si>
  <si>
    <t>RPR-1788397157905</t>
  </si>
  <si>
    <t>Apple iPhone iPhone 14 Plus</t>
  </si>
  <si>
    <t>Apple iPhone - iPhone 14 Plus - Battery</t>
  </si>
  <si>
    <t>不含 GST</t>
  </si>
  <si>
    <t>参考 TW：Apple iPhone iPhone 14 Plus／Apple iPhone - iPhone 14 Plus - Battery</t>
  </si>
  <si>
    <t>RPR-1788397231929</t>
  </si>
  <si>
    <t>Apple iPhone - iPhone 14 Plus - Back Glass Replacement</t>
  </si>
  <si>
    <t>待补成本</t>
  </si>
  <si>
    <t>RPR-1788399224416</t>
  </si>
  <si>
    <t>Google Google Pixel 6A</t>
  </si>
  <si>
    <t>Google - Google Pixel 6A - Battery Replacement</t>
  </si>
  <si>
    <t>RPR-1788413825545</t>
  </si>
  <si>
    <t>Onsite/Remote Assistance - (Hardware) Phone/Tablet Inspection - (Hardware) Phone/Tablet Inspection</t>
  </si>
  <si>
    <t>RPR-1788417663663</t>
  </si>
  <si>
    <t>2026-09-05</t>
  </si>
  <si>
    <t>RPR-1788571151451</t>
  </si>
  <si>
    <t>(Hardware) Laptop/PC Inspection</t>
  </si>
  <si>
    <t>RPR-1788573730239</t>
  </si>
  <si>
    <t>(Hardware) Phone/Tablet Inspection</t>
  </si>
  <si>
    <t>RPR-1788585154533</t>
  </si>
  <si>
    <t>17 pm lens</t>
  </si>
  <si>
    <t>14 pro max back glass and charging port and battery</t>
  </si>
  <si>
    <t>2026-09-06</t>
  </si>
  <si>
    <t>RPR-1788656888464</t>
  </si>
  <si>
    <t>Samsung S Series Samsung S23 Ultra</t>
  </si>
  <si>
    <t>Samsung S Series - Samsung S23 Ultra - Screen Replacement</t>
  </si>
  <si>
    <t>参考 TW：Samsung S Series Samsung S23 Ultra／Screen Replacement</t>
  </si>
  <si>
    <t>data back up</t>
  </si>
  <si>
    <t>RPR-1788665113906</t>
  </si>
  <si>
    <t>Apple iPhone iPhone 17 Pro Max</t>
  </si>
  <si>
    <t>Apple iPhone - iPhone 17 Pro Max - Screen Replacement (OLED)</t>
  </si>
  <si>
    <t>RPR-1788671603926</t>
  </si>
  <si>
    <t>Apple iPhone iPhone 12 Pro Max</t>
  </si>
  <si>
    <t>Apple iPhone - iPhone 12 Pro Max - Screen Replacement (LCD)</t>
  </si>
  <si>
    <t>RPR-1788671663654</t>
  </si>
  <si>
    <t>Apple iPhone - iPhone 12 Pro Max - Charging Socket</t>
  </si>
  <si>
    <t>2026-09-07</t>
  </si>
  <si>
    <t>RPR-1788764897931</t>
  </si>
  <si>
    <t>2026-09-08</t>
  </si>
  <si>
    <t>RPR-1788845064758</t>
  </si>
  <si>
    <t>Onsite/Remote Assistance - (Hardware) Laptop/PC Inspection - (Hardware) Laptop/PC Inspection</t>
  </si>
  <si>
    <t>2026-09-09</t>
  </si>
  <si>
    <t>RPR-1788910423514</t>
  </si>
  <si>
    <t>RPR-1788913221783</t>
  </si>
  <si>
    <t>Apple iPhone iPhone 13</t>
  </si>
  <si>
    <t>Charging Socket</t>
  </si>
  <si>
    <t>RPR-1788916220145</t>
  </si>
  <si>
    <t>Battery</t>
  </si>
  <si>
    <t>CNY</t>
  </si>
  <si>
    <t>参考 TW：Apple iPhone iPhone 13／Battery</t>
  </si>
  <si>
    <t>2026-09-10</t>
  </si>
  <si>
    <t>RPR-1789023748341</t>
  </si>
  <si>
    <t>Apple iPhone iPhone 11</t>
  </si>
  <si>
    <t>Apple iPhone - iPhone 11 - Screen Replacement</t>
  </si>
  <si>
    <t>参考 TW：Apple iPhone iPhone 11／Apple iPhone - iPhone 11 - Screen Replacement</t>
  </si>
  <si>
    <t>2026-09-11</t>
  </si>
  <si>
    <t>RPR-1789096276805</t>
  </si>
  <si>
    <t>iphone se 3 battery replacement</t>
  </si>
  <si>
    <t>参考 TW：Apple iPhone iPhone SE 3／Apple iPhone - iPhone SE 3 - Battery</t>
  </si>
  <si>
    <t>2026-09-12</t>
  </si>
  <si>
    <t>RPR-1789172281063</t>
  </si>
  <si>
    <t>iphone 13 screen oled replacement</t>
  </si>
  <si>
    <t>iphone 13 battery replacement</t>
  </si>
  <si>
    <t>2026-09-14</t>
  </si>
  <si>
    <t>dell p137G battery</t>
  </si>
  <si>
    <t>RPR-1789341518230</t>
  </si>
  <si>
    <t>iphone se 2 battery replacement</t>
  </si>
  <si>
    <t>iphone se 2 charging socket</t>
  </si>
  <si>
    <t>2026-09-16</t>
  </si>
  <si>
    <t>RPR-1789526083105</t>
  </si>
  <si>
    <t>2026-09-19</t>
  </si>
  <si>
    <t>RPR-1789785000572</t>
  </si>
  <si>
    <t>Apple iPhone iPhone 16 Pro</t>
  </si>
  <si>
    <t>Apple iPhone - iPhone 16 Pro - Screen Replacement (OLED)</t>
  </si>
  <si>
    <t>RPR-1789798320779</t>
  </si>
  <si>
    <t>Labor(Detail require)</t>
  </si>
  <si>
    <t>2026-09-20</t>
  </si>
  <si>
    <t>RPR-1789871157587</t>
  </si>
  <si>
    <t>2026-09-21</t>
  </si>
  <si>
    <t>RPR-1789957224109</t>
  </si>
  <si>
    <t>Ear Speaker/Ear Speaker Flex</t>
  </si>
  <si>
    <t>RPR-1789970638747</t>
  </si>
  <si>
    <t>Apple iPhone iPhone XR</t>
  </si>
  <si>
    <t>Apple iPhone - iPhone XR - Screen Replacement</t>
  </si>
  <si>
    <t>2026-09-22</t>
  </si>
  <si>
    <t>RPR-1790039452189</t>
  </si>
  <si>
    <t>Virus Cleaning (Report can be provied)</t>
  </si>
  <si>
    <t>2026-09-24</t>
  </si>
  <si>
    <t>RPR-1790221514234</t>
  </si>
  <si>
    <t>Apple iPad iPad 9 (2021)</t>
  </si>
  <si>
    <t>Apple iPad - iPad 9 (2021) - Touch / Digitizer Replacement</t>
  </si>
  <si>
    <t>RPR-1790232118115</t>
  </si>
  <si>
    <t>Apple iPhone iPhone 16 Pro Max</t>
  </si>
  <si>
    <t>Apple iPhone - iPhone 16 Pro Max - Screen Replacement(LCD)</t>
  </si>
  <si>
    <t>RPR-1790232165091</t>
  </si>
  <si>
    <t>Apple iPhone - iPhone 16 Pro Max - Back Glass Replacement</t>
  </si>
  <si>
    <t>2026-09-25</t>
  </si>
  <si>
    <t>RPR-1790293422389</t>
  </si>
  <si>
    <t>Apple iPhone - iPhone 16 Pro - Screen Replacement (LCD)</t>
  </si>
  <si>
    <t>RPR-1790292769226</t>
  </si>
  <si>
    <t>FF｜TW 无同款维修的待补成本</t>
  </si>
  <si>
    <t>只需填写黄色的单次配件成本、货币与 GST 口径；无用料填 0。1 AUD = 4.7 CNY。</t>
  </si>
  <si>
    <t>430 CNY</t>
    <phoneticPr fontId="4" type="noConversion"/>
  </si>
  <si>
    <t>119 CNY</t>
    <phoneticPr fontId="4" type="noConversion"/>
  </si>
  <si>
    <t>217 CNY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</si>
</sst>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55E75"/>
      </patternFill>
    </fill>
    <fill>
      <patternFill patternType="solid">
        <fgColor rgb="FF9A3412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0" xfId="1" applyFont="1" applyFill="1"/>
    <xf numFmtId="0" fontId="2" fillId="4" borderId="0" xfId="1" applyFont="1" applyFill="1"/>
    <xf numFmtId="0" fontId="0" fillId="0" borderId="1" xfId="1" applyFont="1" applyBorder="1"/>
    <xf numFmtId="0" fontId="0" fillId="5" borderId="1" xfId="1" applyFont="1" applyFill="1" applyBorder="1"/>
    <xf numFmtId="176" fontId="0" fillId="0" borderId="1" xfId="1" applyNumberFormat="1" applyFont="1" applyBorder="1"/>
    <xf numFmtId="176" fontId="0" fillId="5" borderId="1" xfId="1" applyNumberFormat="1" applyFont="1" applyFill="1" applyBorder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75"/>
  </sheetPr>
  <dimension ref="A1:J49"/>
  <sheetViews>
    <sheetView showGridLines="0" workbookViewId="0">
      <pane ySplit="6" topLeftCell="A7" activePane="bottomLeft" state="frozen"/>
      <selection pane="bottomLeft" sqref="A1:J1"/>
    </sheetView>
  </sheetViews>
  <sheetFormatPr defaultRowHeight="14.25"/>
  <cols>
    <col min="1" max="1" width="14" customWidth="1"/>
    <col min="2" max="2" width="25" customWidth="1"/>
    <col min="3" max="3" width="38" customWidth="1"/>
    <col min="4" max="4" width="74" customWidth="1"/>
    <col min="5" max="5" width="20" customWidth="1"/>
    <col min="6" max="6" width="22" customWidth="1"/>
    <col min="7" max="8" width="18" customWidth="1"/>
    <col min="9" max="9" width="25" customWidth="1"/>
    <col min="10" max="10" width="65" customWidth="1"/>
  </cols>
  <sheetData>
    <row r="1" spans="1:10" ht="33.950000000000003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>
      <c r="A4" t="s">
        <v>2</v>
      </c>
      <c r="B4">
        <v>43</v>
      </c>
      <c r="D4" t="s">
        <v>3</v>
      </c>
      <c r="E4">
        <f>COUNTBLANK(F7:F49)</f>
        <v>0</v>
      </c>
      <c r="G4" t="s">
        <v>4</v>
      </c>
      <c r="H4">
        <v>4.7</v>
      </c>
    </row>
    <row r="6" spans="1:10" ht="1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1:10">
      <c r="A7" s="3" t="s">
        <v>15</v>
      </c>
      <c r="B7" s="3" t="s">
        <v>16</v>
      </c>
      <c r="C7" s="3"/>
      <c r="D7" s="3" t="s">
        <v>17</v>
      </c>
      <c r="E7" s="5">
        <v>79</v>
      </c>
      <c r="F7" s="5">
        <v>0</v>
      </c>
      <c r="G7" s="3" t="s">
        <v>18</v>
      </c>
      <c r="H7" s="3"/>
      <c r="I7" s="5" t="str">
        <f t="shared" ref="I7:I49" si="0">IF(OR(F7="",NOT(ISNUMBER(F7))),"",IF(G7="CNY",F7/$H$4,IF(H7="含 GST",F7/1.1,IF(H7="不含 GST",F7,""))))</f>
        <v/>
      </c>
      <c r="J7" s="3" t="s">
        <v>19</v>
      </c>
    </row>
    <row r="8" spans="1:10">
      <c r="A8" s="3" t="s">
        <v>15</v>
      </c>
      <c r="B8" s="3" t="s">
        <v>20</v>
      </c>
      <c r="C8" s="3" t="s">
        <v>21</v>
      </c>
      <c r="D8" s="3" t="s">
        <v>22</v>
      </c>
      <c r="E8" s="5">
        <v>159</v>
      </c>
      <c r="F8" s="5">
        <v>16</v>
      </c>
      <c r="G8" s="3" t="s">
        <v>18</v>
      </c>
      <c r="H8" s="3" t="s">
        <v>23</v>
      </c>
      <c r="I8" s="5">
        <f t="shared" si="0"/>
        <v>16</v>
      </c>
      <c r="J8" s="3" t="s">
        <v>24</v>
      </c>
    </row>
    <row r="9" spans="1:10">
      <c r="A9" s="3" t="s">
        <v>15</v>
      </c>
      <c r="B9" s="3" t="s">
        <v>25</v>
      </c>
      <c r="C9" s="3" t="s">
        <v>21</v>
      </c>
      <c r="D9" s="3" t="s">
        <v>26</v>
      </c>
      <c r="E9" s="5">
        <v>179</v>
      </c>
      <c r="F9" s="5">
        <f>IF(待补成本!F5="","",待补成本!F5)</f>
        <v>12</v>
      </c>
      <c r="G9" s="3" t="str">
        <f>IF(待补成本!G5="","",待补成本!G5)</f>
        <v/>
      </c>
      <c r="H9" s="3" t="str">
        <f>IF(待补成本!H5="","",待补成本!H5)</f>
        <v/>
      </c>
      <c r="I9" s="5" t="str">
        <f t="shared" si="0"/>
        <v/>
      </c>
      <c r="J9" s="3" t="s">
        <v>27</v>
      </c>
    </row>
    <row r="10" spans="1:10">
      <c r="A10" s="3" t="s">
        <v>15</v>
      </c>
      <c r="B10" s="3" t="s">
        <v>28</v>
      </c>
      <c r="C10" s="3" t="s">
        <v>29</v>
      </c>
      <c r="D10" s="3" t="s">
        <v>30</v>
      </c>
      <c r="E10" s="5">
        <v>100</v>
      </c>
      <c r="F10" s="5">
        <f>IF(待补成本!F6="","",待补成本!F6)</f>
        <v>31</v>
      </c>
      <c r="G10" s="3" t="str">
        <f>IF(待补成本!G6="","",待补成本!G6)</f>
        <v/>
      </c>
      <c r="H10" s="3" t="str">
        <f>IF(待补成本!H6="","",待补成本!H6)</f>
        <v/>
      </c>
      <c r="I10" s="5" t="str">
        <f t="shared" si="0"/>
        <v/>
      </c>
      <c r="J10" s="3" t="s">
        <v>27</v>
      </c>
    </row>
    <row r="11" spans="1:10">
      <c r="A11" s="3" t="s">
        <v>15</v>
      </c>
      <c r="B11" s="3" t="s">
        <v>31</v>
      </c>
      <c r="C11" s="3"/>
      <c r="D11" s="3" t="s">
        <v>32</v>
      </c>
      <c r="E11" s="5">
        <v>100</v>
      </c>
      <c r="F11" s="5">
        <v>0</v>
      </c>
      <c r="G11" s="3" t="s">
        <v>18</v>
      </c>
      <c r="H11" s="3"/>
      <c r="I11" s="5" t="str">
        <f t="shared" si="0"/>
        <v/>
      </c>
      <c r="J11" s="3" t="s">
        <v>19</v>
      </c>
    </row>
    <row r="12" spans="1:10">
      <c r="A12" s="3" t="s">
        <v>15</v>
      </c>
      <c r="B12" s="3" t="s">
        <v>33</v>
      </c>
      <c r="C12" s="3"/>
      <c r="D12" s="3" t="s">
        <v>32</v>
      </c>
      <c r="E12" s="5">
        <v>130</v>
      </c>
      <c r="F12" s="5">
        <v>0</v>
      </c>
      <c r="G12" s="3" t="s">
        <v>18</v>
      </c>
      <c r="H12" s="3"/>
      <c r="I12" s="5" t="str">
        <f t="shared" si="0"/>
        <v/>
      </c>
      <c r="J12" s="3" t="s">
        <v>19</v>
      </c>
    </row>
    <row r="13" spans="1:10">
      <c r="A13" s="3" t="s">
        <v>34</v>
      </c>
      <c r="B13" s="3" t="s">
        <v>35</v>
      </c>
      <c r="C13" s="3"/>
      <c r="D13" s="3" t="s">
        <v>36</v>
      </c>
      <c r="E13" s="5">
        <v>99</v>
      </c>
      <c r="F13" s="5">
        <v>0</v>
      </c>
      <c r="G13" s="3" t="s">
        <v>18</v>
      </c>
      <c r="H13" s="3"/>
      <c r="I13" s="5" t="str">
        <f t="shared" si="0"/>
        <v/>
      </c>
      <c r="J13" s="3" t="s">
        <v>19</v>
      </c>
    </row>
    <row r="14" spans="1:10">
      <c r="A14" s="3" t="s">
        <v>34</v>
      </c>
      <c r="B14" s="3" t="s">
        <v>37</v>
      </c>
      <c r="C14" s="3"/>
      <c r="D14" s="3" t="s">
        <v>38</v>
      </c>
      <c r="E14" s="5">
        <v>59</v>
      </c>
      <c r="F14" s="5">
        <v>0</v>
      </c>
      <c r="G14" s="3" t="s">
        <v>18</v>
      </c>
      <c r="H14" s="3"/>
      <c r="I14" s="5" t="str">
        <f t="shared" si="0"/>
        <v/>
      </c>
      <c r="J14" s="3" t="s">
        <v>19</v>
      </c>
    </row>
    <row r="15" spans="1:10">
      <c r="A15" s="3" t="s">
        <v>34</v>
      </c>
      <c r="B15" s="3" t="s">
        <v>39</v>
      </c>
      <c r="C15" s="3" t="s">
        <v>40</v>
      </c>
      <c r="D15" s="3" t="s">
        <v>40</v>
      </c>
      <c r="E15" s="5">
        <v>159</v>
      </c>
      <c r="F15" s="5">
        <f>IF(待补成本!F7="","",待补成本!F7)</f>
        <v>8</v>
      </c>
      <c r="G15" s="3" t="str">
        <f>IF(待补成本!G7="","",待补成本!G7)</f>
        <v/>
      </c>
      <c r="H15" s="3" t="str">
        <f>IF(待补成本!H7="","",待补成本!H7)</f>
        <v/>
      </c>
      <c r="I15" s="5" t="str">
        <f t="shared" si="0"/>
        <v/>
      </c>
      <c r="J15" s="3" t="s">
        <v>27</v>
      </c>
    </row>
    <row r="16" spans="1:10">
      <c r="A16" s="3" t="s">
        <v>34</v>
      </c>
      <c r="B16" s="3" t="s">
        <v>37</v>
      </c>
      <c r="C16" s="3"/>
      <c r="D16" s="3" t="s">
        <v>41</v>
      </c>
      <c r="E16" s="5">
        <v>410</v>
      </c>
      <c r="F16" s="5">
        <f>IF(待补成本!F8="","",待补成本!F8)</f>
        <v>50</v>
      </c>
      <c r="G16" s="3" t="str">
        <f>IF(待补成本!G8="","",待补成本!G8)</f>
        <v/>
      </c>
      <c r="H16" s="3" t="str">
        <f>IF(待补成本!H8="","",待补成本!H8)</f>
        <v/>
      </c>
      <c r="I16" s="5" t="str">
        <f t="shared" si="0"/>
        <v/>
      </c>
      <c r="J16" s="3" t="s">
        <v>27</v>
      </c>
    </row>
    <row r="17" spans="1:10">
      <c r="A17" s="3" t="s">
        <v>42</v>
      </c>
      <c r="B17" s="3" t="s">
        <v>43</v>
      </c>
      <c r="C17" s="3" t="s">
        <v>44</v>
      </c>
      <c r="D17" s="3" t="s">
        <v>45</v>
      </c>
      <c r="E17" s="5">
        <v>410</v>
      </c>
      <c r="F17" s="5">
        <v>156</v>
      </c>
      <c r="G17" s="3" t="s">
        <v>18</v>
      </c>
      <c r="H17" s="3" t="s">
        <v>23</v>
      </c>
      <c r="I17" s="5">
        <f t="shared" si="0"/>
        <v>156</v>
      </c>
      <c r="J17" s="3" t="s">
        <v>46</v>
      </c>
    </row>
    <row r="18" spans="1:10">
      <c r="A18" s="3" t="s">
        <v>42</v>
      </c>
      <c r="B18" s="3" t="s">
        <v>35</v>
      </c>
      <c r="C18" s="3"/>
      <c r="D18" s="3" t="s">
        <v>47</v>
      </c>
      <c r="E18" s="5">
        <v>60</v>
      </c>
      <c r="F18" s="5">
        <f>IF(待补成本!F9="","",待补成本!F9)</f>
        <v>0</v>
      </c>
      <c r="G18" s="3" t="str">
        <f>IF(待补成本!G9="","",待补成本!G9)</f>
        <v/>
      </c>
      <c r="H18" s="3" t="str">
        <f>IF(待补成本!H9="","",待补成本!H9)</f>
        <v/>
      </c>
      <c r="I18" s="5" t="str">
        <f t="shared" si="0"/>
        <v/>
      </c>
      <c r="J18" s="3" t="s">
        <v>27</v>
      </c>
    </row>
    <row r="19" spans="1:10">
      <c r="A19" s="3" t="s">
        <v>42</v>
      </c>
      <c r="B19" s="3" t="s">
        <v>48</v>
      </c>
      <c r="C19" s="3" t="s">
        <v>49</v>
      </c>
      <c r="D19" s="3" t="s">
        <v>50</v>
      </c>
      <c r="E19" s="5">
        <v>289</v>
      </c>
      <c r="F19" s="5" t="str">
        <f>IF(待补成本!F10="","",待补成本!F10)</f>
        <v>430 CNY</v>
      </c>
      <c r="G19" s="3" t="str">
        <f>IF(待补成本!G10="","",待补成本!G10)</f>
        <v/>
      </c>
      <c r="H19" s="3" t="str">
        <f>IF(待补成本!H10="","",待补成本!H10)</f>
        <v/>
      </c>
      <c r="I19" s="5" t="str">
        <f t="shared" si="0"/>
        <v/>
      </c>
      <c r="J19" s="3" t="s">
        <v>27</v>
      </c>
    </row>
    <row r="20" spans="1:10">
      <c r="A20" s="3" t="s">
        <v>42</v>
      </c>
      <c r="B20" s="3" t="s">
        <v>51</v>
      </c>
      <c r="C20" s="3" t="s">
        <v>52</v>
      </c>
      <c r="D20" s="3" t="s">
        <v>53</v>
      </c>
      <c r="E20" s="5">
        <v>149</v>
      </c>
      <c r="F20" s="5" t="str">
        <f>IF(待补成本!F11="","",待补成本!F11)</f>
        <v>119 CNY</v>
      </c>
      <c r="G20" s="3" t="str">
        <f>IF(待补成本!G11="","",待补成本!G11)</f>
        <v/>
      </c>
      <c r="H20" s="3" t="str">
        <f>IF(待补成本!H11="","",待补成本!H11)</f>
        <v/>
      </c>
      <c r="I20" s="5" t="str">
        <f t="shared" si="0"/>
        <v/>
      </c>
      <c r="J20" s="3" t="s">
        <v>27</v>
      </c>
    </row>
    <row r="21" spans="1:10">
      <c r="A21" s="3" t="s">
        <v>42</v>
      </c>
      <c r="B21" s="3" t="s">
        <v>54</v>
      </c>
      <c r="C21" s="3" t="s">
        <v>52</v>
      </c>
      <c r="D21" s="3" t="s">
        <v>55</v>
      </c>
      <c r="E21" s="5">
        <v>149</v>
      </c>
      <c r="F21" s="5">
        <f>IF(待补成本!F12="","",待补成本!F12)</f>
        <v>20</v>
      </c>
      <c r="G21" s="3" t="str">
        <f>IF(待补成本!G12="","",待补成本!G12)</f>
        <v/>
      </c>
      <c r="H21" s="3" t="str">
        <f>IF(待补成本!H12="","",待补成本!H12)</f>
        <v/>
      </c>
      <c r="I21" s="5" t="str">
        <f t="shared" si="0"/>
        <v/>
      </c>
      <c r="J21" s="3" t="s">
        <v>27</v>
      </c>
    </row>
    <row r="22" spans="1:10">
      <c r="A22" s="3" t="s">
        <v>56</v>
      </c>
      <c r="B22" s="3" t="s">
        <v>57</v>
      </c>
      <c r="C22" s="3"/>
      <c r="D22" s="3" t="s">
        <v>32</v>
      </c>
      <c r="E22" s="5">
        <v>69</v>
      </c>
      <c r="F22" s="5">
        <v>0</v>
      </c>
      <c r="G22" s="3" t="s">
        <v>18</v>
      </c>
      <c r="H22" s="3"/>
      <c r="I22" s="5" t="str">
        <f t="shared" si="0"/>
        <v/>
      </c>
      <c r="J22" s="3" t="s">
        <v>19</v>
      </c>
    </row>
    <row r="23" spans="1:10">
      <c r="A23" s="3" t="s">
        <v>58</v>
      </c>
      <c r="B23" s="3" t="s">
        <v>59</v>
      </c>
      <c r="C23" s="3"/>
      <c r="D23" s="3" t="s">
        <v>60</v>
      </c>
      <c r="E23" s="5">
        <v>99</v>
      </c>
      <c r="F23" s="5">
        <v>0</v>
      </c>
      <c r="G23" s="3" t="s">
        <v>18</v>
      </c>
      <c r="H23" s="3"/>
      <c r="I23" s="5" t="str">
        <f t="shared" si="0"/>
        <v/>
      </c>
      <c r="J23" s="3" t="s">
        <v>19</v>
      </c>
    </row>
    <row r="24" spans="1:10">
      <c r="A24" s="3" t="s">
        <v>61</v>
      </c>
      <c r="B24" s="3" t="s">
        <v>62</v>
      </c>
      <c r="C24" s="3"/>
      <c r="D24" s="3" t="s">
        <v>32</v>
      </c>
      <c r="E24" s="5">
        <v>59</v>
      </c>
      <c r="F24" s="5">
        <v>0</v>
      </c>
      <c r="G24" s="3" t="s">
        <v>18</v>
      </c>
      <c r="H24" s="3"/>
      <c r="I24" s="5" t="str">
        <f t="shared" si="0"/>
        <v/>
      </c>
      <c r="J24" s="3" t="s">
        <v>19</v>
      </c>
    </row>
    <row r="25" spans="1:10">
      <c r="A25" s="3" t="s">
        <v>61</v>
      </c>
      <c r="B25" s="3" t="s">
        <v>62</v>
      </c>
      <c r="C25" s="3"/>
      <c r="D25" s="3" t="s">
        <v>38</v>
      </c>
      <c r="E25" s="5">
        <v>60</v>
      </c>
      <c r="F25" s="5">
        <v>0</v>
      </c>
      <c r="G25" s="3" t="s">
        <v>18</v>
      </c>
      <c r="H25" s="3"/>
      <c r="I25" s="5" t="str">
        <f t="shared" si="0"/>
        <v/>
      </c>
      <c r="J25" s="3" t="s">
        <v>19</v>
      </c>
    </row>
    <row r="26" spans="1:10">
      <c r="A26" s="3" t="s">
        <v>61</v>
      </c>
      <c r="B26" s="3" t="s">
        <v>63</v>
      </c>
      <c r="C26" s="3" t="s">
        <v>64</v>
      </c>
      <c r="D26" s="3" t="s">
        <v>65</v>
      </c>
      <c r="E26" s="5">
        <v>129</v>
      </c>
      <c r="F26" s="5">
        <f>IF(待补成本!F13="","",待补成本!F13)</f>
        <v>20</v>
      </c>
      <c r="G26" s="3" t="str">
        <f>IF(待补成本!G13="","",待补成本!G13)</f>
        <v/>
      </c>
      <c r="H26" s="3" t="str">
        <f>IF(待补成本!H13="","",待补成本!H13)</f>
        <v/>
      </c>
      <c r="I26" s="5" t="str">
        <f t="shared" si="0"/>
        <v/>
      </c>
      <c r="J26" s="3" t="s">
        <v>27</v>
      </c>
    </row>
    <row r="27" spans="1:10">
      <c r="A27" s="3" t="s">
        <v>61</v>
      </c>
      <c r="B27" s="3" t="s">
        <v>66</v>
      </c>
      <c r="C27" s="3" t="s">
        <v>64</v>
      </c>
      <c r="D27" s="3" t="s">
        <v>67</v>
      </c>
      <c r="E27" s="5">
        <v>149</v>
      </c>
      <c r="F27" s="5">
        <v>45</v>
      </c>
      <c r="G27" s="3" t="s">
        <v>68</v>
      </c>
      <c r="H27" s="3" t="s">
        <v>23</v>
      </c>
      <c r="I27" s="5">
        <f t="shared" si="0"/>
        <v>9.5744680851063819</v>
      </c>
      <c r="J27" s="3" t="s">
        <v>69</v>
      </c>
    </row>
    <row r="28" spans="1:10">
      <c r="A28" s="3" t="s">
        <v>70</v>
      </c>
      <c r="B28" s="3" t="s">
        <v>71</v>
      </c>
      <c r="C28" s="3" t="s">
        <v>72</v>
      </c>
      <c r="D28" s="3" t="s">
        <v>73</v>
      </c>
      <c r="E28" s="5">
        <v>129</v>
      </c>
      <c r="F28" s="5">
        <v>18</v>
      </c>
      <c r="G28" s="3" t="s">
        <v>18</v>
      </c>
      <c r="H28" s="3" t="s">
        <v>23</v>
      </c>
      <c r="I28" s="5">
        <f t="shared" si="0"/>
        <v>18</v>
      </c>
      <c r="J28" s="3" t="s">
        <v>74</v>
      </c>
    </row>
    <row r="29" spans="1:10">
      <c r="A29" s="3" t="s">
        <v>75</v>
      </c>
      <c r="B29" s="3" t="s">
        <v>76</v>
      </c>
      <c r="C29" s="3"/>
      <c r="D29" s="3" t="s">
        <v>32</v>
      </c>
      <c r="E29" s="5">
        <v>59</v>
      </c>
      <c r="F29" s="5">
        <v>0</v>
      </c>
      <c r="G29" s="3" t="s">
        <v>18</v>
      </c>
      <c r="H29" s="3"/>
      <c r="I29" s="5" t="str">
        <f t="shared" si="0"/>
        <v/>
      </c>
      <c r="J29" s="3" t="s">
        <v>19</v>
      </c>
    </row>
    <row r="30" spans="1:10">
      <c r="A30" s="3" t="s">
        <v>75</v>
      </c>
      <c r="B30" s="3" t="s">
        <v>76</v>
      </c>
      <c r="C30" s="3"/>
      <c r="D30" s="3" t="s">
        <v>77</v>
      </c>
      <c r="E30" s="5">
        <v>30</v>
      </c>
      <c r="F30" s="5">
        <v>35</v>
      </c>
      <c r="G30" s="3" t="s">
        <v>68</v>
      </c>
      <c r="H30" s="3" t="s">
        <v>23</v>
      </c>
      <c r="I30" s="5">
        <f t="shared" si="0"/>
        <v>7.4468085106382977</v>
      </c>
      <c r="J30" s="3" t="s">
        <v>78</v>
      </c>
    </row>
    <row r="31" spans="1:10">
      <c r="A31" s="3" t="s">
        <v>79</v>
      </c>
      <c r="B31" s="3" t="s">
        <v>80</v>
      </c>
      <c r="C31" s="3"/>
      <c r="D31" s="3" t="s">
        <v>32</v>
      </c>
      <c r="E31" s="5">
        <v>59</v>
      </c>
      <c r="F31" s="5">
        <v>0</v>
      </c>
      <c r="G31" s="3" t="s">
        <v>18</v>
      </c>
      <c r="H31" s="3"/>
      <c r="I31" s="5" t="str">
        <f t="shared" si="0"/>
        <v/>
      </c>
      <c r="J31" s="3" t="s">
        <v>19</v>
      </c>
    </row>
    <row r="32" spans="1:10">
      <c r="A32" s="3" t="s">
        <v>79</v>
      </c>
      <c r="B32" s="3" t="s">
        <v>80</v>
      </c>
      <c r="C32" s="3"/>
      <c r="D32" s="3" t="s">
        <v>81</v>
      </c>
      <c r="E32" s="5">
        <v>120.14</v>
      </c>
      <c r="F32" s="5" t="str">
        <f>IF(待补成本!F14="","",待补成本!F14)</f>
        <v>217 CNY</v>
      </c>
      <c r="G32" s="3" t="str">
        <f>IF(待补成本!G14="","",待补成本!G14)</f>
        <v/>
      </c>
      <c r="H32" s="3" t="str">
        <f>IF(待补成本!H14="","",待补成本!H14)</f>
        <v/>
      </c>
      <c r="I32" s="5" t="str">
        <f t="shared" si="0"/>
        <v/>
      </c>
      <c r="J32" s="3" t="s">
        <v>27</v>
      </c>
    </row>
    <row r="33" spans="1:10">
      <c r="A33" s="3" t="s">
        <v>79</v>
      </c>
      <c r="B33" s="3" t="s">
        <v>80</v>
      </c>
      <c r="C33" s="3"/>
      <c r="D33" s="3" t="s">
        <v>82</v>
      </c>
      <c r="E33" s="5">
        <v>136.74</v>
      </c>
      <c r="F33" s="5">
        <f>IF(待补成本!F15="","",待补成本!F15)</f>
        <v>20</v>
      </c>
      <c r="G33" s="3" t="str">
        <f>IF(待补成本!G15="","",待补成本!G15)</f>
        <v/>
      </c>
      <c r="H33" s="3" t="str">
        <f>IF(待补成本!H15="","",待补成本!H15)</f>
        <v/>
      </c>
      <c r="I33" s="5" t="str">
        <f t="shared" si="0"/>
        <v/>
      </c>
      <c r="J33" s="3" t="s">
        <v>27</v>
      </c>
    </row>
    <row r="34" spans="1:10">
      <c r="A34" s="3" t="s">
        <v>83</v>
      </c>
      <c r="B34" s="3" t="s">
        <v>57</v>
      </c>
      <c r="C34" s="3"/>
      <c r="D34" s="3" t="s">
        <v>84</v>
      </c>
      <c r="E34" s="5">
        <v>130</v>
      </c>
      <c r="F34" s="5">
        <v>60</v>
      </c>
      <c r="G34" s="3" t="s">
        <v>18</v>
      </c>
      <c r="H34" s="3"/>
      <c r="I34" s="5" t="str">
        <f t="shared" si="0"/>
        <v/>
      </c>
      <c r="J34" s="3" t="s">
        <v>19</v>
      </c>
    </row>
    <row r="35" spans="1:10">
      <c r="A35" s="3" t="s">
        <v>83</v>
      </c>
      <c r="B35" s="3" t="s">
        <v>85</v>
      </c>
      <c r="C35" s="3"/>
      <c r="D35" s="3" t="s">
        <v>38</v>
      </c>
      <c r="E35" s="5">
        <v>59</v>
      </c>
      <c r="F35" s="5">
        <v>0</v>
      </c>
      <c r="G35" s="3" t="s">
        <v>18</v>
      </c>
      <c r="H35" s="3"/>
      <c r="I35" s="5" t="str">
        <f t="shared" si="0"/>
        <v/>
      </c>
      <c r="J35" s="3" t="s">
        <v>19</v>
      </c>
    </row>
    <row r="36" spans="1:10">
      <c r="A36" s="3" t="s">
        <v>83</v>
      </c>
      <c r="B36" s="3" t="s">
        <v>85</v>
      </c>
      <c r="C36" s="3"/>
      <c r="D36" s="3" t="s">
        <v>86</v>
      </c>
      <c r="E36" s="5">
        <v>12</v>
      </c>
      <c r="F36" s="5">
        <v>12</v>
      </c>
      <c r="G36" s="3" t="s">
        <v>18</v>
      </c>
      <c r="H36" s="3"/>
      <c r="I36" s="5" t="str">
        <f t="shared" si="0"/>
        <v/>
      </c>
      <c r="J36" s="3" t="s">
        <v>19</v>
      </c>
    </row>
    <row r="37" spans="1:10">
      <c r="A37" s="3" t="s">
        <v>83</v>
      </c>
      <c r="B37" s="3" t="s">
        <v>85</v>
      </c>
      <c r="C37" s="3"/>
      <c r="D37" s="3" t="s">
        <v>87</v>
      </c>
      <c r="E37" s="5">
        <v>89</v>
      </c>
      <c r="F37" s="5">
        <v>12</v>
      </c>
      <c r="G37" s="3" t="s">
        <v>18</v>
      </c>
      <c r="H37" s="3"/>
      <c r="I37" s="5" t="str">
        <f t="shared" si="0"/>
        <v/>
      </c>
      <c r="J37" s="3" t="s">
        <v>19</v>
      </c>
    </row>
    <row r="38" spans="1:10">
      <c r="A38" s="3" t="s">
        <v>88</v>
      </c>
      <c r="B38" s="3" t="s">
        <v>89</v>
      </c>
      <c r="C38" s="3" t="s">
        <v>52</v>
      </c>
      <c r="D38" s="3" t="s">
        <v>53</v>
      </c>
      <c r="E38" s="5">
        <v>149</v>
      </c>
      <c r="F38" s="5">
        <v>20</v>
      </c>
      <c r="G38" s="3" t="s">
        <v>18</v>
      </c>
      <c r="H38" s="3"/>
      <c r="I38" s="5" t="str">
        <f t="shared" si="0"/>
        <v/>
      </c>
      <c r="J38" s="3" t="s">
        <v>19</v>
      </c>
    </row>
    <row r="39" spans="1:10">
      <c r="A39" s="3" t="s">
        <v>90</v>
      </c>
      <c r="B39" s="3" t="s">
        <v>91</v>
      </c>
      <c r="C39" s="3" t="s">
        <v>92</v>
      </c>
      <c r="D39" s="3" t="s">
        <v>93</v>
      </c>
      <c r="E39" s="5">
        <v>299</v>
      </c>
      <c r="F39" s="5">
        <v>290</v>
      </c>
      <c r="G39" s="3" t="s">
        <v>68</v>
      </c>
      <c r="H39" s="3"/>
      <c r="I39" s="5">
        <f t="shared" si="0"/>
        <v>61.702127659574465</v>
      </c>
      <c r="J39" s="3" t="s">
        <v>19</v>
      </c>
    </row>
    <row r="40" spans="1:10">
      <c r="A40" s="3" t="s">
        <v>90</v>
      </c>
      <c r="B40" s="3" t="s">
        <v>94</v>
      </c>
      <c r="C40" s="3"/>
      <c r="D40" s="3" t="s">
        <v>95</v>
      </c>
      <c r="E40" s="5">
        <v>30</v>
      </c>
      <c r="F40" s="5">
        <v>0</v>
      </c>
      <c r="G40" s="3" t="s">
        <v>18</v>
      </c>
      <c r="H40" s="3"/>
      <c r="I40" s="5" t="str">
        <f t="shared" si="0"/>
        <v/>
      </c>
      <c r="J40" s="3" t="s">
        <v>19</v>
      </c>
    </row>
    <row r="41" spans="1:10">
      <c r="A41" s="3" t="s">
        <v>96</v>
      </c>
      <c r="B41" s="3" t="s">
        <v>97</v>
      </c>
      <c r="C41" s="3"/>
      <c r="D41" s="3" t="s">
        <v>36</v>
      </c>
      <c r="E41" s="5">
        <v>99</v>
      </c>
      <c r="F41" s="5">
        <v>0</v>
      </c>
      <c r="G41" s="3" t="s">
        <v>18</v>
      </c>
      <c r="H41" s="3"/>
      <c r="I41" s="5" t="str">
        <f t="shared" si="0"/>
        <v/>
      </c>
      <c r="J41" s="3" t="s">
        <v>19</v>
      </c>
    </row>
    <row r="42" spans="1:10">
      <c r="A42" s="3" t="s">
        <v>98</v>
      </c>
      <c r="B42" s="3" t="s">
        <v>99</v>
      </c>
      <c r="C42" s="3" t="s">
        <v>64</v>
      </c>
      <c r="D42" s="3" t="s">
        <v>100</v>
      </c>
      <c r="E42" s="5">
        <v>129</v>
      </c>
      <c r="F42" s="5">
        <v>10</v>
      </c>
      <c r="G42" s="3" t="s">
        <v>18</v>
      </c>
      <c r="H42" s="3"/>
      <c r="I42" s="5" t="str">
        <f t="shared" si="0"/>
        <v/>
      </c>
      <c r="J42" s="3" t="s">
        <v>19</v>
      </c>
    </row>
    <row r="43" spans="1:10">
      <c r="A43" s="3" t="s">
        <v>98</v>
      </c>
      <c r="B43" s="3" t="s">
        <v>101</v>
      </c>
      <c r="C43" s="3" t="s">
        <v>102</v>
      </c>
      <c r="D43" s="3" t="s">
        <v>103</v>
      </c>
      <c r="E43" s="5">
        <v>99</v>
      </c>
      <c r="F43" s="5">
        <v>30</v>
      </c>
      <c r="G43" s="3" t="s">
        <v>68</v>
      </c>
      <c r="H43" s="3"/>
      <c r="I43" s="5">
        <f t="shared" si="0"/>
        <v>6.3829787234042552</v>
      </c>
      <c r="J43" s="3" t="s">
        <v>19</v>
      </c>
    </row>
    <row r="44" spans="1:10">
      <c r="A44" s="3" t="s">
        <v>104</v>
      </c>
      <c r="B44" s="3" t="s">
        <v>105</v>
      </c>
      <c r="C44" s="3"/>
      <c r="D44" s="3" t="s">
        <v>106</v>
      </c>
      <c r="E44" s="5">
        <v>79</v>
      </c>
      <c r="F44" s="5">
        <v>0</v>
      </c>
      <c r="G44" s="3" t="s">
        <v>18</v>
      </c>
      <c r="H44" s="3"/>
      <c r="I44" s="5" t="str">
        <f t="shared" si="0"/>
        <v/>
      </c>
      <c r="J44" s="3" t="s">
        <v>19</v>
      </c>
    </row>
    <row r="45" spans="1:10">
      <c r="A45" s="3" t="s">
        <v>107</v>
      </c>
      <c r="B45" s="3" t="s">
        <v>108</v>
      </c>
      <c r="C45" s="3" t="s">
        <v>109</v>
      </c>
      <c r="D45" s="3" t="s">
        <v>110</v>
      </c>
      <c r="E45" s="5">
        <v>149</v>
      </c>
      <c r="F45" s="5">
        <v>25</v>
      </c>
      <c r="G45" s="3" t="s">
        <v>18</v>
      </c>
      <c r="H45" s="3"/>
      <c r="I45" s="5" t="str">
        <f t="shared" si="0"/>
        <v/>
      </c>
      <c r="J45" s="3" t="s">
        <v>19</v>
      </c>
    </row>
    <row r="46" spans="1:10">
      <c r="A46" s="3" t="s">
        <v>107</v>
      </c>
      <c r="B46" s="3" t="s">
        <v>111</v>
      </c>
      <c r="C46" s="3" t="s">
        <v>112</v>
      </c>
      <c r="D46" s="3" t="s">
        <v>113</v>
      </c>
      <c r="E46" s="5">
        <v>199</v>
      </c>
      <c r="F46" s="5">
        <v>182</v>
      </c>
      <c r="G46" s="3" t="s">
        <v>68</v>
      </c>
      <c r="H46" s="3"/>
      <c r="I46" s="5">
        <f t="shared" si="0"/>
        <v>38.723404255319146</v>
      </c>
      <c r="J46" s="3" t="s">
        <v>19</v>
      </c>
    </row>
    <row r="47" spans="1:10">
      <c r="A47" s="3" t="s">
        <v>107</v>
      </c>
      <c r="B47" s="3" t="s">
        <v>114</v>
      </c>
      <c r="C47" s="3" t="s">
        <v>112</v>
      </c>
      <c r="D47" s="3" t="s">
        <v>115</v>
      </c>
      <c r="E47" s="5">
        <v>199</v>
      </c>
      <c r="F47" s="5">
        <v>25</v>
      </c>
      <c r="G47" s="3" t="s">
        <v>18</v>
      </c>
      <c r="H47" s="3"/>
      <c r="I47" s="5" t="str">
        <f t="shared" si="0"/>
        <v/>
      </c>
      <c r="J47" s="3" t="s">
        <v>19</v>
      </c>
    </row>
    <row r="48" spans="1:10">
      <c r="A48" s="3" t="s">
        <v>116</v>
      </c>
      <c r="B48" s="3" t="s">
        <v>117</v>
      </c>
      <c r="C48" s="3" t="s">
        <v>92</v>
      </c>
      <c r="D48" s="3" t="s">
        <v>118</v>
      </c>
      <c r="E48" s="5">
        <v>199</v>
      </c>
      <c r="F48" s="5">
        <v>172</v>
      </c>
      <c r="G48" s="3" t="s">
        <v>68</v>
      </c>
      <c r="H48" s="3"/>
      <c r="I48" s="5">
        <f t="shared" si="0"/>
        <v>36.595744680851062</v>
      </c>
      <c r="J48" s="3" t="s">
        <v>19</v>
      </c>
    </row>
    <row r="49" spans="1:10">
      <c r="A49" s="3" t="s">
        <v>116</v>
      </c>
      <c r="B49" s="3" t="s">
        <v>119</v>
      </c>
      <c r="C49" s="3"/>
      <c r="D49" s="3" t="s">
        <v>38</v>
      </c>
      <c r="E49" s="5">
        <v>59</v>
      </c>
      <c r="F49" s="5">
        <v>0</v>
      </c>
      <c r="G49" s="3" t="s">
        <v>18</v>
      </c>
      <c r="H49" s="3"/>
      <c r="I49" s="5" t="str">
        <f t="shared" si="0"/>
        <v/>
      </c>
      <c r="J49" s="3" t="s">
        <v>19</v>
      </c>
    </row>
  </sheetData>
  <mergeCells count="2">
    <mergeCell ref="A1:J1"/>
    <mergeCell ref="A2:J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706"/>
  </sheetPr>
  <dimension ref="A1:H15"/>
  <sheetViews>
    <sheetView showGridLines="0" tabSelected="1" workbookViewId="0">
      <pane ySplit="4" topLeftCell="A5" activePane="bottomLeft" state="frozen"/>
      <selection pane="bottomLeft" activeCell="F20" sqref="F20"/>
    </sheetView>
  </sheetViews>
  <sheetFormatPr defaultRowHeight="14.25"/>
  <cols>
    <col min="1" max="1" width="14" customWidth="1"/>
    <col min="2" max="2" width="25" customWidth="1"/>
    <col min="3" max="3" width="38" customWidth="1"/>
    <col min="4" max="4" width="74" customWidth="1"/>
    <col min="5" max="5" width="20" customWidth="1"/>
    <col min="6" max="6" width="22" customWidth="1"/>
    <col min="7" max="8" width="18" customWidth="1"/>
  </cols>
  <sheetData>
    <row r="1" spans="1:8" ht="33.950000000000003" customHeight="1">
      <c r="A1" s="7" t="s">
        <v>120</v>
      </c>
      <c r="B1" s="7"/>
      <c r="C1" s="7"/>
      <c r="D1" s="7"/>
      <c r="E1" s="7"/>
      <c r="F1" s="7"/>
      <c r="G1" s="7"/>
      <c r="H1" s="7"/>
    </row>
    <row r="2" spans="1:8">
      <c r="A2" s="8" t="s">
        <v>121</v>
      </c>
      <c r="B2" s="8"/>
      <c r="C2" s="8"/>
      <c r="D2" s="8"/>
      <c r="E2" s="8"/>
      <c r="F2" s="8"/>
      <c r="G2" s="8"/>
      <c r="H2" s="8"/>
    </row>
    <row r="4" spans="1:8" ht="1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>
      <c r="A5" s="3" t="s">
        <v>15</v>
      </c>
      <c r="B5" s="3" t="s">
        <v>25</v>
      </c>
      <c r="C5" s="3" t="s">
        <v>21</v>
      </c>
      <c r="D5" s="3" t="s">
        <v>26</v>
      </c>
      <c r="E5" s="5">
        <v>179</v>
      </c>
      <c r="F5" s="6">
        <v>12</v>
      </c>
      <c r="G5" s="4"/>
      <c r="H5" s="4"/>
    </row>
    <row r="6" spans="1:8">
      <c r="A6" s="3" t="s">
        <v>15</v>
      </c>
      <c r="B6" s="3" t="s">
        <v>28</v>
      </c>
      <c r="C6" s="3" t="s">
        <v>29</v>
      </c>
      <c r="D6" s="3" t="s">
        <v>30</v>
      </c>
      <c r="E6" s="5">
        <v>100</v>
      </c>
      <c r="F6" s="6">
        <v>31</v>
      </c>
      <c r="G6" s="4"/>
      <c r="H6" s="4"/>
    </row>
    <row r="7" spans="1:8">
      <c r="A7" s="3" t="s">
        <v>34</v>
      </c>
      <c r="B7" s="3" t="s">
        <v>39</v>
      </c>
      <c r="C7" s="3" t="s">
        <v>40</v>
      </c>
      <c r="D7" s="3" t="s">
        <v>40</v>
      </c>
      <c r="E7" s="5">
        <v>159</v>
      </c>
      <c r="F7" s="6">
        <v>8</v>
      </c>
      <c r="G7" s="4"/>
      <c r="H7" s="4"/>
    </row>
    <row r="8" spans="1:8">
      <c r="A8" s="3" t="s">
        <v>34</v>
      </c>
      <c r="B8" s="3" t="s">
        <v>37</v>
      </c>
      <c r="C8" s="3"/>
      <c r="D8" s="3" t="s">
        <v>41</v>
      </c>
      <c r="E8" s="5">
        <v>410</v>
      </c>
      <c r="F8" s="6">
        <v>50</v>
      </c>
      <c r="G8" s="4"/>
      <c r="H8" s="4"/>
    </row>
    <row r="9" spans="1:8">
      <c r="A9" s="3" t="s">
        <v>42</v>
      </c>
      <c r="B9" s="3" t="s">
        <v>35</v>
      </c>
      <c r="C9" s="3"/>
      <c r="D9" s="3" t="s">
        <v>47</v>
      </c>
      <c r="E9" s="5">
        <v>60</v>
      </c>
      <c r="F9" s="6">
        <v>0</v>
      </c>
      <c r="G9" s="4"/>
      <c r="H9" s="4"/>
    </row>
    <row r="10" spans="1:8">
      <c r="A10" s="3" t="s">
        <v>42</v>
      </c>
      <c r="B10" s="3" t="s">
        <v>48</v>
      </c>
      <c r="C10" s="3" t="s">
        <v>49</v>
      </c>
      <c r="D10" s="3" t="s">
        <v>50</v>
      </c>
      <c r="E10" s="5">
        <v>289</v>
      </c>
      <c r="F10" s="6" t="s">
        <v>122</v>
      </c>
      <c r="G10" s="4"/>
      <c r="H10" s="4"/>
    </row>
    <row r="11" spans="1:8">
      <c r="A11" s="3" t="s">
        <v>42</v>
      </c>
      <c r="B11" s="3" t="s">
        <v>51</v>
      </c>
      <c r="C11" s="3" t="s">
        <v>52</v>
      </c>
      <c r="D11" s="3" t="s">
        <v>53</v>
      </c>
      <c r="E11" s="5">
        <v>149</v>
      </c>
      <c r="F11" s="6" t="s">
        <v>123</v>
      </c>
      <c r="G11" s="4"/>
      <c r="H11" s="4"/>
    </row>
    <row r="12" spans="1:8">
      <c r="A12" s="3" t="s">
        <v>42</v>
      </c>
      <c r="B12" s="3" t="s">
        <v>54</v>
      </c>
      <c r="C12" s="3" t="s">
        <v>52</v>
      </c>
      <c r="D12" s="3" t="s">
        <v>55</v>
      </c>
      <c r="E12" s="5">
        <v>149</v>
      </c>
      <c r="F12" s="6">
        <v>20</v>
      </c>
      <c r="G12" s="4"/>
      <c r="H12" s="4"/>
    </row>
    <row r="13" spans="1:8">
      <c r="A13" s="3" t="s">
        <v>61</v>
      </c>
      <c r="B13" s="3" t="s">
        <v>63</v>
      </c>
      <c r="C13" s="3" t="s">
        <v>64</v>
      </c>
      <c r="D13" s="3" t="s">
        <v>65</v>
      </c>
      <c r="E13" s="5">
        <v>129</v>
      </c>
      <c r="F13" s="6">
        <v>20</v>
      </c>
      <c r="G13" s="4"/>
      <c r="H13" s="4"/>
    </row>
    <row r="14" spans="1:8">
      <c r="A14" s="3" t="s">
        <v>79</v>
      </c>
      <c r="B14" s="3" t="s">
        <v>80</v>
      </c>
      <c r="C14" s="3"/>
      <c r="D14" s="3" t="s">
        <v>81</v>
      </c>
      <c r="E14" s="5">
        <v>120.14</v>
      </c>
      <c r="F14" s="6" t="s">
        <v>124</v>
      </c>
      <c r="G14" s="4"/>
      <c r="H14" s="4"/>
    </row>
    <row r="15" spans="1:8">
      <c r="A15" s="3" t="s">
        <v>79</v>
      </c>
      <c r="B15" s="3" t="s">
        <v>80</v>
      </c>
      <c r="C15" s="3"/>
      <c r="D15" s="3" t="s">
        <v>82</v>
      </c>
      <c r="E15" s="5">
        <v>136.74</v>
      </c>
      <c r="F15" s="6">
        <v>20</v>
      </c>
      <c r="G15" s="4"/>
      <c r="H15" s="4"/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FF完整清单</vt:lpstr>
      <vt:lpstr>待补成本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2026-09-25T14:00:21Z</dcterms:modified>
</cp:coreProperties>
</file>