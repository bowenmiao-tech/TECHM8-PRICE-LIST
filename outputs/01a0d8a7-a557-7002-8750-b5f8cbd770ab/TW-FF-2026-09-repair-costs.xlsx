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80123380-2302-4503-86B0-AB3B6913B33F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TW" sheetId="1" r:id="rId1"/>
    <sheet name="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" i="2" l="1"/>
  <c r="E41" i="2"/>
  <c r="E40" i="2"/>
  <c r="F40" i="2" s="1"/>
  <c r="E39" i="2"/>
  <c r="F39" i="2" s="1"/>
  <c r="F38" i="2"/>
  <c r="E38" i="2"/>
  <c r="F37" i="2"/>
  <c r="E37" i="2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E23" i="2"/>
  <c r="F23" i="2" s="1"/>
  <c r="E22" i="2"/>
  <c r="F22" i="2" s="1"/>
  <c r="F21" i="2"/>
  <c r="E21" i="2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F14" i="2"/>
  <c r="E14" i="2"/>
  <c r="E13" i="2"/>
  <c r="F13" i="2" s="1"/>
  <c r="E12" i="2"/>
  <c r="F12" i="2" s="1"/>
  <c r="F11" i="2"/>
  <c r="E11" i="2"/>
  <c r="E10" i="2"/>
  <c r="F10" i="2" s="1"/>
  <c r="E9" i="2"/>
  <c r="F9" i="2" s="1"/>
  <c r="B6" i="2"/>
  <c r="E54" i="1"/>
  <c r="F54" i="1" s="1"/>
  <c r="E53" i="1"/>
  <c r="F53" i="1" s="1"/>
  <c r="F52" i="1"/>
  <c r="E52" i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F36" i="1"/>
  <c r="E36" i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B6" i="1"/>
  <c r="E5" i="1" l="1"/>
  <c r="E5" i="2"/>
</calcChain>
</file>

<file path=xl/sharedStrings.xml><?xml version="1.0" encoding="utf-8"?>
<sst xmlns="http://schemas.openxmlformats.org/spreadsheetml/2006/main" count="108" uniqueCount="87">
  <si>
    <t>TW｜2026年9月维修配件成本</t>
  </si>
  <si>
    <t>POS 销售记录：2026-09-01 至 2026-09-25；同名维修项目已合并。数量为维修销售条目数。</t>
  </si>
  <si>
    <t>填写 C 栏每次实际使用的配件成本，并在 D 栏填“含 GST”或“不含 GST”；未用配件填 0。</t>
  </si>
  <si>
    <t>维修销售条目数</t>
  </si>
  <si>
    <t>已填成本合计</t>
  </si>
  <si>
    <t>未填成本项目数</t>
  </si>
  <si>
    <t>维修项目</t>
  </si>
  <si>
    <t>数量</t>
  </si>
  <si>
    <t>单次配件成本 (AUD)</t>
  </si>
  <si>
    <t>成本 GST 口径</t>
  </si>
  <si>
    <t>单次不含 GST 成本</t>
  </si>
  <si>
    <t>配件总成本（不含 GST）</t>
  </si>
  <si>
    <t>备注</t>
  </si>
  <si>
    <t>(Hardware) Laptop/PC Inspection</t>
  </si>
  <si>
    <t>(Hardware) Phone/Tablet Inspection</t>
  </si>
  <si>
    <t>Apple iPad - iPad 5 (2017) - Touch / Digitizer Replacement</t>
  </si>
  <si>
    <t>Apple iPhone - iPhone 11 - Screen Replacement</t>
  </si>
  <si>
    <t>Apple iPhone - iPhone 11 Pro - Battery</t>
  </si>
  <si>
    <t>Apple iPhone - iPhone 11 Pro - Charging Socket</t>
  </si>
  <si>
    <t>Apple iPhone - iPhone 11 Pro Max - Screen Replacement (LCD)</t>
  </si>
  <si>
    <t>Apple iPhone - iPhone 12 - Battery</t>
  </si>
  <si>
    <t>Apple iPhone - iPhone 13 - Rear Camera</t>
  </si>
  <si>
    <t>Apple iPhone - iPhone 13 Pro - Battery</t>
  </si>
  <si>
    <t>Apple iPhone - iPhone 13 Pro Max - Battery</t>
  </si>
  <si>
    <t>Apple iPhone - iPhone 14 Plus - Battery</t>
  </si>
  <si>
    <t>Apple iPhone - iPhone 14 Plus - Screen Replacement</t>
  </si>
  <si>
    <t>Apple iPhone - iPhone 15 Pro Max - Screen Replacement (OLED)</t>
  </si>
  <si>
    <t>Apple iPhone - iPhone 17 Pro - Screen Replacement (OLED)</t>
  </si>
  <si>
    <t>Apple iPhone - iPhone SE 3 - Battery</t>
  </si>
  <si>
    <t>Apple Watch - Apple Watch SE/SE2 44mm - Battery</t>
  </si>
  <si>
    <t>Asus lcd</t>
  </si>
  <si>
    <t>Asus zenbook</t>
  </si>
  <si>
    <t>Back Glass Replacement</t>
  </si>
  <si>
    <t>Battery</t>
  </si>
  <si>
    <t>Charging port</t>
  </si>
  <si>
    <t>Charging Socket</t>
  </si>
  <si>
    <t>Cleaning PC/Laptop</t>
  </si>
  <si>
    <t>Dell</t>
  </si>
  <si>
    <t>Inspection</t>
  </si>
  <si>
    <t>Labor(Detail require)</t>
  </si>
  <si>
    <t>LCD &amp; cable</t>
  </si>
  <si>
    <t>Lenovo L390 YOGA touch screen</t>
  </si>
  <si>
    <t>Liquid metal redo</t>
  </si>
  <si>
    <t>Onsite/Remote Assistance - (Hardware) Laptop/PC Inspection - (Hardware) Laptop/PC Inspection</t>
  </si>
  <si>
    <t>Onsite/Remote Assistance - (Hardware) Phone/Tablet Inspection - (Hardware) Phone/Tablet Inspection</t>
  </si>
  <si>
    <t>Onsite/Remote Assistance - (Software) Phone/Tablet Inspection - (Software) Phone/Tablet Inspection</t>
  </si>
  <si>
    <t>Onsite/Remote Assistance - Virus Cleaning (Report can be provied) - Virus Cleaning (Report can be provied)</t>
  </si>
  <si>
    <t>Onsite/Remote Assistance - Windows/MAC OS System Install - Windows/MAC OS System Install</t>
  </si>
  <si>
    <t>OPPO Reno10 5G</t>
  </si>
  <si>
    <t>Rear Camera Lens</t>
  </si>
  <si>
    <t>Samsung A Series - Samsung A52S 5G - Charging Socket/Microphone</t>
  </si>
  <si>
    <t>Samsung A Series - Samsung A71 5G - Battery (ORIGINAL )</t>
  </si>
  <si>
    <t>Samsung S Series - Samsung S25 - Rear Camera Lens</t>
  </si>
  <si>
    <t>Samsung S Series - Samsung S25 Plus - Charging Socket/Microphone</t>
  </si>
  <si>
    <t>Screen Replacement</t>
  </si>
  <si>
    <t>Screen Replacement (LCD)</t>
  </si>
  <si>
    <t>Screen Replacement (OLED)</t>
  </si>
  <si>
    <t>Windows/MAC OS System Install</t>
  </si>
  <si>
    <t>Xbox</t>
  </si>
  <si>
    <t>FF｜2026年9月维修配件成本</t>
  </si>
  <si>
    <t>14 pro max back glass and charging port and battery</t>
  </si>
  <si>
    <t>17 pm lens</t>
  </si>
  <si>
    <t>Apple iPad - iPad 9 (2021) - Touch / Digitizer Replacement</t>
  </si>
  <si>
    <t>Apple iPhone - iPhone 12 Pro Max - Charging Socket</t>
  </si>
  <si>
    <t>Apple iPhone - iPhone 12 Pro Max - Screen Replacement (LCD)</t>
  </si>
  <si>
    <t>Apple iPhone - iPhone 14 Plus - Back Glass Replacement</t>
  </si>
  <si>
    <t>Apple iPhone - iPhone 16 Pro - Screen Replacement (LCD)</t>
  </si>
  <si>
    <t>Apple iPhone - iPhone 16 Pro - Screen Replacement (OLED)</t>
  </si>
  <si>
    <t>Apple iPhone - iPhone 16 Pro Max - Back Glass Replacement</t>
  </si>
  <si>
    <t>Apple iPhone - iPhone 16 Pro Max - Screen Replacement(LCD)</t>
  </si>
  <si>
    <t>Apple iPhone - iPhone 17 Pro Max - Screen Replacement (OLED)</t>
  </si>
  <si>
    <t>Apple iPhone - iPhone XR - Screen Replacement</t>
  </si>
  <si>
    <t>data back up</t>
  </si>
  <si>
    <t>dell p137G battery</t>
  </si>
  <si>
    <t>Ear Speaker/Ear Speaker Flex</t>
  </si>
  <si>
    <t>Google - Google Pixel 6A - Battery Replacement</t>
  </si>
  <si>
    <t>iphone 13 battery replacement</t>
  </si>
  <si>
    <t>iphone 13 screen oled replacement</t>
  </si>
  <si>
    <t>iphone se 2 battery replacement</t>
  </si>
  <si>
    <t>iphone se 2 charging socket</t>
  </si>
  <si>
    <t>iphone se 3 battery replacement</t>
  </si>
  <si>
    <t>Onsite/Remote Assistance - Insurance Report - Insurance Report</t>
  </si>
  <si>
    <t>Samsung S Series - Samsung S23 Ultra - Screen Replacement</t>
  </si>
  <si>
    <t>Virus Cleaning (Report can be provied)</t>
  </si>
  <si>
    <t>240 RMB</t>
    <phoneticPr fontId="4" type="noConversion"/>
  </si>
  <si>
    <t>400RMB</t>
    <phoneticPr fontId="4" type="noConversion"/>
  </si>
  <si>
    <t>35RMB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</si>
</sst>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55E75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0" xfId="1" applyFont="1" applyFill="1"/>
    <xf numFmtId="0" fontId="0" fillId="0" borderId="1" xfId="1" applyFont="1" applyBorder="1"/>
    <xf numFmtId="0" fontId="0" fillId="4" borderId="1" xfId="1" applyFont="1" applyFill="1" applyBorder="1"/>
    <xf numFmtId="176" fontId="0" fillId="4" borderId="1" xfId="1" applyNumberFormat="1" applyFont="1" applyFill="1" applyBorder="1"/>
    <xf numFmtId="176" fontId="0" fillId="0" borderId="1" xfId="1" applyNumberFormat="1" applyFont="1" applyBorder="1"/>
    <xf numFmtId="176" fontId="0" fillId="0" borderId="0" xfId="1" applyNumberFormat="1" applyFont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75"/>
  </sheetPr>
  <dimension ref="A1:G54"/>
  <sheetViews>
    <sheetView showGridLines="0" tabSelected="1" workbookViewId="0">
      <pane ySplit="8" topLeftCell="A33" activePane="bottomLeft" state="frozen"/>
      <selection pane="bottomLeft" activeCell="C52" sqref="C52"/>
    </sheetView>
  </sheetViews>
  <sheetFormatPr defaultRowHeight="14.25"/>
  <cols>
    <col min="1" max="1" width="72" customWidth="1"/>
    <col min="2" max="2" width="10" customWidth="1"/>
    <col min="3" max="3" width="23" customWidth="1"/>
    <col min="4" max="4" width="18" customWidth="1"/>
    <col min="5" max="6" width="26" customWidth="1"/>
    <col min="7" max="7" width="35" customWidth="1"/>
  </cols>
  <sheetData>
    <row r="1" spans="1:7" ht="33.950000000000003" customHeight="1">
      <c r="A1" s="7" t="s">
        <v>0</v>
      </c>
      <c r="B1" s="7"/>
      <c r="C1" s="7"/>
      <c r="D1" s="7"/>
      <c r="E1" s="7"/>
      <c r="F1" s="7"/>
      <c r="G1" s="7"/>
    </row>
    <row r="2" spans="1:7">
      <c r="A2" s="8" t="s">
        <v>1</v>
      </c>
      <c r="B2" s="8"/>
      <c r="C2" s="8"/>
      <c r="D2" s="8"/>
      <c r="E2" s="8"/>
      <c r="F2" s="8"/>
      <c r="G2" s="8"/>
    </row>
    <row r="3" spans="1:7">
      <c r="A3" s="8" t="s">
        <v>2</v>
      </c>
      <c r="B3" s="8"/>
      <c r="C3" s="8"/>
      <c r="D3" s="8"/>
      <c r="E3" s="8"/>
      <c r="F3" s="8"/>
      <c r="G3" s="8"/>
    </row>
    <row r="5" spans="1:7">
      <c r="A5" t="s">
        <v>3</v>
      </c>
      <c r="B5">
        <v>73</v>
      </c>
      <c r="D5" t="s">
        <v>4</v>
      </c>
      <c r="E5" s="6" t="e">
        <f>SUM(F9:F54)</f>
        <v>#VALUE!</v>
      </c>
    </row>
    <row r="6" spans="1:7">
      <c r="A6" t="s">
        <v>5</v>
      </c>
      <c r="B6">
        <f>COUNTBLANK(C9:C54)</f>
        <v>16</v>
      </c>
    </row>
    <row r="8" spans="1:7" ht="1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7">
      <c r="A9" s="2" t="s">
        <v>13</v>
      </c>
      <c r="B9" s="2">
        <v>1</v>
      </c>
      <c r="C9" s="4">
        <v>0</v>
      </c>
      <c r="D9" s="3"/>
      <c r="E9" s="5">
        <f t="shared" ref="E9:E54" si="0">IF(C9="","",IF(D9="含 GST",C9/1.1,C9))</f>
        <v>0</v>
      </c>
      <c r="F9" s="5">
        <f t="shared" ref="F9:F54" si="1">IF(E9="","",B9*E9)</f>
        <v>0</v>
      </c>
      <c r="G9" s="2"/>
    </row>
    <row r="10" spans="1:7">
      <c r="A10" s="2" t="s">
        <v>14</v>
      </c>
      <c r="B10" s="2">
        <v>3</v>
      </c>
      <c r="C10" s="4">
        <v>0</v>
      </c>
      <c r="D10" s="3"/>
      <c r="E10" s="5">
        <f t="shared" si="0"/>
        <v>0</v>
      </c>
      <c r="F10" s="5">
        <f t="shared" si="1"/>
        <v>0</v>
      </c>
      <c r="G10" s="2"/>
    </row>
    <row r="11" spans="1:7">
      <c r="A11" s="2" t="s">
        <v>15</v>
      </c>
      <c r="B11" s="2">
        <v>1</v>
      </c>
      <c r="C11" s="4">
        <v>15</v>
      </c>
      <c r="D11" s="3"/>
      <c r="E11" s="5">
        <f t="shared" si="0"/>
        <v>15</v>
      </c>
      <c r="F11" s="5">
        <f t="shared" si="1"/>
        <v>15</v>
      </c>
      <c r="G11" s="2"/>
    </row>
    <row r="12" spans="1:7">
      <c r="A12" s="2" t="s">
        <v>16</v>
      </c>
      <c r="B12" s="2">
        <v>1</v>
      </c>
      <c r="C12" s="4">
        <v>18</v>
      </c>
      <c r="D12" s="3"/>
      <c r="E12" s="5">
        <f t="shared" si="0"/>
        <v>18</v>
      </c>
      <c r="F12" s="5">
        <f t="shared" si="1"/>
        <v>18</v>
      </c>
      <c r="G12" s="2"/>
    </row>
    <row r="13" spans="1:7">
      <c r="A13" s="2" t="s">
        <v>17</v>
      </c>
      <c r="B13" s="2">
        <v>1</v>
      </c>
      <c r="C13" s="4">
        <v>17</v>
      </c>
      <c r="D13" s="3"/>
      <c r="E13" s="5">
        <f t="shared" si="0"/>
        <v>17</v>
      </c>
      <c r="F13" s="5">
        <f t="shared" si="1"/>
        <v>17</v>
      </c>
      <c r="G13" s="2"/>
    </row>
    <row r="14" spans="1:7">
      <c r="A14" s="2" t="s">
        <v>18</v>
      </c>
      <c r="B14" s="2">
        <v>1</v>
      </c>
      <c r="C14" s="4">
        <v>20</v>
      </c>
      <c r="D14" s="3"/>
      <c r="E14" s="5">
        <f t="shared" si="0"/>
        <v>20</v>
      </c>
      <c r="F14" s="5">
        <f t="shared" si="1"/>
        <v>20</v>
      </c>
      <c r="G14" s="2"/>
    </row>
    <row r="15" spans="1:7">
      <c r="A15" s="2" t="s">
        <v>19</v>
      </c>
      <c r="B15" s="2">
        <v>1</v>
      </c>
      <c r="C15" s="4">
        <v>20</v>
      </c>
      <c r="D15" s="3"/>
      <c r="E15" s="5">
        <f t="shared" si="0"/>
        <v>20</v>
      </c>
      <c r="F15" s="5">
        <f t="shared" si="1"/>
        <v>20</v>
      </c>
      <c r="G15" s="2"/>
    </row>
    <row r="16" spans="1:7">
      <c r="A16" s="2" t="s">
        <v>20</v>
      </c>
      <c r="B16" s="2">
        <v>2</v>
      </c>
      <c r="C16" s="4">
        <v>13</v>
      </c>
      <c r="D16" s="3"/>
      <c r="E16" s="5">
        <f t="shared" si="0"/>
        <v>13</v>
      </c>
      <c r="F16" s="5">
        <f t="shared" si="1"/>
        <v>26</v>
      </c>
      <c r="G16" s="2"/>
    </row>
    <row r="17" spans="1:7">
      <c r="A17" s="2" t="s">
        <v>21</v>
      </c>
      <c r="B17" s="2">
        <v>1</v>
      </c>
      <c r="C17" s="4">
        <v>15</v>
      </c>
      <c r="D17" s="3"/>
      <c r="E17" s="5">
        <f t="shared" si="0"/>
        <v>15</v>
      </c>
      <c r="F17" s="5">
        <f t="shared" si="1"/>
        <v>15</v>
      </c>
      <c r="G17" s="2"/>
    </row>
    <row r="18" spans="1:7">
      <c r="A18" s="2" t="s">
        <v>22</v>
      </c>
      <c r="B18" s="2">
        <v>1</v>
      </c>
      <c r="C18" s="4">
        <v>18</v>
      </c>
      <c r="D18" s="3"/>
      <c r="E18" s="5">
        <f t="shared" si="0"/>
        <v>18</v>
      </c>
      <c r="F18" s="5">
        <f t="shared" si="1"/>
        <v>18</v>
      </c>
      <c r="G18" s="2"/>
    </row>
    <row r="19" spans="1:7">
      <c r="A19" s="2" t="s">
        <v>23</v>
      </c>
      <c r="B19" s="2">
        <v>1</v>
      </c>
      <c r="C19" s="4">
        <v>18</v>
      </c>
      <c r="D19" s="3"/>
      <c r="E19" s="5">
        <f t="shared" si="0"/>
        <v>18</v>
      </c>
      <c r="F19" s="5">
        <f t="shared" si="1"/>
        <v>18</v>
      </c>
      <c r="G19" s="2"/>
    </row>
    <row r="20" spans="1:7">
      <c r="A20" s="2" t="s">
        <v>24</v>
      </c>
      <c r="B20" s="2">
        <v>1</v>
      </c>
      <c r="C20" s="4">
        <v>16</v>
      </c>
      <c r="D20" s="3"/>
      <c r="E20" s="5">
        <f t="shared" si="0"/>
        <v>16</v>
      </c>
      <c r="F20" s="5">
        <f t="shared" si="1"/>
        <v>16</v>
      </c>
      <c r="G20" s="2"/>
    </row>
    <row r="21" spans="1:7">
      <c r="A21" s="2" t="s">
        <v>25</v>
      </c>
      <c r="B21" s="2">
        <v>2</v>
      </c>
      <c r="C21" s="4">
        <v>27</v>
      </c>
      <c r="D21" s="3"/>
      <c r="E21" s="5">
        <f t="shared" si="0"/>
        <v>27</v>
      </c>
      <c r="F21" s="5">
        <f t="shared" si="1"/>
        <v>54</v>
      </c>
      <c r="G21" s="2"/>
    </row>
    <row r="22" spans="1:7">
      <c r="A22" s="2" t="s">
        <v>26</v>
      </c>
      <c r="B22" s="2">
        <v>1</v>
      </c>
      <c r="C22" s="4" t="s">
        <v>84</v>
      </c>
      <c r="D22" s="3"/>
      <c r="E22" s="5" t="str">
        <f t="shared" si="0"/>
        <v>240 RMB</v>
      </c>
      <c r="F22" s="5" t="e">
        <f t="shared" si="1"/>
        <v>#VALUE!</v>
      </c>
      <c r="G22" s="2"/>
    </row>
    <row r="23" spans="1:7">
      <c r="A23" s="2" t="s">
        <v>27</v>
      </c>
      <c r="B23" s="2">
        <v>1</v>
      </c>
      <c r="C23" s="4" t="s">
        <v>85</v>
      </c>
      <c r="D23" s="3"/>
      <c r="E23" s="5" t="str">
        <f t="shared" si="0"/>
        <v>400RMB</v>
      </c>
      <c r="F23" s="5" t="e">
        <f t="shared" si="1"/>
        <v>#VALUE!</v>
      </c>
      <c r="G23" s="2"/>
    </row>
    <row r="24" spans="1:7">
      <c r="A24" s="2" t="s">
        <v>28</v>
      </c>
      <c r="B24" s="2">
        <v>1</v>
      </c>
      <c r="C24" s="4" t="s">
        <v>86</v>
      </c>
      <c r="D24" s="3"/>
      <c r="E24" s="5" t="str">
        <f t="shared" si="0"/>
        <v>35RMB</v>
      </c>
      <c r="F24" s="5" t="e">
        <f t="shared" si="1"/>
        <v>#VALUE!</v>
      </c>
      <c r="G24" s="2"/>
    </row>
    <row r="25" spans="1:7">
      <c r="A25" s="2" t="s">
        <v>29</v>
      </c>
      <c r="B25" s="2">
        <v>1</v>
      </c>
      <c r="C25" s="4">
        <v>13</v>
      </c>
      <c r="D25" s="3"/>
      <c r="E25" s="5">
        <f t="shared" si="0"/>
        <v>13</v>
      </c>
      <c r="F25" s="5">
        <f t="shared" si="1"/>
        <v>13</v>
      </c>
      <c r="G25" s="2"/>
    </row>
    <row r="26" spans="1:7">
      <c r="A26" s="2" t="s">
        <v>30</v>
      </c>
      <c r="B26" s="2">
        <v>1</v>
      </c>
      <c r="C26" s="4"/>
      <c r="D26" s="3"/>
      <c r="E26" s="5" t="str">
        <f t="shared" si="0"/>
        <v/>
      </c>
      <c r="F26" s="5" t="str">
        <f t="shared" si="1"/>
        <v/>
      </c>
      <c r="G26" s="2"/>
    </row>
    <row r="27" spans="1:7">
      <c r="A27" s="2" t="s">
        <v>31</v>
      </c>
      <c r="B27" s="2">
        <v>1</v>
      </c>
      <c r="C27" s="4"/>
      <c r="D27" s="3"/>
      <c r="E27" s="5" t="str">
        <f t="shared" si="0"/>
        <v/>
      </c>
      <c r="F27" s="5" t="str">
        <f t="shared" si="1"/>
        <v/>
      </c>
      <c r="G27" s="2"/>
    </row>
    <row r="28" spans="1:7">
      <c r="A28" s="2" t="s">
        <v>32</v>
      </c>
      <c r="B28" s="2">
        <v>1</v>
      </c>
      <c r="C28" s="4"/>
      <c r="D28" s="3"/>
      <c r="E28" s="5" t="str">
        <f t="shared" si="0"/>
        <v/>
      </c>
      <c r="F28" s="5" t="str">
        <f t="shared" si="1"/>
        <v/>
      </c>
      <c r="G28" s="2"/>
    </row>
    <row r="29" spans="1:7">
      <c r="A29" s="2" t="s">
        <v>33</v>
      </c>
      <c r="B29" s="2">
        <v>4</v>
      </c>
      <c r="C29" s="4"/>
      <c r="D29" s="3"/>
      <c r="E29" s="5" t="str">
        <f t="shared" si="0"/>
        <v/>
      </c>
      <c r="F29" s="5" t="str">
        <f t="shared" si="1"/>
        <v/>
      </c>
      <c r="G29" s="2"/>
    </row>
    <row r="30" spans="1:7">
      <c r="A30" s="2" t="s">
        <v>34</v>
      </c>
      <c r="B30" s="2">
        <v>1</v>
      </c>
      <c r="C30" s="4"/>
      <c r="D30" s="3"/>
      <c r="E30" s="5" t="str">
        <f t="shared" si="0"/>
        <v/>
      </c>
      <c r="F30" s="5" t="str">
        <f t="shared" si="1"/>
        <v/>
      </c>
      <c r="G30" s="2"/>
    </row>
    <row r="31" spans="1:7">
      <c r="A31" s="2" t="s">
        <v>35</v>
      </c>
      <c r="B31" s="2">
        <v>1</v>
      </c>
      <c r="C31" s="4"/>
      <c r="D31" s="3"/>
      <c r="E31" s="5" t="str">
        <f t="shared" si="0"/>
        <v/>
      </c>
      <c r="F31" s="5" t="str">
        <f t="shared" si="1"/>
        <v/>
      </c>
      <c r="G31" s="2"/>
    </row>
    <row r="32" spans="1:7">
      <c r="A32" s="2" t="s">
        <v>36</v>
      </c>
      <c r="B32" s="2">
        <v>1</v>
      </c>
      <c r="C32" s="4"/>
      <c r="D32" s="3"/>
      <c r="E32" s="5" t="str">
        <f t="shared" si="0"/>
        <v/>
      </c>
      <c r="F32" s="5" t="str">
        <f t="shared" si="1"/>
        <v/>
      </c>
      <c r="G32" s="2"/>
    </row>
    <row r="33" spans="1:7">
      <c r="A33" s="2" t="s">
        <v>37</v>
      </c>
      <c r="B33" s="2">
        <v>1</v>
      </c>
      <c r="C33" s="4"/>
      <c r="D33" s="3"/>
      <c r="E33" s="5" t="str">
        <f t="shared" si="0"/>
        <v/>
      </c>
      <c r="F33" s="5" t="str">
        <f t="shared" si="1"/>
        <v/>
      </c>
      <c r="G33" s="2"/>
    </row>
    <row r="34" spans="1:7">
      <c r="A34" s="2" t="s">
        <v>38</v>
      </c>
      <c r="B34" s="2">
        <v>1</v>
      </c>
      <c r="C34" s="4">
        <v>0</v>
      </c>
      <c r="D34" s="3"/>
      <c r="E34" s="5">
        <f t="shared" si="0"/>
        <v>0</v>
      </c>
      <c r="F34" s="5">
        <f t="shared" si="1"/>
        <v>0</v>
      </c>
      <c r="G34" s="2"/>
    </row>
    <row r="35" spans="1:7">
      <c r="A35" s="2" t="s">
        <v>39</v>
      </c>
      <c r="B35" s="2">
        <v>1</v>
      </c>
      <c r="C35" s="4">
        <v>0</v>
      </c>
      <c r="D35" s="3"/>
      <c r="E35" s="5">
        <f t="shared" si="0"/>
        <v>0</v>
      </c>
      <c r="F35" s="5">
        <f t="shared" si="1"/>
        <v>0</v>
      </c>
      <c r="G35" s="2"/>
    </row>
    <row r="36" spans="1:7">
      <c r="A36" s="2" t="s">
        <v>40</v>
      </c>
      <c r="B36" s="2">
        <v>1</v>
      </c>
      <c r="C36" s="4"/>
      <c r="D36" s="3"/>
      <c r="E36" s="5" t="str">
        <f t="shared" si="0"/>
        <v/>
      </c>
      <c r="F36" s="5" t="str">
        <f t="shared" si="1"/>
        <v/>
      </c>
      <c r="G36" s="2"/>
    </row>
    <row r="37" spans="1:7">
      <c r="A37" s="2" t="s">
        <v>41</v>
      </c>
      <c r="B37" s="2">
        <v>1</v>
      </c>
      <c r="C37" s="4"/>
      <c r="D37" s="3"/>
      <c r="E37" s="5" t="str">
        <f t="shared" si="0"/>
        <v/>
      </c>
      <c r="F37" s="5" t="str">
        <f t="shared" si="1"/>
        <v/>
      </c>
      <c r="G37" s="2"/>
    </row>
    <row r="38" spans="1:7">
      <c r="A38" s="2" t="s">
        <v>42</v>
      </c>
      <c r="B38" s="2">
        <v>1</v>
      </c>
      <c r="C38" s="4">
        <v>0</v>
      </c>
      <c r="D38" s="3"/>
      <c r="E38" s="5">
        <f t="shared" si="0"/>
        <v>0</v>
      </c>
      <c r="F38" s="5">
        <f t="shared" si="1"/>
        <v>0</v>
      </c>
      <c r="G38" s="2"/>
    </row>
    <row r="39" spans="1:7">
      <c r="A39" s="2" t="s">
        <v>43</v>
      </c>
      <c r="B39" s="2">
        <v>8</v>
      </c>
      <c r="C39" s="4">
        <v>0</v>
      </c>
      <c r="D39" s="3"/>
      <c r="E39" s="5">
        <f t="shared" si="0"/>
        <v>0</v>
      </c>
      <c r="F39" s="5">
        <f t="shared" si="1"/>
        <v>0</v>
      </c>
      <c r="G39" s="2"/>
    </row>
    <row r="40" spans="1:7">
      <c r="A40" s="2" t="s">
        <v>44</v>
      </c>
      <c r="B40" s="2">
        <v>5</v>
      </c>
      <c r="C40" s="4">
        <v>0</v>
      </c>
      <c r="D40" s="3"/>
      <c r="E40" s="5">
        <f t="shared" si="0"/>
        <v>0</v>
      </c>
      <c r="F40" s="5">
        <f t="shared" si="1"/>
        <v>0</v>
      </c>
      <c r="G40" s="2"/>
    </row>
    <row r="41" spans="1:7">
      <c r="A41" s="2" t="s">
        <v>45</v>
      </c>
      <c r="B41" s="2">
        <v>3</v>
      </c>
      <c r="C41" s="4">
        <v>0</v>
      </c>
      <c r="D41" s="3"/>
      <c r="E41" s="5">
        <f t="shared" si="0"/>
        <v>0</v>
      </c>
      <c r="F41" s="5">
        <f t="shared" si="1"/>
        <v>0</v>
      </c>
      <c r="G41" s="2"/>
    </row>
    <row r="42" spans="1:7">
      <c r="A42" s="2" t="s">
        <v>46</v>
      </c>
      <c r="B42" s="2">
        <v>5</v>
      </c>
      <c r="C42" s="4">
        <v>0</v>
      </c>
      <c r="D42" s="3"/>
      <c r="E42" s="5">
        <f t="shared" si="0"/>
        <v>0</v>
      </c>
      <c r="F42" s="5">
        <f t="shared" si="1"/>
        <v>0</v>
      </c>
      <c r="G42" s="2"/>
    </row>
    <row r="43" spans="1:7">
      <c r="A43" s="2" t="s">
        <v>47</v>
      </c>
      <c r="B43" s="2">
        <v>1</v>
      </c>
      <c r="C43" s="4">
        <v>0</v>
      </c>
      <c r="D43" s="3"/>
      <c r="E43" s="5">
        <f t="shared" si="0"/>
        <v>0</v>
      </c>
      <c r="F43" s="5">
        <f t="shared" si="1"/>
        <v>0</v>
      </c>
      <c r="G43" s="2"/>
    </row>
    <row r="44" spans="1:7">
      <c r="A44" s="2" t="s">
        <v>48</v>
      </c>
      <c r="B44" s="2">
        <v>1</v>
      </c>
      <c r="C44" s="4"/>
      <c r="D44" s="3"/>
      <c r="E44" s="5" t="str">
        <f t="shared" si="0"/>
        <v/>
      </c>
      <c r="F44" s="5" t="str">
        <f t="shared" si="1"/>
        <v/>
      </c>
      <c r="G44" s="2"/>
    </row>
    <row r="45" spans="1:7">
      <c r="A45" s="2" t="s">
        <v>49</v>
      </c>
      <c r="B45" s="2">
        <v>1</v>
      </c>
      <c r="C45" s="4"/>
      <c r="D45" s="3"/>
      <c r="E45" s="5" t="str">
        <f t="shared" si="0"/>
        <v/>
      </c>
      <c r="F45" s="5" t="str">
        <f t="shared" si="1"/>
        <v/>
      </c>
      <c r="G45" s="2"/>
    </row>
    <row r="46" spans="1:7">
      <c r="A46" s="2" t="s">
        <v>50</v>
      </c>
      <c r="B46" s="2">
        <v>1</v>
      </c>
      <c r="C46" s="4"/>
      <c r="D46" s="3"/>
      <c r="E46" s="5" t="str">
        <f t="shared" si="0"/>
        <v/>
      </c>
      <c r="F46" s="5" t="str">
        <f t="shared" si="1"/>
        <v/>
      </c>
      <c r="G46" s="2"/>
    </row>
    <row r="47" spans="1:7">
      <c r="A47" s="2" t="s">
        <v>51</v>
      </c>
      <c r="B47" s="2">
        <v>1</v>
      </c>
      <c r="C47" s="4">
        <v>27</v>
      </c>
      <c r="D47" s="3"/>
      <c r="E47" s="5">
        <f t="shared" si="0"/>
        <v>27</v>
      </c>
      <c r="F47" s="5">
        <f t="shared" si="1"/>
        <v>27</v>
      </c>
      <c r="G47" s="2"/>
    </row>
    <row r="48" spans="1:7">
      <c r="A48" s="2" t="s">
        <v>52</v>
      </c>
      <c r="B48" s="2">
        <v>1</v>
      </c>
      <c r="C48" s="4">
        <v>10</v>
      </c>
      <c r="D48" s="3"/>
      <c r="E48" s="5">
        <f t="shared" si="0"/>
        <v>10</v>
      </c>
      <c r="F48" s="5">
        <f t="shared" si="1"/>
        <v>10</v>
      </c>
      <c r="G48" s="2"/>
    </row>
    <row r="49" spans="1:7">
      <c r="A49" s="2" t="s">
        <v>53</v>
      </c>
      <c r="B49" s="2">
        <v>1</v>
      </c>
      <c r="C49" s="4">
        <v>12</v>
      </c>
      <c r="D49" s="3"/>
      <c r="E49" s="5">
        <f t="shared" si="0"/>
        <v>12</v>
      </c>
      <c r="F49" s="5">
        <f t="shared" si="1"/>
        <v>12</v>
      </c>
      <c r="G49" s="2"/>
    </row>
    <row r="50" spans="1:7">
      <c r="A50" s="2" t="s">
        <v>54</v>
      </c>
      <c r="B50" s="2">
        <v>1</v>
      </c>
      <c r="C50" s="4"/>
      <c r="D50" s="3"/>
      <c r="E50" s="5" t="str">
        <f t="shared" si="0"/>
        <v/>
      </c>
      <c r="F50" s="5" t="str">
        <f t="shared" si="1"/>
        <v/>
      </c>
      <c r="G50" s="2"/>
    </row>
    <row r="51" spans="1:7">
      <c r="A51" s="2" t="s">
        <v>55</v>
      </c>
      <c r="B51" s="2">
        <v>1</v>
      </c>
      <c r="C51" s="4"/>
      <c r="D51" s="3"/>
      <c r="E51" s="5" t="str">
        <f t="shared" si="0"/>
        <v/>
      </c>
      <c r="F51" s="5" t="str">
        <f t="shared" si="1"/>
        <v/>
      </c>
      <c r="G51" s="2"/>
    </row>
    <row r="52" spans="1:7">
      <c r="A52" s="2" t="s">
        <v>56</v>
      </c>
      <c r="B52" s="2">
        <v>4</v>
      </c>
      <c r="C52" s="4"/>
      <c r="D52" s="3"/>
      <c r="E52" s="5" t="str">
        <f t="shared" si="0"/>
        <v/>
      </c>
      <c r="F52" s="5" t="str">
        <f t="shared" si="1"/>
        <v/>
      </c>
      <c r="G52" s="2"/>
    </row>
    <row r="53" spans="1:7">
      <c r="A53" s="2" t="s">
        <v>57</v>
      </c>
      <c r="B53" s="2">
        <v>1</v>
      </c>
      <c r="C53" s="4">
        <v>0</v>
      </c>
      <c r="D53" s="3"/>
      <c r="E53" s="5">
        <f t="shared" si="0"/>
        <v>0</v>
      </c>
      <c r="F53" s="5">
        <f t="shared" si="1"/>
        <v>0</v>
      </c>
      <c r="G53" s="2"/>
    </row>
    <row r="54" spans="1:7">
      <c r="A54" s="2" t="s">
        <v>58</v>
      </c>
      <c r="B54" s="2">
        <v>1</v>
      </c>
      <c r="C54" s="4">
        <v>0</v>
      </c>
      <c r="D54" s="3"/>
      <c r="E54" s="5">
        <f t="shared" si="0"/>
        <v>0</v>
      </c>
      <c r="F54" s="5">
        <f t="shared" si="1"/>
        <v>0</v>
      </c>
      <c r="G54" s="2"/>
    </row>
  </sheetData>
  <mergeCells count="3">
    <mergeCell ref="A1:G1"/>
    <mergeCell ref="A2:G2"/>
    <mergeCell ref="A3:G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A3412"/>
  </sheetPr>
  <dimension ref="A1:G41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72" customWidth="1"/>
    <col min="2" max="2" width="10" customWidth="1"/>
    <col min="3" max="3" width="23" customWidth="1"/>
    <col min="4" max="4" width="18" customWidth="1"/>
    <col min="5" max="6" width="26" customWidth="1"/>
    <col min="7" max="7" width="35" customWidth="1"/>
  </cols>
  <sheetData>
    <row r="1" spans="1:7" ht="33.950000000000003" customHeight="1">
      <c r="A1" s="7" t="s">
        <v>59</v>
      </c>
      <c r="B1" s="7"/>
      <c r="C1" s="7"/>
      <c r="D1" s="7"/>
      <c r="E1" s="7"/>
      <c r="F1" s="7"/>
      <c r="G1" s="7"/>
    </row>
    <row r="2" spans="1:7">
      <c r="A2" s="8" t="s">
        <v>1</v>
      </c>
      <c r="B2" s="8"/>
      <c r="C2" s="8"/>
      <c r="D2" s="8"/>
      <c r="E2" s="8"/>
      <c r="F2" s="8"/>
      <c r="G2" s="8"/>
    </row>
    <row r="3" spans="1:7">
      <c r="A3" s="8" t="s">
        <v>2</v>
      </c>
      <c r="B3" s="8"/>
      <c r="C3" s="8"/>
      <c r="D3" s="8"/>
      <c r="E3" s="8"/>
      <c r="F3" s="8"/>
      <c r="G3" s="8"/>
    </row>
    <row r="5" spans="1:7">
      <c r="A5" t="s">
        <v>3</v>
      </c>
      <c r="B5">
        <v>43</v>
      </c>
      <c r="D5" t="s">
        <v>4</v>
      </c>
      <c r="E5" s="6">
        <f>SUM(F9:F41)</f>
        <v>0</v>
      </c>
    </row>
    <row r="6" spans="1:7">
      <c r="A6" t="s">
        <v>5</v>
      </c>
      <c r="B6">
        <f>COUNTBLANK(C9:C41)</f>
        <v>33</v>
      </c>
    </row>
    <row r="8" spans="1:7" ht="1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7">
      <c r="A9" s="2" t="s">
        <v>13</v>
      </c>
      <c r="B9" s="2">
        <v>2</v>
      </c>
      <c r="C9" s="4"/>
      <c r="D9" s="3"/>
      <c r="E9" s="5" t="str">
        <f t="shared" ref="E9:E41" si="0">IF(C9="","",IF(D9="含 GST",C9/1.1,C9))</f>
        <v/>
      </c>
      <c r="F9" s="5" t="str">
        <f t="shared" ref="F9:F41" si="1">IF(E9="","",B9*E9)</f>
        <v/>
      </c>
      <c r="G9" s="2"/>
    </row>
    <row r="10" spans="1:7">
      <c r="A10" s="2" t="s">
        <v>14</v>
      </c>
      <c r="B10" s="2">
        <v>4</v>
      </c>
      <c r="C10" s="4"/>
      <c r="D10" s="3"/>
      <c r="E10" s="5" t="str">
        <f t="shared" si="0"/>
        <v/>
      </c>
      <c r="F10" s="5" t="str">
        <f t="shared" si="1"/>
        <v/>
      </c>
      <c r="G10" s="2"/>
    </row>
    <row r="11" spans="1:7">
      <c r="A11" s="2" t="s">
        <v>60</v>
      </c>
      <c r="B11" s="2">
        <v>1</v>
      </c>
      <c r="C11" s="4"/>
      <c r="D11" s="3"/>
      <c r="E11" s="5" t="str">
        <f t="shared" si="0"/>
        <v/>
      </c>
      <c r="F11" s="5" t="str">
        <f t="shared" si="1"/>
        <v/>
      </c>
      <c r="G11" s="2"/>
    </row>
    <row r="12" spans="1:7">
      <c r="A12" s="2" t="s">
        <v>61</v>
      </c>
      <c r="B12" s="2">
        <v>1</v>
      </c>
      <c r="C12" s="4"/>
      <c r="D12" s="3"/>
      <c r="E12" s="5" t="str">
        <f t="shared" si="0"/>
        <v/>
      </c>
      <c r="F12" s="5" t="str">
        <f t="shared" si="1"/>
        <v/>
      </c>
      <c r="G12" s="2"/>
    </row>
    <row r="13" spans="1:7">
      <c r="A13" s="2" t="s">
        <v>62</v>
      </c>
      <c r="B13" s="2">
        <v>1</v>
      </c>
      <c r="C13" s="4"/>
      <c r="D13" s="3"/>
      <c r="E13" s="5" t="str">
        <f t="shared" si="0"/>
        <v/>
      </c>
      <c r="F13" s="5" t="str">
        <f t="shared" si="1"/>
        <v/>
      </c>
      <c r="G13" s="2"/>
    </row>
    <row r="14" spans="1:7">
      <c r="A14" s="2" t="s">
        <v>16</v>
      </c>
      <c r="B14" s="2">
        <v>1</v>
      </c>
      <c r="C14" s="4"/>
      <c r="D14" s="3"/>
      <c r="E14" s="5" t="str">
        <f t="shared" si="0"/>
        <v/>
      </c>
      <c r="F14" s="5" t="str">
        <f t="shared" si="1"/>
        <v/>
      </c>
      <c r="G14" s="2"/>
    </row>
    <row r="15" spans="1:7">
      <c r="A15" s="2" t="s">
        <v>63</v>
      </c>
      <c r="B15" s="2">
        <v>1</v>
      </c>
      <c r="C15" s="4"/>
      <c r="D15" s="3"/>
      <c r="E15" s="5" t="str">
        <f t="shared" si="0"/>
        <v/>
      </c>
      <c r="F15" s="5" t="str">
        <f t="shared" si="1"/>
        <v/>
      </c>
      <c r="G15" s="2"/>
    </row>
    <row r="16" spans="1:7">
      <c r="A16" s="2" t="s">
        <v>64</v>
      </c>
      <c r="B16" s="2">
        <v>2</v>
      </c>
      <c r="C16" s="4"/>
      <c r="D16" s="3"/>
      <c r="E16" s="5" t="str">
        <f t="shared" si="0"/>
        <v/>
      </c>
      <c r="F16" s="5" t="str">
        <f t="shared" si="1"/>
        <v/>
      </c>
      <c r="G16" s="2"/>
    </row>
    <row r="17" spans="1:7">
      <c r="A17" s="2" t="s">
        <v>65</v>
      </c>
      <c r="B17" s="2">
        <v>1</v>
      </c>
      <c r="C17" s="4"/>
      <c r="D17" s="3"/>
      <c r="E17" s="5" t="str">
        <f t="shared" si="0"/>
        <v/>
      </c>
      <c r="F17" s="5" t="str">
        <f t="shared" si="1"/>
        <v/>
      </c>
      <c r="G17" s="2"/>
    </row>
    <row r="18" spans="1:7">
      <c r="A18" s="2" t="s">
        <v>24</v>
      </c>
      <c r="B18" s="2">
        <v>1</v>
      </c>
      <c r="C18" s="4"/>
      <c r="D18" s="3"/>
      <c r="E18" s="5" t="str">
        <f t="shared" si="0"/>
        <v/>
      </c>
      <c r="F18" s="5" t="str">
        <f t="shared" si="1"/>
        <v/>
      </c>
      <c r="G18" s="2"/>
    </row>
    <row r="19" spans="1:7">
      <c r="A19" s="2" t="s">
        <v>66</v>
      </c>
      <c r="B19" s="2">
        <v>1</v>
      </c>
      <c r="C19" s="4"/>
      <c r="D19" s="3"/>
      <c r="E19" s="5" t="str">
        <f t="shared" si="0"/>
        <v/>
      </c>
      <c r="F19" s="5" t="str">
        <f t="shared" si="1"/>
        <v/>
      </c>
      <c r="G19" s="2"/>
    </row>
    <row r="20" spans="1:7">
      <c r="A20" s="2" t="s">
        <v>67</v>
      </c>
      <c r="B20" s="2">
        <v>1</v>
      </c>
      <c r="C20" s="4"/>
      <c r="D20" s="3"/>
      <c r="E20" s="5" t="str">
        <f t="shared" si="0"/>
        <v/>
      </c>
      <c r="F20" s="5" t="str">
        <f t="shared" si="1"/>
        <v/>
      </c>
      <c r="G20" s="2"/>
    </row>
    <row r="21" spans="1:7">
      <c r="A21" s="2" t="s">
        <v>68</v>
      </c>
      <c r="B21" s="2">
        <v>1</v>
      </c>
      <c r="C21" s="4"/>
      <c r="D21" s="3"/>
      <c r="E21" s="5" t="str">
        <f t="shared" si="0"/>
        <v/>
      </c>
      <c r="F21" s="5" t="str">
        <f t="shared" si="1"/>
        <v/>
      </c>
      <c r="G21" s="2"/>
    </row>
    <row r="22" spans="1:7">
      <c r="A22" s="2" t="s">
        <v>69</v>
      </c>
      <c r="B22" s="2">
        <v>1</v>
      </c>
      <c r="C22" s="4"/>
      <c r="D22" s="3"/>
      <c r="E22" s="5" t="str">
        <f t="shared" si="0"/>
        <v/>
      </c>
      <c r="F22" s="5" t="str">
        <f t="shared" si="1"/>
        <v/>
      </c>
      <c r="G22" s="2"/>
    </row>
    <row r="23" spans="1:7">
      <c r="A23" s="2" t="s">
        <v>70</v>
      </c>
      <c r="B23" s="2">
        <v>1</v>
      </c>
      <c r="C23" s="4"/>
      <c r="D23" s="3"/>
      <c r="E23" s="5" t="str">
        <f t="shared" si="0"/>
        <v/>
      </c>
      <c r="F23" s="5" t="str">
        <f t="shared" si="1"/>
        <v/>
      </c>
      <c r="G23" s="2"/>
    </row>
    <row r="24" spans="1:7">
      <c r="A24" s="2" t="s">
        <v>71</v>
      </c>
      <c r="B24" s="2">
        <v>1</v>
      </c>
      <c r="C24" s="4"/>
      <c r="D24" s="3"/>
      <c r="E24" s="5" t="str">
        <f t="shared" si="0"/>
        <v/>
      </c>
      <c r="F24" s="5" t="str">
        <f t="shared" si="1"/>
        <v/>
      </c>
      <c r="G24" s="2"/>
    </row>
    <row r="25" spans="1:7">
      <c r="A25" s="2" t="s">
        <v>33</v>
      </c>
      <c r="B25" s="2">
        <v>1</v>
      </c>
      <c r="C25" s="4"/>
      <c r="D25" s="3"/>
      <c r="E25" s="5" t="str">
        <f t="shared" si="0"/>
        <v/>
      </c>
      <c r="F25" s="5" t="str">
        <f t="shared" si="1"/>
        <v/>
      </c>
      <c r="G25" s="2"/>
    </row>
    <row r="26" spans="1:7">
      <c r="A26" s="2" t="s">
        <v>35</v>
      </c>
      <c r="B26" s="2">
        <v>1</v>
      </c>
      <c r="C26" s="4"/>
      <c r="D26" s="3"/>
      <c r="E26" s="5" t="str">
        <f t="shared" si="0"/>
        <v/>
      </c>
      <c r="F26" s="5" t="str">
        <f t="shared" si="1"/>
        <v/>
      </c>
      <c r="G26" s="2"/>
    </row>
    <row r="27" spans="1:7">
      <c r="A27" s="2" t="s">
        <v>72</v>
      </c>
      <c r="B27" s="2">
        <v>1</v>
      </c>
      <c r="C27" s="4"/>
      <c r="D27" s="3"/>
      <c r="E27" s="5" t="str">
        <f t="shared" si="0"/>
        <v/>
      </c>
      <c r="F27" s="5" t="str">
        <f t="shared" si="1"/>
        <v/>
      </c>
      <c r="G27" s="2"/>
    </row>
    <row r="28" spans="1:7">
      <c r="A28" s="2" t="s">
        <v>73</v>
      </c>
      <c r="B28" s="2">
        <v>1</v>
      </c>
      <c r="C28" s="4"/>
      <c r="D28" s="3"/>
      <c r="E28" s="5" t="str">
        <f t="shared" si="0"/>
        <v/>
      </c>
      <c r="F28" s="5" t="str">
        <f t="shared" si="1"/>
        <v/>
      </c>
      <c r="G28" s="2"/>
    </row>
    <row r="29" spans="1:7">
      <c r="A29" s="2" t="s">
        <v>74</v>
      </c>
      <c r="B29" s="2">
        <v>1</v>
      </c>
      <c r="C29" s="4"/>
      <c r="D29" s="3"/>
      <c r="E29" s="5" t="str">
        <f t="shared" si="0"/>
        <v/>
      </c>
      <c r="F29" s="5" t="str">
        <f t="shared" si="1"/>
        <v/>
      </c>
      <c r="G29" s="2"/>
    </row>
    <row r="30" spans="1:7">
      <c r="A30" s="2" t="s">
        <v>75</v>
      </c>
      <c r="B30" s="2">
        <v>1</v>
      </c>
      <c r="C30" s="4"/>
      <c r="D30" s="3"/>
      <c r="E30" s="5" t="str">
        <f t="shared" si="0"/>
        <v/>
      </c>
      <c r="F30" s="5" t="str">
        <f t="shared" si="1"/>
        <v/>
      </c>
      <c r="G30" s="2"/>
    </row>
    <row r="31" spans="1:7">
      <c r="A31" s="2" t="s">
        <v>76</v>
      </c>
      <c r="B31" s="2">
        <v>1</v>
      </c>
      <c r="C31" s="4"/>
      <c r="D31" s="3"/>
      <c r="E31" s="5" t="str">
        <f t="shared" si="0"/>
        <v/>
      </c>
      <c r="F31" s="5" t="str">
        <f t="shared" si="1"/>
        <v/>
      </c>
      <c r="G31" s="2"/>
    </row>
    <row r="32" spans="1:7">
      <c r="A32" s="2" t="s">
        <v>77</v>
      </c>
      <c r="B32" s="2">
        <v>1</v>
      </c>
      <c r="C32" s="4"/>
      <c r="D32" s="3"/>
      <c r="E32" s="5" t="str">
        <f t="shared" si="0"/>
        <v/>
      </c>
      <c r="F32" s="5" t="str">
        <f t="shared" si="1"/>
        <v/>
      </c>
      <c r="G32" s="2"/>
    </row>
    <row r="33" spans="1:7">
      <c r="A33" s="2" t="s">
        <v>78</v>
      </c>
      <c r="B33" s="2">
        <v>1</v>
      </c>
      <c r="C33" s="4"/>
      <c r="D33" s="3"/>
      <c r="E33" s="5" t="str">
        <f t="shared" si="0"/>
        <v/>
      </c>
      <c r="F33" s="5" t="str">
        <f t="shared" si="1"/>
        <v/>
      </c>
      <c r="G33" s="2"/>
    </row>
    <row r="34" spans="1:7">
      <c r="A34" s="2" t="s">
        <v>79</v>
      </c>
      <c r="B34" s="2">
        <v>1</v>
      </c>
      <c r="C34" s="4"/>
      <c r="D34" s="3"/>
      <c r="E34" s="5" t="str">
        <f t="shared" si="0"/>
        <v/>
      </c>
      <c r="F34" s="5" t="str">
        <f t="shared" si="1"/>
        <v/>
      </c>
      <c r="G34" s="2"/>
    </row>
    <row r="35" spans="1:7">
      <c r="A35" s="2" t="s">
        <v>80</v>
      </c>
      <c r="B35" s="2">
        <v>1</v>
      </c>
      <c r="C35" s="4"/>
      <c r="D35" s="3"/>
      <c r="E35" s="5" t="str">
        <f t="shared" si="0"/>
        <v/>
      </c>
      <c r="F35" s="5" t="str">
        <f t="shared" si="1"/>
        <v/>
      </c>
      <c r="G35" s="2"/>
    </row>
    <row r="36" spans="1:7">
      <c r="A36" s="2" t="s">
        <v>39</v>
      </c>
      <c r="B36" s="2">
        <v>1</v>
      </c>
      <c r="C36" s="4"/>
      <c r="D36" s="3"/>
      <c r="E36" s="5" t="str">
        <f t="shared" si="0"/>
        <v/>
      </c>
      <c r="F36" s="5" t="str">
        <f t="shared" si="1"/>
        <v/>
      </c>
      <c r="G36" s="2"/>
    </row>
    <row r="37" spans="1:7">
      <c r="A37" s="2" t="s">
        <v>43</v>
      </c>
      <c r="B37" s="2">
        <v>1</v>
      </c>
      <c r="C37" s="4"/>
      <c r="D37" s="3"/>
      <c r="E37" s="5" t="str">
        <f t="shared" si="0"/>
        <v/>
      </c>
      <c r="F37" s="5" t="str">
        <f t="shared" si="1"/>
        <v/>
      </c>
      <c r="G37" s="2"/>
    </row>
    <row r="38" spans="1:7">
      <c r="A38" s="2" t="s">
        <v>44</v>
      </c>
      <c r="B38" s="2">
        <v>6</v>
      </c>
      <c r="C38" s="4"/>
      <c r="D38" s="3"/>
      <c r="E38" s="5" t="str">
        <f t="shared" si="0"/>
        <v/>
      </c>
      <c r="F38" s="5" t="str">
        <f t="shared" si="1"/>
        <v/>
      </c>
      <c r="G38" s="2"/>
    </row>
    <row r="39" spans="1:7">
      <c r="A39" s="2" t="s">
        <v>81</v>
      </c>
      <c r="B39" s="2">
        <v>1</v>
      </c>
      <c r="C39" s="4"/>
      <c r="D39" s="3"/>
      <c r="E39" s="5" t="str">
        <f t="shared" si="0"/>
        <v/>
      </c>
      <c r="F39" s="5" t="str">
        <f t="shared" si="1"/>
        <v/>
      </c>
      <c r="G39" s="2"/>
    </row>
    <row r="40" spans="1:7">
      <c r="A40" s="2" t="s">
        <v>82</v>
      </c>
      <c r="B40" s="2">
        <v>1</v>
      </c>
      <c r="C40" s="4"/>
      <c r="D40" s="3"/>
      <c r="E40" s="5" t="str">
        <f t="shared" si="0"/>
        <v/>
      </c>
      <c r="F40" s="5" t="str">
        <f t="shared" si="1"/>
        <v/>
      </c>
      <c r="G40" s="2"/>
    </row>
    <row r="41" spans="1:7">
      <c r="A41" s="2" t="s">
        <v>83</v>
      </c>
      <c r="B41" s="2">
        <v>1</v>
      </c>
      <c r="C41" s="4"/>
      <c r="D41" s="3"/>
      <c r="E41" s="5" t="str">
        <f t="shared" si="0"/>
        <v/>
      </c>
      <c r="F41" s="5" t="str">
        <f t="shared" si="1"/>
        <v/>
      </c>
      <c r="G41" s="2"/>
    </row>
  </sheetData>
  <mergeCells count="3">
    <mergeCell ref="A1:G1"/>
    <mergeCell ref="A2:G2"/>
    <mergeCell ref="A3:G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</vt:lpstr>
      <vt:lpstr>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2026-09-25T13:30:33Z</dcterms:modified>
</cp:coreProperties>
</file>