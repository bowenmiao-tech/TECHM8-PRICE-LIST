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gram\TECHM8 PRICE LIST\outputs\01a0d8a7-a557-7002-8750-b5f8cbd770ab\"/>
    </mc:Choice>
  </mc:AlternateContent>
  <xr:revisionPtr revIDLastSave="0" documentId="13_ncr:1_{747F7B0C-FCD9-413E-AEF3-B96FEB1CF7EE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TW" sheetId="1" r:id="rId1"/>
    <sheet name="F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" i="2" l="1"/>
  <c r="E11" i="2"/>
  <c r="E10" i="2"/>
  <c r="E9" i="2"/>
  <c r="E8" i="2"/>
  <c r="E7" i="2"/>
  <c r="E10" i="1"/>
  <c r="E9" i="1"/>
  <c r="E8" i="1"/>
  <c r="E7" i="1"/>
</calcChain>
</file>

<file path=xl/sharedStrings.xml><?xml version="1.0" encoding="utf-8"?>
<sst xmlns="http://schemas.openxmlformats.org/spreadsheetml/2006/main" count="54" uniqueCount="41">
  <si>
    <t>TW｜POS 未记录进货成本的已售商品</t>
  </si>
  <si>
    <t>2026-09-01 至 2026-09-25；已剔除全额退货，部分退货按净售数量。请填黄色的单件进货成本及货币。</t>
  </si>
  <si>
    <t>待补商品种类</t>
  </si>
  <si>
    <t>1 AUD = CNY</t>
  </si>
  <si>
    <t>商品／备注</t>
  </si>
  <si>
    <t>净售数量</t>
  </si>
  <si>
    <t>单件进货成本</t>
  </si>
  <si>
    <t>货币 (AUD/CNY)</t>
  </si>
  <si>
    <t>总成本 AUD</t>
  </si>
  <si>
    <t>净销售额含 GST</t>
  </si>
  <si>
    <t>销售日期</t>
  </si>
  <si>
    <t>POS 明细编号</t>
  </si>
  <si>
    <t>iPhone 13 Pro（POS 其他商品）</t>
  </si>
  <si>
    <t>2026-09-03</t>
  </si>
  <si>
    <t>21741</t>
  </si>
  <si>
    <t>iPad 9th Touch screen（POS 其他商品）</t>
  </si>
  <si>
    <t>2026-09-06</t>
  </si>
  <si>
    <t>21823</t>
  </si>
  <si>
    <t>1M Ultra Tough USB-C to USB-C Cable</t>
  </si>
  <si>
    <t>2026-09-16</t>
  </si>
  <si>
    <t>22023</t>
  </si>
  <si>
    <t>Pop sockets（POS 其他商品）</t>
  </si>
  <si>
    <t>2026-09-17</t>
  </si>
  <si>
    <t>22043</t>
  </si>
  <si>
    <t>FF｜POS 未记录进货成本的已售商品</t>
  </si>
  <si>
    <t>2026-09-01, 2026-09-17, 2026-09-19, 2026-09-20</t>
  </si>
  <si>
    <t>21717, 22059, 22099, 22108</t>
  </si>
  <si>
    <t>iPhone 7 Plus battery（POS 其他商品）</t>
  </si>
  <si>
    <t>2026-09-04</t>
  </si>
  <si>
    <t>21777</t>
  </si>
  <si>
    <t>1M Ultra Tough USB-C to Lightning Cable</t>
  </si>
  <si>
    <t>2026-09-10, 2026-09-19</t>
  </si>
  <si>
    <t>21910, 22090</t>
  </si>
  <si>
    <t>iPhone 13 128GB（POS 其他商品）</t>
  </si>
  <si>
    <t>2026-09-14</t>
  </si>
  <si>
    <t>21990</t>
  </si>
  <si>
    <t>其他商品（POS 未注明）</t>
  </si>
  <si>
    <t>2026-09-19</t>
  </si>
  <si>
    <t>22084</t>
  </si>
  <si>
    <t>Office keyboard / Bluetooth add-on（POS 其他商品）</t>
  </si>
  <si>
    <t>22098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</si>
</sst>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.00"/>
  </numFmts>
  <fonts count="5">
    <font>
      <sz val="11"/>
      <name val="Carlito"/>
    </font>
    <font>
      <b/>
      <sz val="16"/>
      <color rgb="FFFFFFFF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5324A"/>
      </patternFill>
    </fill>
    <fill>
      <patternFill patternType="solid">
        <fgColor rgb="FF155E75"/>
      </patternFill>
    </fill>
    <fill>
      <patternFill patternType="solid">
        <fgColor rgb="FFFFF1D6"/>
      </patternFill>
    </fill>
  </fills>
  <borders count="2">
    <border>
      <left/>
      <right/>
      <top/>
      <bottom/>
      <diagonal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3" borderId="0" xfId="1" applyFont="1" applyFill="1"/>
    <xf numFmtId="0" fontId="0" fillId="0" borderId="1" xfId="1" applyFont="1" applyBorder="1"/>
    <xf numFmtId="0" fontId="0" fillId="4" borderId="1" xfId="1" applyFont="1" applyFill="1" applyBorder="1"/>
    <xf numFmtId="176" fontId="0" fillId="4" borderId="1" xfId="1" applyNumberFormat="1" applyFont="1" applyFill="1" applyBorder="1"/>
    <xf numFmtId="176" fontId="0" fillId="0" borderId="1" xfId="1" applyNumberFormat="1" applyFont="1" applyBorder="1"/>
    <xf numFmtId="0" fontId="1" fillId="2" borderId="0" xfId="1" applyFont="1" applyFill="1"/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5E75"/>
  </sheetPr>
  <dimension ref="A1:H10"/>
  <sheetViews>
    <sheetView showGridLines="0" workbookViewId="0">
      <pane ySplit="6" topLeftCell="A7" activePane="bottomLeft" state="frozen"/>
      <selection pane="bottomLeft" activeCell="C7" sqref="C7:C10"/>
    </sheetView>
  </sheetViews>
  <sheetFormatPr defaultRowHeight="14.25"/>
  <cols>
    <col min="1" max="1" width="74" customWidth="1"/>
    <col min="2" max="2" width="13" customWidth="1"/>
    <col min="3" max="3" width="22" customWidth="1"/>
    <col min="4" max="4" width="20" customWidth="1"/>
    <col min="5" max="6" width="22" customWidth="1"/>
    <col min="7" max="7" width="35" customWidth="1"/>
    <col min="8" max="8" width="38" customWidth="1"/>
  </cols>
  <sheetData>
    <row r="1" spans="1:8" ht="33.950000000000003" customHeight="1">
      <c r="A1" s="6" t="s">
        <v>0</v>
      </c>
      <c r="B1" s="6"/>
      <c r="C1" s="6"/>
      <c r="D1" s="6"/>
      <c r="E1" s="6"/>
      <c r="F1" s="6"/>
      <c r="G1" s="6"/>
      <c r="H1" s="6"/>
    </row>
    <row r="2" spans="1:8">
      <c r="A2" s="7" t="s">
        <v>1</v>
      </c>
      <c r="B2" s="7"/>
      <c r="C2" s="7"/>
      <c r="D2" s="7"/>
      <c r="E2" s="7"/>
      <c r="F2" s="7"/>
      <c r="G2" s="7"/>
      <c r="H2" s="7"/>
    </row>
    <row r="4" spans="1:8">
      <c r="A4" t="s">
        <v>2</v>
      </c>
      <c r="B4">
        <v>4</v>
      </c>
      <c r="D4" t="s">
        <v>3</v>
      </c>
      <c r="E4">
        <v>4.7</v>
      </c>
    </row>
    <row r="6" spans="1:8" ht="1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</row>
    <row r="7" spans="1:8">
      <c r="A7" s="2" t="s">
        <v>12</v>
      </c>
      <c r="B7" s="2">
        <v>1</v>
      </c>
      <c r="C7" s="4">
        <v>0</v>
      </c>
      <c r="D7" s="3"/>
      <c r="E7" s="5" t="str">
        <f>IF(OR(C7="",NOT(ISNUMBER(C7))),"",IF(D7="CNY",B7*C7/$E$4,IF(D7="AUD",B7*C7,"")))</f>
        <v/>
      </c>
      <c r="F7" s="5">
        <v>550</v>
      </c>
      <c r="G7" s="2" t="s">
        <v>13</v>
      </c>
      <c r="H7" s="2" t="s">
        <v>14</v>
      </c>
    </row>
    <row r="8" spans="1:8">
      <c r="A8" s="2" t="s">
        <v>15</v>
      </c>
      <c r="B8" s="2">
        <v>1</v>
      </c>
      <c r="C8" s="4">
        <v>25</v>
      </c>
      <c r="D8" s="3"/>
      <c r="E8" s="5" t="str">
        <f>IF(OR(C8="",NOT(ISNUMBER(C8))),"",IF(D8="CNY",B8*C8/$E$4,IF(D8="AUD",B8*C8,"")))</f>
        <v/>
      </c>
      <c r="F8" s="5">
        <v>159</v>
      </c>
      <c r="G8" s="2" t="s">
        <v>16</v>
      </c>
      <c r="H8" s="2" t="s">
        <v>17</v>
      </c>
    </row>
    <row r="9" spans="1:8">
      <c r="A9" s="2" t="s">
        <v>18</v>
      </c>
      <c r="B9" s="2">
        <v>1</v>
      </c>
      <c r="C9" s="4">
        <v>4</v>
      </c>
      <c r="D9" s="3"/>
      <c r="E9" s="5" t="str">
        <f>IF(OR(C9="",NOT(ISNUMBER(C9))),"",IF(D9="CNY",B9*C9/$E$4,IF(D9="AUD",B9*C9,"")))</f>
        <v/>
      </c>
      <c r="F9" s="5">
        <v>35</v>
      </c>
      <c r="G9" s="2" t="s">
        <v>19</v>
      </c>
      <c r="H9" s="2" t="s">
        <v>20</v>
      </c>
    </row>
    <row r="10" spans="1:8">
      <c r="A10" s="2" t="s">
        <v>21</v>
      </c>
      <c r="B10" s="2">
        <v>1</v>
      </c>
      <c r="C10" s="4">
        <v>0</v>
      </c>
      <c r="D10" s="3"/>
      <c r="E10" s="5" t="str">
        <f>IF(OR(C10="",NOT(ISNUMBER(C10))),"",IF(D10="CNY",B10*C10/$E$4,IF(D10="AUD",B10*C10,"")))</f>
        <v/>
      </c>
      <c r="F10" s="5">
        <v>5</v>
      </c>
      <c r="G10" s="2" t="s">
        <v>22</v>
      </c>
      <c r="H10" s="2" t="s">
        <v>23</v>
      </c>
    </row>
  </sheetData>
  <mergeCells count="2">
    <mergeCell ref="A1:H1"/>
    <mergeCell ref="A2:H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A3412"/>
  </sheetPr>
  <dimension ref="A1:H12"/>
  <sheetViews>
    <sheetView showGridLines="0" tabSelected="1" workbookViewId="0">
      <pane ySplit="6" topLeftCell="A7" activePane="bottomLeft" state="frozen"/>
      <selection pane="bottomLeft" activeCell="C17" sqref="C17"/>
    </sheetView>
  </sheetViews>
  <sheetFormatPr defaultRowHeight="14.25"/>
  <cols>
    <col min="1" max="1" width="74" customWidth="1"/>
    <col min="2" max="2" width="13" customWidth="1"/>
    <col min="3" max="3" width="22" customWidth="1"/>
    <col min="4" max="4" width="20" customWidth="1"/>
    <col min="5" max="6" width="22" customWidth="1"/>
    <col min="7" max="7" width="35" customWidth="1"/>
    <col min="8" max="8" width="38" customWidth="1"/>
  </cols>
  <sheetData>
    <row r="1" spans="1:8" ht="33.950000000000003" customHeight="1">
      <c r="A1" s="6" t="s">
        <v>24</v>
      </c>
      <c r="B1" s="6"/>
      <c r="C1" s="6"/>
      <c r="D1" s="6"/>
      <c r="E1" s="6"/>
      <c r="F1" s="6"/>
      <c r="G1" s="6"/>
      <c r="H1" s="6"/>
    </row>
    <row r="2" spans="1:8">
      <c r="A2" s="7" t="s">
        <v>1</v>
      </c>
      <c r="B2" s="7"/>
      <c r="C2" s="7"/>
      <c r="D2" s="7"/>
      <c r="E2" s="7"/>
      <c r="F2" s="7"/>
      <c r="G2" s="7"/>
      <c r="H2" s="7"/>
    </row>
    <row r="4" spans="1:8">
      <c r="A4" t="s">
        <v>2</v>
      </c>
      <c r="B4">
        <v>6</v>
      </c>
      <c r="D4" t="s">
        <v>3</v>
      </c>
      <c r="E4">
        <v>4.7</v>
      </c>
    </row>
    <row r="6" spans="1:8" ht="1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</row>
    <row r="7" spans="1:8">
      <c r="A7" s="2" t="s">
        <v>18</v>
      </c>
      <c r="B7" s="2">
        <v>4</v>
      </c>
      <c r="C7" s="4">
        <v>4</v>
      </c>
      <c r="D7" s="3"/>
      <c r="E7" s="5" t="str">
        <f t="shared" ref="E7:E12" si="0">IF(OR(C7="",NOT(ISNUMBER(C7))),"",IF(D7="CNY",B7*C7/$E$4,IF(D7="AUD",B7*C7,"")))</f>
        <v/>
      </c>
      <c r="F7" s="5">
        <v>140</v>
      </c>
      <c r="G7" s="2" t="s">
        <v>25</v>
      </c>
      <c r="H7" s="2" t="s">
        <v>26</v>
      </c>
    </row>
    <row r="8" spans="1:8">
      <c r="A8" s="2" t="s">
        <v>27</v>
      </c>
      <c r="B8" s="2">
        <v>1</v>
      </c>
      <c r="C8" s="4">
        <v>15</v>
      </c>
      <c r="D8" s="3"/>
      <c r="E8" s="5" t="str">
        <f t="shared" si="0"/>
        <v/>
      </c>
      <c r="F8" s="5">
        <v>70</v>
      </c>
      <c r="G8" s="2" t="s">
        <v>28</v>
      </c>
      <c r="H8" s="2" t="s">
        <v>29</v>
      </c>
    </row>
    <row r="9" spans="1:8">
      <c r="A9" s="2" t="s">
        <v>30</v>
      </c>
      <c r="B9" s="2">
        <v>2</v>
      </c>
      <c r="C9" s="4">
        <v>4</v>
      </c>
      <c r="D9" s="3"/>
      <c r="E9" s="5" t="str">
        <f t="shared" si="0"/>
        <v/>
      </c>
      <c r="F9" s="5">
        <v>65</v>
      </c>
      <c r="G9" s="2" t="s">
        <v>31</v>
      </c>
      <c r="H9" s="2" t="s">
        <v>32</v>
      </c>
    </row>
    <row r="10" spans="1:8">
      <c r="A10" s="2" t="s">
        <v>33</v>
      </c>
      <c r="B10" s="2">
        <v>1</v>
      </c>
      <c r="C10" s="4">
        <v>150</v>
      </c>
      <c r="D10" s="3"/>
      <c r="E10" s="5" t="str">
        <f t="shared" si="0"/>
        <v/>
      </c>
      <c r="F10" s="5">
        <v>499</v>
      </c>
      <c r="G10" s="2" t="s">
        <v>34</v>
      </c>
      <c r="H10" s="2" t="s">
        <v>35</v>
      </c>
    </row>
    <row r="11" spans="1:8">
      <c r="A11" s="2" t="s">
        <v>36</v>
      </c>
      <c r="B11" s="2">
        <v>1</v>
      </c>
      <c r="C11" s="4">
        <v>0</v>
      </c>
      <c r="D11" s="3"/>
      <c r="E11" s="5" t="str">
        <f t="shared" si="0"/>
        <v/>
      </c>
      <c r="F11" s="5">
        <v>19</v>
      </c>
      <c r="G11" s="2" t="s">
        <v>37</v>
      </c>
      <c r="H11" s="2" t="s">
        <v>38</v>
      </c>
    </row>
    <row r="12" spans="1:8">
      <c r="A12" s="2" t="s">
        <v>39</v>
      </c>
      <c r="B12" s="2">
        <v>1</v>
      </c>
      <c r="C12" s="4">
        <v>15</v>
      </c>
      <c r="D12" s="3"/>
      <c r="E12" s="5" t="str">
        <f t="shared" si="0"/>
        <v/>
      </c>
      <c r="F12" s="5">
        <v>29.99</v>
      </c>
      <c r="G12" s="2" t="s">
        <v>37</v>
      </c>
      <c r="H12" s="2" t="s">
        <v>40</v>
      </c>
    </row>
  </sheetData>
  <mergeCells count="2">
    <mergeCell ref="A1:H1"/>
    <mergeCell ref="A2:H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TW</vt:lpstr>
      <vt:lpstr>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Bevan Miao</cp:lastModifiedBy>
  <dcterms:modified xsi:type="dcterms:W3CDTF">2026-09-25T14:15:57Z</dcterms:modified>
</cp:coreProperties>
</file>