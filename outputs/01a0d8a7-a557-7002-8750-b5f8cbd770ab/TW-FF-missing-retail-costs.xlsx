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7509ad97c4a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W" sheetId="1" r:id="Ref47e35019e44b57"/>
    <x:sheet xmlns:r="http://schemas.openxmlformats.org/officeDocument/2006/relationships" name="FF" sheetId="2" r:id="R8a7af8a216a747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155E75"/>
      </x:patternFill>
    </x:fill>
    <x:fill>
      <x:patternFill patternType="solid">
        <x:fgColor rgb="FFFFF1D6"/>
      </x:patternFill>
    </x:fill>
  </x:fills>
  <x:borders count="2">
    <x:border/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8d979c491407b" /><Relationship Type="http://schemas.openxmlformats.org/officeDocument/2006/relationships/theme" Target="/xl/theme/theme1.xml" Id="R9a1c75a8a73645a5" /><Relationship Type="http://schemas.openxmlformats.org/officeDocument/2006/relationships/sharedStrings" Target="/xl/sharedStrings.xml" Id="R1e2dbc69f9ff4d41" /><Relationship Type="http://schemas.openxmlformats.org/officeDocument/2006/relationships/worksheet" Target="/xl/worksheets/sheet1.xml" Id="Ref47e35019e44b57" /><Relationship Type="http://schemas.openxmlformats.org/officeDocument/2006/relationships/worksheet" Target="/xl/worksheets/sheet2.xml" Id="R8a7af8a216a747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5E7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4" hidden="0" customWidth="1"/>
    <x:col min="2" max="2" width="13" hidden="0" customWidth="1"/>
    <x:col min="3" max="3" width="22" hidden="0" customWidth="1"/>
    <x:col min="4" max="4" width="20" hidden="0" customWidth="1"/>
    <x:col min="5" max="5" width="22" hidden="0" customWidth="1"/>
    <x:col min="6" max="6" width="22" hidden="0" customWidth="1"/>
    <x:col min="7" max="7" width="35" hidden="0" customWidth="1"/>
    <x:col min="8" max="8" width="38" hidden="0" customWidth="1"/>
  </x:cols>
  <x:sheetData>
    <x:row r="1" ht="34" customHeight="1">
      <x:c r="A1" s="2" t="str">
        <x:v>TW｜POS 未记录进货成本的已售商品</x:v>
      </x:c>
      <x:c r="B1" s="2"/>
      <x:c r="C1" s="2"/>
      <x:c r="D1" s="2"/>
      <x:c r="E1" s="2"/>
      <x:c r="F1" s="2"/>
      <x:c r="G1" s="2"/>
      <x:c r="H1" s="2"/>
    </x:row>
    <x:row r="2">
      <x:c r="A2" t="str">
        <x:v>2026-09-01 至 2026-09-25；已剔除全额退货，部分退货按净售数量。请填黄色的单件进货成本及货币。</x:v>
      </x:c>
    </x:row>
    <x:row r="4">
      <x:c r="A4" t="str">
        <x:v>待补商品种类</x:v>
      </x:c>
      <x:c r="B4" t="n">
        <x:v>4</x:v>
      </x:c>
      <x:c r="D4" t="str">
        <x:v>1 AUD = CNY</x:v>
      </x:c>
      <x:c r="E4" t="n">
        <x:v>4.7</x:v>
      </x:c>
    </x:row>
    <x:row r="6">
      <x:c r="A6" s="4" t="str">
        <x:v>商品／备注</x:v>
      </x:c>
      <x:c r="B6" s="4" t="str">
        <x:v>净售数量</x:v>
      </x:c>
      <x:c r="C6" s="4" t="str">
        <x:v>单件进货成本</x:v>
      </x:c>
      <x:c r="D6" s="4" t="str">
        <x:v>货币 (AUD/CNY)</x:v>
      </x:c>
      <x:c r="E6" s="4" t="str">
        <x:v>总成本 AUD</x:v>
      </x:c>
      <x:c r="F6" s="4" t="str">
        <x:v>净销售额含 GST</x:v>
      </x:c>
      <x:c r="G6" s="4" t="str">
        <x:v>销售日期</x:v>
      </x:c>
      <x:c r="H6" s="4" t="str">
        <x:v>POS 明细编号</x:v>
      </x:c>
    </x:row>
    <x:row r="7">
      <x:c r="A7" s="6" t="str">
        <x:v>iPhone 13 Pro（POS 其他商品）</x:v>
      </x:c>
      <x:c r="B7" s="6" t="n">
        <x:v>1</x:v>
      </x:c>
      <x:c r="C7" s="8"/>
      <x:c r="D7" s="7"/>
      <x:c r="E7" s="9" t="str">
        <x:f>IF(OR(C7="",NOT(ISNUMBER(C7))),"",IF(D7="CNY",B7*C7/$E$4,IF(D7="AUD",B7*C7,"")))</x:f>
      </x:c>
      <x:c r="F7" s="9" t="n">
        <x:v>550</x:v>
      </x:c>
      <x:c r="G7" s="6" t="str">
        <x:v>2026-09-03</x:v>
      </x:c>
      <x:c r="H7" s="6" t="str">
        <x:v>21741</x:v>
      </x:c>
    </x:row>
    <x:row r="8">
      <x:c r="A8" s="6" t="str">
        <x:v>iPad 9th Touch screen（POS 其他商品）</x:v>
      </x:c>
      <x:c r="B8" s="6" t="n">
        <x:v>1</x:v>
      </x:c>
      <x:c r="C8" s="8"/>
      <x:c r="D8" s="7"/>
      <x:c r="E8" s="9" t="str">
        <x:f>IF(OR(C8="",NOT(ISNUMBER(C8))),"",IF(D8="CNY",B8*C8/$E$4,IF(D8="AUD",B8*C8,"")))</x:f>
      </x:c>
      <x:c r="F8" s="9" t="n">
        <x:v>159</x:v>
      </x:c>
      <x:c r="G8" s="6" t="str">
        <x:v>2026-09-06</x:v>
      </x:c>
      <x:c r="H8" s="6" t="str">
        <x:v>21823</x:v>
      </x:c>
    </x:row>
    <x:row r="9">
      <x:c r="A9" s="6" t="str">
        <x:v>1M Ultra Tough USB-C to USB-C Cable</x:v>
      </x:c>
      <x:c r="B9" s="6" t="n">
        <x:v>1</x:v>
      </x:c>
      <x:c r="C9" s="8"/>
      <x:c r="D9" s="7"/>
      <x:c r="E9" s="9" t="str">
        <x:f>IF(OR(C9="",NOT(ISNUMBER(C9))),"",IF(D9="CNY",B9*C9/$E$4,IF(D9="AUD",B9*C9,"")))</x:f>
      </x:c>
      <x:c r="F9" s="9" t="n">
        <x:v>35</x:v>
      </x:c>
      <x:c r="G9" s="6" t="str">
        <x:v>2026-09-16</x:v>
      </x:c>
      <x:c r="H9" s="6" t="str">
        <x:v>22023</x:v>
      </x:c>
    </x:row>
    <x:row r="10">
      <x:c r="A10" s="6" t="str">
        <x:v>Pop sockets（POS 其他商品）</x:v>
      </x:c>
      <x:c r="B10" s="6" t="n">
        <x:v>1</x:v>
      </x:c>
      <x:c r="C10" s="8"/>
      <x:c r="D10" s="7"/>
      <x:c r="E10" s="9" t="str">
        <x:f>IF(OR(C10="",NOT(ISNUMBER(C10))),"",IF(D10="CNY",B10*C10/$E$4,IF(D10="AUD",B10*C10,"")))</x:f>
      </x:c>
      <x:c r="F10" s="9" t="n">
        <x:v>5</x:v>
      </x:c>
      <x:c r="G10" s="6" t="str">
        <x:v>2026-09-17</x:v>
      </x:c>
      <x:c r="H10" s="6" t="str">
        <x:v>22043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A341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4" hidden="0" customWidth="1"/>
    <x:col min="2" max="2" width="13" hidden="0" customWidth="1"/>
    <x:col min="3" max="3" width="22" hidden="0" customWidth="1"/>
    <x:col min="4" max="4" width="20" hidden="0" customWidth="1"/>
    <x:col min="5" max="5" width="22" hidden="0" customWidth="1"/>
    <x:col min="6" max="6" width="22" hidden="0" customWidth="1"/>
    <x:col min="7" max="7" width="35" hidden="0" customWidth="1"/>
    <x:col min="8" max="8" width="38" hidden="0" customWidth="1"/>
  </x:cols>
  <x:sheetData>
    <x:row r="1" ht="34" customHeight="1">
      <x:c r="A1" s="2" t="str">
        <x:v>FF｜POS 未记录进货成本的已售商品</x:v>
      </x:c>
      <x:c r="B1" s="2"/>
      <x:c r="C1" s="2"/>
      <x:c r="D1" s="2"/>
      <x:c r="E1" s="2"/>
      <x:c r="F1" s="2"/>
      <x:c r="G1" s="2"/>
      <x:c r="H1" s="2"/>
    </x:row>
    <x:row r="2">
      <x:c r="A2" t="str">
        <x:v>2026-09-01 至 2026-09-25；已剔除全额退货，部分退货按净售数量。请填黄色的单件进货成本及货币。</x:v>
      </x:c>
    </x:row>
    <x:row r="4">
      <x:c r="A4" t="str">
        <x:v>待补商品种类</x:v>
      </x:c>
      <x:c r="B4" t="n">
        <x:v>17</x:v>
      </x:c>
      <x:c r="D4" t="str">
        <x:v>1 AUD = CNY</x:v>
      </x:c>
      <x:c r="E4" t="n">
        <x:v>4.7</x:v>
      </x:c>
    </x:row>
    <x:row r="6">
      <x:c r="A6" s="4" t="str">
        <x:v>商品／备注</x:v>
      </x:c>
      <x:c r="B6" s="4" t="str">
        <x:v>净售数量</x:v>
      </x:c>
      <x:c r="C6" s="4" t="str">
        <x:v>单件进货成本</x:v>
      </x:c>
      <x:c r="D6" s="4" t="str">
        <x:v>货币 (AUD/CNY)</x:v>
      </x:c>
      <x:c r="E6" s="4" t="str">
        <x:v>总成本 AUD</x:v>
      </x:c>
      <x:c r="F6" s="4" t="str">
        <x:v>净销售额含 GST</x:v>
      </x:c>
      <x:c r="G6" s="4" t="str">
        <x:v>销售日期</x:v>
      </x:c>
      <x:c r="H6" s="4" t="str">
        <x:v>POS 明细编号</x:v>
      </x:c>
    </x:row>
    <x:row r="7">
      <x:c r="A7" s="6" t="str">
        <x:v>iPhone 15 Rich Diary Black Flip Case</x:v>
      </x:c>
      <x:c r="B7" s="6" t="n">
        <x:v>1</x:v>
      </x:c>
      <x:c r="C7" s="8"/>
      <x:c r="D7" s="7"/>
      <x:c r="E7" s="9" t="str">
        <x:f>IF(OR(C7="",NOT(ISNUMBER(C7))),"",IF(D7="CNY",B7*C7/$E$4,IF(D7="AUD",B7*C7,"")))</x:f>
      </x:c>
      <x:c r="F7" s="9" t="n">
        <x:v>45</x:v>
      </x:c>
      <x:c r="G7" s="6" t="str">
        <x:v>2026-09-01</x:v>
      </x:c>
      <x:c r="H7" s="6" t="str">
        <x:v>21714</x:v>
      </x:c>
    </x:row>
    <x:row r="8">
      <x:c r="A8" s="6" t="str">
        <x:v>iPhone 17 C Daub Hearts Magsafe</x:v>
      </x:c>
      <x:c r="B8" s="6" t="n">
        <x:v>1</x:v>
      </x:c>
      <x:c r="C8" s="8"/>
      <x:c r="D8" s="7"/>
      <x:c r="E8" s="9" t="str">
        <x:f>IF(OR(C8="",NOT(ISNUMBER(C8))),"",IF(D8="CNY",B8*C8/$E$4,IF(D8="AUD",B8*C8,"")))</x:f>
      </x:c>
      <x:c r="F8" s="9" t="n">
        <x:v>55</x:v>
      </x:c>
      <x:c r="G8" s="6" t="str">
        <x:v>2026-09-01</x:v>
      </x:c>
      <x:c r="H8" s="6" t="str">
        <x:v>21715</x:v>
      </x:c>
    </x:row>
    <x:row r="9">
      <x:c r="A9" s="6" t="str">
        <x:v>1M ULTRA TOUGH TYPE C TO TYPE C CABLE</x:v>
      </x:c>
      <x:c r="B9" s="6" t="n">
        <x:v>1</x:v>
      </x:c>
      <x:c r="C9" s="8"/>
      <x:c r="D9" s="7"/>
      <x:c r="E9" s="9" t="str">
        <x:f>IF(OR(C9="",NOT(ISNUMBER(C9))),"",IF(D9="CNY",B9*C9/$E$4,IF(D9="AUD",B9*C9,"")))</x:f>
      </x:c>
      <x:c r="F9" s="9" t="n">
        <x:v>35</x:v>
      </x:c>
      <x:c r="G9" s="6" t="str">
        <x:v>2026-09-01</x:v>
      </x:c>
      <x:c r="H9" s="6" t="str">
        <x:v>21717</x:v>
      </x:c>
    </x:row>
    <x:row r="10">
      <x:c r="A10" s="6" t="str">
        <x:v>iPhone 13 Apple Logo Case Black</x:v>
      </x:c>
      <x:c r="B10" s="6" t="n">
        <x:v>1</x:v>
      </x:c>
      <x:c r="C10" s="8"/>
      <x:c r="D10" s="7"/>
      <x:c r="E10" s="9" t="str">
        <x:f>IF(OR(C10="",NOT(ISNUMBER(C10))),"",IF(D10="CNY",B10*C10/$E$4,IF(D10="AUD",B10*C10,"")))</x:f>
      </x:c>
      <x:c r="F10" s="9" t="n">
        <x:v>45</x:v>
      </x:c>
      <x:c r="G10" s="6" t="str">
        <x:v>2026-09-01</x:v>
      </x:c>
      <x:c r="H10" s="6" t="str">
        <x:v>21718</x:v>
      </x:c>
    </x:row>
    <x:row r="11">
      <x:c r="A11" s="6" t="str">
        <x:v>GS06 Mini Function Mobile Phone Power Data Transmit Convert Card Reader Type-C To USB OTG Adapter</x:v>
      </x:c>
      <x:c r="B11" s="6" t="n">
        <x:v>1</x:v>
      </x:c>
      <x:c r="C11" s="8"/>
      <x:c r="D11" s="7"/>
      <x:c r="E11" s="9" t="str">
        <x:f>IF(OR(C11="",NOT(ISNUMBER(C11))),"",IF(D11="CNY",B11*C11/$E$4,IF(D11="AUD",B11*C11,"")))</x:f>
      </x:c>
      <x:c r="F11" s="9" t="n">
        <x:v>15</x:v>
      </x:c>
      <x:c r="G11" s="6" t="str">
        <x:v>2026-09-01</x:v>
      </x:c>
      <x:c r="H11" s="6" t="str">
        <x:v>21720</x:v>
      </x:c>
    </x:row>
    <x:row r="12">
      <x:c r="A12" s="6" t="str">
        <x:v>2M Ultra Tough TYPE-C Cable</x:v>
      </x:c>
      <x:c r="B12" s="6" t="n">
        <x:v>1</x:v>
      </x:c>
      <x:c r="C12" s="8"/>
      <x:c r="D12" s="7"/>
      <x:c r="E12" s="9" t="str">
        <x:f>IF(OR(C12="",NOT(ISNUMBER(C12))),"",IF(D12="CNY",B12*C12/$E$4,IF(D12="AUD",B12*C12,"")))</x:f>
      </x:c>
      <x:c r="F12" s="9" t="n">
        <x:v>35</x:v>
      </x:c>
      <x:c r="G12" s="6" t="str">
        <x:v>2026-09-01</x:v>
      </x:c>
      <x:c r="H12" s="6" t="str">
        <x:v>21721</x:v>
      </x:c>
    </x:row>
    <x:row r="13">
      <x:c r="A13" s="6" t="str">
        <x:v>Iphone 14 Pro Max Silicone MagSafe Hard Case — Matte Black</x:v>
      </x:c>
      <x:c r="B13" s="6" t="n">
        <x:v>1</x:v>
      </x:c>
      <x:c r="C13" s="8"/>
      <x:c r="D13" s="7"/>
      <x:c r="E13" s="9" t="str">
        <x:f>IF(OR(C13="",NOT(ISNUMBER(C13))),"",IF(D13="CNY",B13*C13/$E$4,IF(D13="AUD",B13*C13,"")))</x:f>
      </x:c>
      <x:c r="F13" s="9" t="n">
        <x:v>49.95</x:v>
      </x:c>
      <x:c r="G13" s="6" t="str">
        <x:v>2026-09-01</x:v>
      </x:c>
      <x:c r="H13" s="6" t="str">
        <x:v>21725</x:v>
      </x:c>
    </x:row>
    <x:row r="14">
      <x:c r="A14" s="6" t="str">
        <x:v>1M High Quality Cable Lighting</x:v>
      </x:c>
      <x:c r="B14" s="6" t="n">
        <x:v>1</x:v>
      </x:c>
      <x:c r="C14" s="8"/>
      <x:c r="D14" s="7"/>
      <x:c r="E14" s="9" t="str">
        <x:f>IF(OR(C14="",NOT(ISNUMBER(C14))),"",IF(D14="CNY",B14*C14/$E$4,IF(D14="AUD",B14*C14,"")))</x:f>
      </x:c>
      <x:c r="F14" s="9" t="n">
        <x:v>25</x:v>
      </x:c>
      <x:c r="G14" s="6" t="str">
        <x:v>2026-09-01</x:v>
      </x:c>
      <x:c r="H14" s="6" t="str">
        <x:v>21727</x:v>
      </x:c>
    </x:row>
    <x:row r="15">
      <x:c r="A15" s="6" t="str">
        <x:v>1M ULTRA TOUGH TYPE-C CABLE</x:v>
      </x:c>
      <x:c r="B15" s="6" t="n">
        <x:v>1</x:v>
      </x:c>
      <x:c r="C15" s="8"/>
      <x:c r="D15" s="7"/>
      <x:c r="E15" s="9" t="str">
        <x:f>IF(OR(C15="",NOT(ISNUMBER(C15))),"",IF(D15="CNY",B15*C15/$E$4,IF(D15="AUD",B15*C15,"")))</x:f>
      </x:c>
      <x:c r="F15" s="9" t="n">
        <x:v>29</x:v>
      </x:c>
      <x:c r="G15" s="6" t="str">
        <x:v>2026-09-02</x:v>
      </x:c>
      <x:c r="H15" s="6" t="str">
        <x:v>21728</x:v>
      </x:c>
    </x:row>
    <x:row r="16">
      <x:c r="A16" s="6" t="str">
        <x:v>iPhone 16 plus apple logo MagSafe black Phone Case</x:v>
      </x:c>
      <x:c r="B16" s="6" t="n">
        <x:v>1</x:v>
      </x:c>
      <x:c r="C16" s="8"/>
      <x:c r="D16" s="7"/>
      <x:c r="E16" s="9" t="str">
        <x:f>IF(OR(C16="",NOT(ISNUMBER(C16))),"",IF(D16="CNY",B16*C16/$E$4,IF(D16="AUD",B16*C16,"")))</x:f>
      </x:c>
      <x:c r="F16" s="9" t="n">
        <x:v>59</x:v>
      </x:c>
      <x:c r="G16" s="6" t="str">
        <x:v>2026-09-02</x:v>
      </x:c>
      <x:c r="H16" s="6" t="str">
        <x:v>21730</x:v>
      </x:c>
    </x:row>
    <x:row r="17">
      <x:c r="A17" s="6" t="str">
        <x:v>iPad Z-Fold Case 10th Gen Black</x:v>
      </x:c>
      <x:c r="B17" s="6" t="n">
        <x:v>1</x:v>
      </x:c>
      <x:c r="C17" s="8"/>
      <x:c r="D17" s="7"/>
      <x:c r="E17" s="9" t="str">
        <x:f>IF(OR(C17="",NOT(ISNUMBER(C17))),"",IF(D17="CNY",B17*C17/$E$4,IF(D17="AUD",B17*C17,"")))</x:f>
      </x:c>
      <x:c r="F17" s="9" t="n">
        <x:v>39.95</x:v>
      </x:c>
      <x:c r="G17" s="6" t="str">
        <x:v>2026-09-02</x:v>
      </x:c>
      <x:c r="H17" s="6" t="str">
        <x:v>21731</x:v>
      </x:c>
    </x:row>
    <x:row r="18">
      <x:c r="A18" s="6" t="str">
        <x:v>iPhone 7 Plus battery（POS 其他商品）</x:v>
      </x:c>
      <x:c r="B18" s="6" t="n">
        <x:v>1</x:v>
      </x:c>
      <x:c r="C18" s="8"/>
      <x:c r="D18" s="7"/>
      <x:c r="E18" s="9" t="str">
        <x:f>IF(OR(C18="",NOT(ISNUMBER(C18))),"",IF(D18="CNY",B18*C18/$E$4,IF(D18="AUD",B18*C18,"")))</x:f>
      </x:c>
      <x:c r="F18" s="9" t="n">
        <x:v>70</x:v>
      </x:c>
      <x:c r="G18" s="6" t="str">
        <x:v>2026-09-04</x:v>
      </x:c>
      <x:c r="H18" s="6" t="str">
        <x:v>21777</x:v>
      </x:c>
    </x:row>
    <x:row r="19">
      <x:c r="A19" s="6" t="str">
        <x:v>1M Ultra Tough USB-C to Lightning Cable</x:v>
      </x:c>
      <x:c r="B19" s="6" t="n">
        <x:v>2</x:v>
      </x:c>
      <x:c r="C19" s="8"/>
      <x:c r="D19" s="7"/>
      <x:c r="E19" s="9" t="str">
        <x:f>IF(OR(C19="",NOT(ISNUMBER(C19))),"",IF(D19="CNY",B19*C19/$E$4,IF(D19="AUD",B19*C19,"")))</x:f>
      </x:c>
      <x:c r="F19" s="9" t="n">
        <x:v>65</x:v>
      </x:c>
      <x:c r="G19" s="6" t="str">
        <x:v>2026-09-10, 2026-09-19</x:v>
      </x:c>
      <x:c r="H19" s="6" t="str">
        <x:v>21910, 22090</x:v>
      </x:c>
    </x:row>
    <x:row r="20">
      <x:c r="A20" s="6" t="str">
        <x:v>iPhone 13 128GB（POS 其他商品）</x:v>
      </x:c>
      <x:c r="B20" s="6" t="n">
        <x:v>1</x:v>
      </x:c>
      <x:c r="C20" s="8"/>
      <x:c r="D20" s="7"/>
      <x:c r="E20" s="9" t="str">
        <x:f>IF(OR(C20="",NOT(ISNUMBER(C20))),"",IF(D20="CNY",B20*C20/$E$4,IF(D20="AUD",B20*C20,"")))</x:f>
      </x:c>
      <x:c r="F20" s="9" t="n">
        <x:v>499</x:v>
      </x:c>
      <x:c r="G20" s="6" t="str">
        <x:v>2026-09-14</x:v>
      </x:c>
      <x:c r="H20" s="6" t="str">
        <x:v>21990</x:v>
      </x:c>
    </x:row>
    <x:row r="21">
      <x:c r="A21" s="6" t="str">
        <x:v>1M Ultra Tough USB-C to USB-C Cable</x:v>
      </x:c>
      <x:c r="B21" s="6" t="n">
        <x:v>3</x:v>
      </x:c>
      <x:c r="C21" s="8"/>
      <x:c r="D21" s="7"/>
      <x:c r="E21" s="9" t="str">
        <x:f>IF(OR(C21="",NOT(ISNUMBER(C21))),"",IF(D21="CNY",B21*C21/$E$4,IF(D21="AUD",B21*C21,"")))</x:f>
      </x:c>
      <x:c r="F21" s="9" t="n">
        <x:v>105</x:v>
      </x:c>
      <x:c r="G21" s="6" t="str">
        <x:v>2026-09-17, 2026-09-19, 2026-09-20</x:v>
      </x:c>
      <x:c r="H21" s="6" t="str">
        <x:v>22059, 22099, 22108</x:v>
      </x:c>
    </x:row>
    <x:row r="22">
      <x:c r="A22" s="6" t="str">
        <x:v>其他商品（POS 未注明）</x:v>
      </x:c>
      <x:c r="B22" s="6" t="n">
        <x:v>1</x:v>
      </x:c>
      <x:c r="C22" s="8"/>
      <x:c r="D22" s="7"/>
      <x:c r="E22" s="9" t="str">
        <x:f>IF(OR(C22="",NOT(ISNUMBER(C22))),"",IF(D22="CNY",B22*C22/$E$4,IF(D22="AUD",B22*C22,"")))</x:f>
      </x:c>
      <x:c r="F22" s="9" t="n">
        <x:v>19</x:v>
      </x:c>
      <x:c r="G22" s="6" t="str">
        <x:v>2026-09-19</x:v>
      </x:c>
      <x:c r="H22" s="6" t="str">
        <x:v>22084</x:v>
      </x:c>
    </x:row>
    <x:row r="23">
      <x:c r="A23" s="6" t="str">
        <x:v>Office keyboard / Bluetooth add-on（POS 其他商品）</x:v>
      </x:c>
      <x:c r="B23" s="6" t="n">
        <x:v>1</x:v>
      </x:c>
      <x:c r="C23" s="8"/>
      <x:c r="D23" s="7"/>
      <x:c r="E23" s="9" t="str">
        <x:f>IF(OR(C23="",NOT(ISNUMBER(C23))),"",IF(D23="CNY",B23*C23/$E$4,IF(D23="AUD",B23*C23,"")))</x:f>
      </x:c>
      <x:c r="F23" s="9" t="n">
        <x:v>29.99</x:v>
      </x:c>
      <x:c r="G23" s="6" t="str">
        <x:v>2026-09-19</x:v>
      </x:c>
      <x:c r="H23" s="6" t="str">
        <x:v>22098</x:v>
      </x:c>
    </x:row>
  </x:sheetData>
  <x:mergeCells>
    <x:mergeCell ref="A1:H1"/>
    <x:mergeCell ref="A2:H2"/>
  </x:mergeCells>
  <x:pageMargins left="0.7" right="0.7" top="0.75" bottom="0.75" header="0.3" footer="0.3"/>
</x:worksheet>
</file>