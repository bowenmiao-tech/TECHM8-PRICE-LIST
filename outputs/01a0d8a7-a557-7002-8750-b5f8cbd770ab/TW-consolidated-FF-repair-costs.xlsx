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01a0d8a7-a557-7002-8750-b5f8cbd770ab\"/>
    </mc:Choice>
  </mc:AlternateContent>
  <xr:revisionPtr revIDLastSave="0" documentId="13_ncr:1_{2D77FE72-B1E9-42C9-907A-3C259E2AF12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W 汇总" sheetId="1" r:id="rId1"/>
    <sheet name="FF 逐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0" i="2" l="1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E5" i="2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<sst xmlns="http://schemas.openxmlformats.org/spreadsheetml/2006/main" count="366" uniqueCount="235">
  <si>
    <t>TW｜2026年9月维修成本（同项目合并）</t>
  </si>
  <si>
    <t>同机型、同维修项目、同单次成本与货币的记录合并；不同机型或不同成本保持分行。来源为已填写的逐单表。</t>
  </si>
  <si>
    <t>维修销售条目数</t>
  </si>
  <si>
    <t>合并后项目行数</t>
  </si>
  <si>
    <t>1 AUD = CNY</t>
  </si>
  <si>
    <t>设备/机型</t>
  </si>
  <si>
    <t>维修项目</t>
  </si>
  <si>
    <t>数量</t>
  </si>
  <si>
    <t>单次配件成本</t>
  </si>
  <si>
    <t>货币</t>
  </si>
  <si>
    <t>GST 口径</t>
  </si>
  <si>
    <t>销售额含 GST</t>
  </si>
  <si>
    <t>配件总成本 AUD 不含 GST</t>
  </si>
  <si>
    <t>工单号</t>
  </si>
  <si>
    <t>备注</t>
  </si>
  <si>
    <t>Apple iPhone iPhone 11</t>
  </si>
  <si>
    <t>Apple iPhone - iPhone 11 - Screen Replacement</t>
  </si>
  <si>
    <t>AUD</t>
  </si>
  <si>
    <t>RPR-1788220329550</t>
  </si>
  <si>
    <t>Onsite/Remote Assistance - (Hardware) Phone/Tablet Inspection - (Hardware) Phone/Tablet Inspection</t>
  </si>
  <si>
    <t>RPR-1788238069171, RPR-1788242571489, RPR-1788417730798, RPR-1789881464959, RPR-1790309182327</t>
  </si>
  <si>
    <t>Asus zenbook</t>
  </si>
  <si>
    <t>RPR-1788424157916</t>
  </si>
  <si>
    <t>Onsite/Remote Assistance - (Hardware) Laptop/PC Inspection - (Hardware) Laptop/PC Inspection</t>
  </si>
  <si>
    <t>RPR-1788485551288, RPR-1788570796917, RPR-1788574073950, RPR-1788662828083, RPR-1789105868635, RPR-1789610183517, RPR-1789968835238, RPR-1790305986376</t>
  </si>
  <si>
    <t>Samsung S Series Samsung S25 Plus</t>
  </si>
  <si>
    <t>Samsung S Series - Samsung S25 Plus - Charging Socket/Microphone</t>
  </si>
  <si>
    <t>RPR-1788484438388</t>
  </si>
  <si>
    <t>Apple iPhone iPhone 15 Pro Max</t>
  </si>
  <si>
    <t>Apple iPhone - iPhone 15 Pro Max - Screen Replacement (OLED)</t>
  </si>
  <si>
    <t>CNY</t>
  </si>
  <si>
    <t>RPR-1788481879686</t>
  </si>
  <si>
    <t>Apple iPhone iPhone 11 Pro</t>
  </si>
  <si>
    <t>Apple iPhone - iPhone 11 Pro - Charging Socket</t>
  </si>
  <si>
    <t>RPR-1788496612330</t>
  </si>
  <si>
    <t>Battery</t>
  </si>
  <si>
    <t>工单故障为 Charging Socket，请核对销售项目</t>
  </si>
  <si>
    <t>(Hardware) Phone/Tablet Inspection</t>
  </si>
  <si>
    <t>RPR-1788581635372, RPR-1789175287498, RPR-1790142345117</t>
  </si>
  <si>
    <t>Onsite/Remote Assistance - Windows/MAC OS System Install - Windows/MAC OS System Install</t>
  </si>
  <si>
    <t>RPR-1788655640952</t>
  </si>
  <si>
    <t>Apple iPhone iPhone 14 Plus</t>
  </si>
  <si>
    <t>Apple iPhone - iPhone 14 Plus - Screen Replacement</t>
  </si>
  <si>
    <t>RPR-1788663951762, RPR-1789436455716</t>
  </si>
  <si>
    <t>Samsung A Series Samsung A52S 5G</t>
  </si>
  <si>
    <t>Samsung A Series - Samsung A52S 5G - Charging Socket/Microphone</t>
  </si>
  <si>
    <t>RPR-1788667340700</t>
  </si>
  <si>
    <t>Inspection</t>
  </si>
  <si>
    <t>RPR-1788754809031</t>
  </si>
  <si>
    <t>(Hardware) Laptop/PC Inspection</t>
  </si>
  <si>
    <t>RPR-1788824682992</t>
  </si>
  <si>
    <t>Apple iPhone iPhone 16 Pro</t>
  </si>
  <si>
    <t>Screen Replacement (OLED)</t>
  </si>
  <si>
    <t>RPR-1788836197621</t>
  </si>
  <si>
    <t>Apple iPhone iPhone 14 Pro Max</t>
  </si>
  <si>
    <t>RPR-1788845595389</t>
  </si>
  <si>
    <t>Apple iPhone iPhone 12 Pro</t>
  </si>
  <si>
    <t>RPR-1788845865844, RPR-1789186524860</t>
  </si>
  <si>
    <t>Apple iPhone iPhone 13</t>
  </si>
  <si>
    <t>RPR-1788851558368</t>
  </si>
  <si>
    <t>OPPO Reno10 5G</t>
  </si>
  <si>
    <t>REFUNDED</t>
  </si>
  <si>
    <t>RPR-1788912565647</t>
  </si>
  <si>
    <t>Samsung S Series Samsung S23 Ultra</t>
  </si>
  <si>
    <t>Screen Replacement</t>
  </si>
  <si>
    <t>RPR-1788909138021</t>
  </si>
  <si>
    <t>Labor(Detail require)</t>
  </si>
  <si>
    <t>RPR-1788225069109</t>
  </si>
  <si>
    <t>Apple Watch Apple Watch SE/SE2 44mm</t>
  </si>
  <si>
    <t>Apple Watch - Apple Watch SE/SE2 44mm - Battery</t>
  </si>
  <si>
    <t>RPR-1788915455176</t>
  </si>
  <si>
    <t>Apple iPhone - iPhone 13 - Rear Camera</t>
  </si>
  <si>
    <t>RPR-1788921202005</t>
  </si>
  <si>
    <t>Apple iPhone iPhone 14 Pro</t>
  </si>
  <si>
    <t>RPR-1788919746108</t>
  </si>
  <si>
    <t>Onsite/Remote Assistance - Virus Cleaning (Report can be provied) - Virus Cleaning (Report can be provied)</t>
  </si>
  <si>
    <t>RPR-1788999406797, RPR-1789009745705, RPR-1789868444409, RPR-1790229590535, RPR-1790230004143</t>
  </si>
  <si>
    <t>Apple iPhone - iPhone 14 Plus - Battery</t>
  </si>
  <si>
    <t>RPR-1789017647562</t>
  </si>
  <si>
    <t>Charging port</t>
  </si>
  <si>
    <t>RPR-1788581635372</t>
  </si>
  <si>
    <t>工单未写具体机型</t>
  </si>
  <si>
    <t>Asus lcd</t>
  </si>
  <si>
    <t>RPR-1789108015775</t>
  </si>
  <si>
    <t>Liquid metal redo</t>
  </si>
  <si>
    <t>RPR-1788570796917</t>
  </si>
  <si>
    <t>Back Glass Replacement</t>
  </si>
  <si>
    <t>RPR-1789186524860</t>
  </si>
  <si>
    <t>工单故障为 Screen Replacement (OLED)，请核对销售项目</t>
  </si>
  <si>
    <t>Xbox</t>
  </si>
  <si>
    <t>RPR-1789260353896</t>
  </si>
  <si>
    <t>Screen Replacement (LCD)</t>
  </si>
  <si>
    <t>RPR-1789267000831</t>
  </si>
  <si>
    <t>Apple iPhone iPhone 13 Pro Max</t>
  </si>
  <si>
    <t>Apple iPhone - iPhone 13 Pro Max - Battery</t>
  </si>
  <si>
    <t>RPR-1789271809513</t>
  </si>
  <si>
    <t>Apple iPhone iPhone SE 3</t>
  </si>
  <si>
    <t>Apple iPhone - iPhone SE 3 - Battery</t>
  </si>
  <si>
    <t>RPR-1789342224706</t>
  </si>
  <si>
    <t>Apple iPad iPad 5 (2017)</t>
  </si>
  <si>
    <t>Apple iPad - iPad 5 (2017) - Touch / Digitizer Replacement</t>
  </si>
  <si>
    <t>RPR-1789360301605</t>
  </si>
  <si>
    <t>Samsung A Series Samsung A71 5G</t>
  </si>
  <si>
    <t>Samsung A Series - Samsung A71 5G - Battery (ORIGINAL )</t>
  </si>
  <si>
    <t>RPR-1789371135053</t>
  </si>
  <si>
    <t>Apple iPhone iPhone 12</t>
  </si>
  <si>
    <t>Apple iPhone - iPhone 12 - Battery</t>
  </si>
  <si>
    <t>RPR-1789448658628, RPR-1789448886842</t>
  </si>
  <si>
    <t>Samsung S Series Samsung S25</t>
  </si>
  <si>
    <t>Samsung S Series - Samsung S25 - Rear Camera Lens</t>
  </si>
  <si>
    <t>RPR-1789537542375</t>
  </si>
  <si>
    <t>Apple iPhone iPhone 11 Pro Max</t>
  </si>
  <si>
    <t>Apple iPhone - iPhone 11 Pro Max - Screen Replacement (LCD)</t>
  </si>
  <si>
    <t>RPR-1789601528250</t>
  </si>
  <si>
    <t>Lenovo L390 YOGA touch screen</t>
  </si>
  <si>
    <t>RPR-1789612002623</t>
  </si>
  <si>
    <t>Dell</t>
  </si>
  <si>
    <t>RPR-1789711529442</t>
  </si>
  <si>
    <t>Apple iPhone iPhone 13 Pro</t>
  </si>
  <si>
    <t>Apple iPhone - iPhone 13 Pro - Battery</t>
  </si>
  <si>
    <t>RPR-1789713860103</t>
  </si>
  <si>
    <t>Apple iPhone iPhone 15 Pro</t>
  </si>
  <si>
    <t>RPR-1789783887401</t>
  </si>
  <si>
    <t>Windows/MAC OS System Install</t>
  </si>
  <si>
    <t>RPR-1789196563061</t>
  </si>
  <si>
    <t>Apple iPhone - iPhone 11 Pro - Battery</t>
  </si>
  <si>
    <t>RPR-1790038938689</t>
  </si>
  <si>
    <t>Onsite/Remote Assistance - (Software) Phone/Tablet Inspection - (Software) Phone/Tablet Inspection</t>
  </si>
  <si>
    <t>RPR-1790123419572, RPR-1790124209769, RPR-1790313730203</t>
  </si>
  <si>
    <t>Charging Socket</t>
  </si>
  <si>
    <t>RPR-1790128207512</t>
  </si>
  <si>
    <t>Rear Camera Lens</t>
  </si>
  <si>
    <t>RPR-1790128621082</t>
  </si>
  <si>
    <t>LCD &amp; cable</t>
  </si>
  <si>
    <t>Apple iPhone iPhone 17 Pro</t>
  </si>
  <si>
    <t>Apple iPhone - iPhone 17 Pro - Screen Replacement (OLED)</t>
  </si>
  <si>
    <t>RPR-1790227373720</t>
  </si>
  <si>
    <t>Cleaning PC/Laptop</t>
  </si>
  <si>
    <t>RPR-1790140142529</t>
  </si>
  <si>
    <t>FF｜2026年9月维修成本逐单复查</t>
  </si>
  <si>
    <t>来源：POS 维修销售明细及对应工单；日期 2026-09-01 至 2026-09-25。原表已填成本已带入。</t>
  </si>
  <si>
    <t>每行是一条维修销售项；黄色栏可修改。GST 口径填“含 GST”或“不含 GST”，人民币成本填 CNY 并在 H5 输入兑换率。</t>
  </si>
  <si>
    <t>未填成本条目数</t>
  </si>
  <si>
    <t>1 CNY 折合 AUD</t>
  </si>
  <si>
    <t>CNY 成本需填 H5 汇率</t>
  </si>
  <si>
    <t>日期</t>
  </si>
  <si>
    <t>设备/机型（工单）</t>
  </si>
  <si>
    <t>维修销售项目</t>
  </si>
  <si>
    <t>配件成本 AUD 不含 GST</t>
  </si>
  <si>
    <t>复查备注</t>
  </si>
  <si>
    <t>2026-09-03</t>
  </si>
  <si>
    <t>RPR-1788395541264</t>
  </si>
  <si>
    <t>Onsite/Remote Assistance - Insurance Report - Insurance Report</t>
  </si>
  <si>
    <t>RPR-1788397157905</t>
  </si>
  <si>
    <t>RPR-1788397231929</t>
  </si>
  <si>
    <t>Apple iPhone - iPhone 14 Plus - Back Glass Replacement</t>
  </si>
  <si>
    <t>RPR-1788399224416</t>
  </si>
  <si>
    <t>Google Google Pixel 6A</t>
  </si>
  <si>
    <t>Google - Google Pixel 6A - Battery Replacement</t>
  </si>
  <si>
    <t>RPR-1788413825545</t>
  </si>
  <si>
    <t>RPR-1788417663663</t>
  </si>
  <si>
    <t>2026-09-05</t>
  </si>
  <si>
    <t>RPR-1788571151451</t>
  </si>
  <si>
    <t>RPR-1788573730239</t>
  </si>
  <si>
    <t>RPR-1788585154533</t>
  </si>
  <si>
    <t>17 pm lens</t>
  </si>
  <si>
    <t>14 pro max back glass and charging port and battery</t>
  </si>
  <si>
    <t>2026-09-06</t>
  </si>
  <si>
    <t>RPR-1788656888464</t>
  </si>
  <si>
    <t>Samsung S Series - Samsung S23 Ultra - Screen Replacement</t>
  </si>
  <si>
    <t>data back up</t>
  </si>
  <si>
    <t>RPR-1788665113906</t>
  </si>
  <si>
    <t>Apple iPhone iPhone 17 Pro Max</t>
  </si>
  <si>
    <t>Apple iPhone - iPhone 17 Pro Max - Screen Replacement (OLED)</t>
  </si>
  <si>
    <t>RPR-1788671603926</t>
  </si>
  <si>
    <t>Apple iPhone iPhone 12 Pro Max</t>
  </si>
  <si>
    <t>Apple iPhone - iPhone 12 Pro Max - Screen Replacement (LCD)</t>
  </si>
  <si>
    <t>RPR-1788671663654</t>
  </si>
  <si>
    <t>Apple iPhone - iPhone 12 Pro Max - Charging Socket</t>
  </si>
  <si>
    <t>2026-09-07</t>
  </si>
  <si>
    <t>RPR-1788764897931</t>
  </si>
  <si>
    <t>2026-09-08</t>
  </si>
  <si>
    <t>RPR-1788845064758</t>
  </si>
  <si>
    <t>2026-09-09</t>
  </si>
  <si>
    <t>RPR-1788910423514</t>
  </si>
  <si>
    <t>RPR-1788913221783</t>
  </si>
  <si>
    <t>RPR-1788916220145</t>
  </si>
  <si>
    <t>2026-09-10</t>
  </si>
  <si>
    <t>RPR-1789023748341</t>
  </si>
  <si>
    <t>2026-09-11</t>
  </si>
  <si>
    <t>RPR-1789096276805</t>
  </si>
  <si>
    <t>iphone se 3 battery replacement</t>
  </si>
  <si>
    <t>2026-09-12</t>
  </si>
  <si>
    <t>RPR-1789172281063</t>
  </si>
  <si>
    <t>iphone 13 screen oled replacement</t>
  </si>
  <si>
    <t>iphone 13 battery replacement</t>
  </si>
  <si>
    <t>2026-09-14</t>
  </si>
  <si>
    <t>dell p137G battery</t>
  </si>
  <si>
    <t>RPR-1789341518230</t>
  </si>
  <si>
    <t>iphone se 2 battery replacement</t>
  </si>
  <si>
    <t>iphone se 2 charging socket</t>
  </si>
  <si>
    <t>2026-09-16</t>
  </si>
  <si>
    <t>RPR-1789526083105</t>
  </si>
  <si>
    <t>2026-09-19</t>
  </si>
  <si>
    <t>RPR-1789785000572</t>
  </si>
  <si>
    <t>Apple iPhone - iPhone 16 Pro - Screen Replacement (OLED)</t>
  </si>
  <si>
    <t>RPR-1789798320779</t>
  </si>
  <si>
    <t>2026-09-20</t>
  </si>
  <si>
    <t>RPR-1789871157587</t>
  </si>
  <si>
    <t>2026-09-21</t>
  </si>
  <si>
    <t>RPR-1789957224109</t>
  </si>
  <si>
    <t>Ear Speaker/Ear Speaker Flex</t>
  </si>
  <si>
    <t>RPR-1789970638747</t>
  </si>
  <si>
    <t>Apple iPhone iPhone XR</t>
  </si>
  <si>
    <t>Apple iPhone - iPhone XR - Screen Replacement</t>
  </si>
  <si>
    <t>2026-09-22</t>
  </si>
  <si>
    <t>RPR-1790039452189</t>
  </si>
  <si>
    <t>Virus Cleaning (Report can be provied)</t>
  </si>
  <si>
    <t>2026-09-24</t>
  </si>
  <si>
    <t>RPR-1790221514234</t>
  </si>
  <si>
    <t>Apple iPad iPad 9 (2021)</t>
  </si>
  <si>
    <t>Apple iPad - iPad 9 (2021) - Touch / Digitizer Replacement</t>
  </si>
  <si>
    <t>RPR-1790232118115</t>
  </si>
  <si>
    <t>Apple iPhone iPhone 16 Pro Max</t>
  </si>
  <si>
    <t>Apple iPhone - iPhone 16 Pro Max - Screen Replacement(LCD)</t>
  </si>
  <si>
    <t>RPR-1790232165091</t>
  </si>
  <si>
    <t>Apple iPhone - iPhone 16 Pro Max - Back Glass Replacement</t>
  </si>
  <si>
    <t>2026-09-25</t>
  </si>
  <si>
    <t>RPR-1790293422389</t>
  </si>
  <si>
    <t>Apple iPhone - iPhone 16 Pro - Screen Replacement (LCD)</t>
  </si>
  <si>
    <t>RPR-1790292769226</t>
  </si>
  <si>
    <t>172CNY</t>
    <phoneticPr fontId="4" type="noConversion"/>
  </si>
  <si>
    <t>182CNY</t>
    <phoneticPr fontId="4" type="noConversion"/>
  </si>
  <si>
    <t>30CNY</t>
    <phoneticPr fontId="4" type="noConversion"/>
  </si>
  <si>
    <t>290CNY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</si>
</sst>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5">
    <font>
      <sz val="11"/>
      <name val="Carlito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5324A"/>
      </patternFill>
    </fill>
    <fill>
      <patternFill patternType="solid">
        <fgColor rgb="FF155E75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1" applyFont="1" applyFill="1"/>
    <xf numFmtId="0" fontId="2" fillId="3" borderId="0" xfId="1" applyFont="1" applyFill="1"/>
    <xf numFmtId="0" fontId="0" fillId="4" borderId="0" xfId="1" applyFont="1" applyFill="1"/>
    <xf numFmtId="0" fontId="0" fillId="0" borderId="1" xfId="1" applyFont="1" applyBorder="1"/>
    <xf numFmtId="0" fontId="0" fillId="4" borderId="1" xfId="1" applyFont="1" applyFill="1" applyBorder="1"/>
    <xf numFmtId="176" fontId="0" fillId="4" borderId="1" xfId="1" applyNumberFormat="1" applyFont="1" applyFill="1" applyBorder="1"/>
    <xf numFmtId="176" fontId="0" fillId="0" borderId="1" xfId="1" applyNumberFormat="1" applyFont="1" applyBorder="1"/>
    <xf numFmtId="0" fontId="1" fillId="2" borderId="0" xfId="1" applyFont="1" applyFill="1"/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5E75"/>
  </sheetPr>
  <dimension ref="A1:J57"/>
  <sheetViews>
    <sheetView showGridLines="0" workbookViewId="0">
      <pane ySplit="6" topLeftCell="A7" activePane="bottomLeft" state="frozen"/>
      <selection pane="bottomLeft" sqref="A1:J1"/>
    </sheetView>
  </sheetViews>
  <sheetFormatPr defaultRowHeight="14.25"/>
  <cols>
    <col min="1" max="1" width="36" customWidth="1"/>
    <col min="2" max="2" width="76" customWidth="1"/>
    <col min="3" max="3" width="10" customWidth="1"/>
    <col min="4" max="4" width="22" customWidth="1"/>
    <col min="5" max="6" width="15" customWidth="1"/>
    <col min="7" max="8" width="25" customWidth="1"/>
    <col min="9" max="9" width="56" customWidth="1"/>
    <col min="10" max="10" width="46" customWidth="1"/>
  </cols>
  <sheetData>
    <row r="1" spans="1:10" ht="33.950000000000003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>
      <c r="A4" t="s">
        <v>2</v>
      </c>
      <c r="B4">
        <v>73</v>
      </c>
      <c r="D4" t="s">
        <v>3</v>
      </c>
      <c r="E4">
        <v>51</v>
      </c>
      <c r="G4" t="s">
        <v>4</v>
      </c>
      <c r="H4">
        <v>4.7</v>
      </c>
    </row>
    <row r="6" spans="1:10" ht="1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</row>
    <row r="7" spans="1:10">
      <c r="A7" s="4" t="s">
        <v>15</v>
      </c>
      <c r="B7" s="4" t="s">
        <v>16</v>
      </c>
      <c r="C7" s="4">
        <v>1</v>
      </c>
      <c r="D7" s="6">
        <v>18</v>
      </c>
      <c r="E7" s="5" t="s">
        <v>17</v>
      </c>
      <c r="F7" s="5"/>
      <c r="G7" s="7">
        <v>119</v>
      </c>
      <c r="H7" s="7" t="str">
        <f t="shared" ref="H7:H38" si="0">IF(OR(D7="",NOT(ISNUMBER(D7))),"",IF(E7="CNY",C7*D7/$H$4,IF(F7="含 GST",C7*D7/1.1,IF(F7="不含 GST",C7*D7,""))))</f>
        <v/>
      </c>
      <c r="I7" s="4" t="s">
        <v>18</v>
      </c>
      <c r="J7" s="4"/>
    </row>
    <row r="8" spans="1:10">
      <c r="A8" s="4"/>
      <c r="B8" s="4" t="s">
        <v>19</v>
      </c>
      <c r="C8" s="4">
        <v>5</v>
      </c>
      <c r="D8" s="6">
        <v>0</v>
      </c>
      <c r="E8" s="5" t="s">
        <v>17</v>
      </c>
      <c r="F8" s="5"/>
      <c r="G8" s="7">
        <v>367</v>
      </c>
      <c r="H8" s="7" t="str">
        <f t="shared" si="0"/>
        <v/>
      </c>
      <c r="I8" s="4" t="s">
        <v>20</v>
      </c>
      <c r="J8" s="4"/>
    </row>
    <row r="9" spans="1:10">
      <c r="A9" s="4" t="s">
        <v>21</v>
      </c>
      <c r="B9" s="4" t="s">
        <v>21</v>
      </c>
      <c r="C9" s="4">
        <v>1</v>
      </c>
      <c r="D9" s="6">
        <v>180</v>
      </c>
      <c r="E9" s="5"/>
      <c r="F9" s="5"/>
      <c r="G9" s="7">
        <v>349</v>
      </c>
      <c r="H9" s="7" t="str">
        <f t="shared" si="0"/>
        <v/>
      </c>
      <c r="I9" s="4" t="s">
        <v>22</v>
      </c>
      <c r="J9" s="4"/>
    </row>
    <row r="10" spans="1:10">
      <c r="A10" s="4"/>
      <c r="B10" s="4" t="s">
        <v>23</v>
      </c>
      <c r="C10" s="4">
        <v>8</v>
      </c>
      <c r="D10" s="6">
        <v>0</v>
      </c>
      <c r="E10" s="5" t="s">
        <v>17</v>
      </c>
      <c r="F10" s="5"/>
      <c r="G10" s="7">
        <v>792</v>
      </c>
      <c r="H10" s="7" t="str">
        <f t="shared" si="0"/>
        <v/>
      </c>
      <c r="I10" s="4" t="s">
        <v>24</v>
      </c>
      <c r="J10" s="4"/>
    </row>
    <row r="11" spans="1:10">
      <c r="A11" s="4" t="s">
        <v>25</v>
      </c>
      <c r="B11" s="4" t="s">
        <v>26</v>
      </c>
      <c r="C11" s="4">
        <v>1</v>
      </c>
      <c r="D11" s="6">
        <v>12</v>
      </c>
      <c r="E11" s="5" t="s">
        <v>17</v>
      </c>
      <c r="F11" s="5"/>
      <c r="G11" s="7">
        <v>179</v>
      </c>
      <c r="H11" s="7" t="str">
        <f t="shared" si="0"/>
        <v/>
      </c>
      <c r="I11" s="4" t="s">
        <v>27</v>
      </c>
      <c r="J11" s="4"/>
    </row>
    <row r="12" spans="1:10">
      <c r="A12" s="4" t="s">
        <v>28</v>
      </c>
      <c r="B12" s="4" t="s">
        <v>29</v>
      </c>
      <c r="C12" s="4">
        <v>1</v>
      </c>
      <c r="D12" s="6">
        <v>240</v>
      </c>
      <c r="E12" s="5" t="s">
        <v>30</v>
      </c>
      <c r="F12" s="5"/>
      <c r="G12" s="7">
        <v>300</v>
      </c>
      <c r="H12" s="7">
        <f t="shared" si="0"/>
        <v>51.063829787234042</v>
      </c>
      <c r="I12" s="4" t="s">
        <v>31</v>
      </c>
      <c r="J12" s="4"/>
    </row>
    <row r="13" spans="1:10">
      <c r="A13" s="4" t="s">
        <v>32</v>
      </c>
      <c r="B13" s="4" t="s">
        <v>33</v>
      </c>
      <c r="C13" s="4">
        <v>1</v>
      </c>
      <c r="D13" s="6">
        <v>20</v>
      </c>
      <c r="E13" s="5" t="s">
        <v>17</v>
      </c>
      <c r="F13" s="5"/>
      <c r="G13" s="7">
        <v>125</v>
      </c>
      <c r="H13" s="7" t="str">
        <f t="shared" si="0"/>
        <v/>
      </c>
      <c r="I13" s="4" t="s">
        <v>34</v>
      </c>
      <c r="J13" s="4"/>
    </row>
    <row r="14" spans="1:10">
      <c r="A14" s="4" t="s">
        <v>32</v>
      </c>
      <c r="B14" s="4" t="s">
        <v>35</v>
      </c>
      <c r="C14" s="4">
        <v>1</v>
      </c>
      <c r="D14" s="6">
        <v>49</v>
      </c>
      <c r="E14" s="5" t="s">
        <v>30</v>
      </c>
      <c r="F14" s="5"/>
      <c r="G14" s="7">
        <v>125</v>
      </c>
      <c r="H14" s="7">
        <f t="shared" si="0"/>
        <v>10.425531914893616</v>
      </c>
      <c r="I14" s="4" t="s">
        <v>34</v>
      </c>
      <c r="J14" s="4" t="s">
        <v>36</v>
      </c>
    </row>
    <row r="15" spans="1:10">
      <c r="A15" s="4"/>
      <c r="B15" s="4" t="s">
        <v>37</v>
      </c>
      <c r="C15" s="4">
        <v>3</v>
      </c>
      <c r="D15" s="6">
        <v>0</v>
      </c>
      <c r="E15" s="5" t="s">
        <v>17</v>
      </c>
      <c r="F15" s="5"/>
      <c r="G15" s="7">
        <v>177</v>
      </c>
      <c r="H15" s="7" t="str">
        <f t="shared" si="0"/>
        <v/>
      </c>
      <c r="I15" s="4" t="s">
        <v>38</v>
      </c>
      <c r="J15" s="4"/>
    </row>
    <row r="16" spans="1:10">
      <c r="A16" s="4"/>
      <c r="B16" s="4" t="s">
        <v>39</v>
      </c>
      <c r="C16" s="4">
        <v>1</v>
      </c>
      <c r="D16" s="6">
        <v>0</v>
      </c>
      <c r="E16" s="5" t="s">
        <v>17</v>
      </c>
      <c r="F16" s="5"/>
      <c r="G16" s="7">
        <v>79</v>
      </c>
      <c r="H16" s="7" t="str">
        <f t="shared" si="0"/>
        <v/>
      </c>
      <c r="I16" s="4" t="s">
        <v>40</v>
      </c>
      <c r="J16" s="4"/>
    </row>
    <row r="17" spans="1:10">
      <c r="A17" s="4" t="s">
        <v>41</v>
      </c>
      <c r="B17" s="4" t="s">
        <v>42</v>
      </c>
      <c r="C17" s="4">
        <v>2</v>
      </c>
      <c r="D17" s="6">
        <v>27</v>
      </c>
      <c r="E17" s="5" t="s">
        <v>17</v>
      </c>
      <c r="F17" s="5"/>
      <c r="G17" s="7">
        <v>338</v>
      </c>
      <c r="H17" s="7" t="str">
        <f t="shared" si="0"/>
        <v/>
      </c>
      <c r="I17" s="4" t="s">
        <v>43</v>
      </c>
      <c r="J17" s="4"/>
    </row>
    <row r="18" spans="1:10">
      <c r="A18" s="4" t="s">
        <v>44</v>
      </c>
      <c r="B18" s="4" t="s">
        <v>45</v>
      </c>
      <c r="C18" s="4">
        <v>1</v>
      </c>
      <c r="D18" s="6">
        <v>0</v>
      </c>
      <c r="E18" s="5"/>
      <c r="F18" s="5"/>
      <c r="G18" s="7">
        <v>66</v>
      </c>
      <c r="H18" s="7" t="str">
        <f t="shared" si="0"/>
        <v/>
      </c>
      <c r="I18" s="4" t="s">
        <v>46</v>
      </c>
      <c r="J18" s="4"/>
    </row>
    <row r="19" spans="1:10">
      <c r="A19" s="4" t="s">
        <v>47</v>
      </c>
      <c r="B19" s="4" t="s">
        <v>47</v>
      </c>
      <c r="C19" s="4">
        <v>1</v>
      </c>
      <c r="D19" s="6">
        <v>0</v>
      </c>
      <c r="E19" s="5" t="s">
        <v>17</v>
      </c>
      <c r="F19" s="5"/>
      <c r="G19" s="7">
        <v>99</v>
      </c>
      <c r="H19" s="7" t="str">
        <f t="shared" si="0"/>
        <v/>
      </c>
      <c r="I19" s="4" t="s">
        <v>48</v>
      </c>
      <c r="J19" s="4"/>
    </row>
    <row r="20" spans="1:10">
      <c r="A20" s="4"/>
      <c r="B20" s="4" t="s">
        <v>49</v>
      </c>
      <c r="C20" s="4">
        <v>1</v>
      </c>
      <c r="D20" s="6">
        <v>0</v>
      </c>
      <c r="E20" s="5" t="s">
        <v>17</v>
      </c>
      <c r="F20" s="5"/>
      <c r="G20" s="7">
        <v>99</v>
      </c>
      <c r="H20" s="7" t="str">
        <f t="shared" si="0"/>
        <v/>
      </c>
      <c r="I20" s="4" t="s">
        <v>50</v>
      </c>
      <c r="J20" s="4"/>
    </row>
    <row r="21" spans="1:10">
      <c r="A21" s="4" t="s">
        <v>51</v>
      </c>
      <c r="B21" s="4" t="s">
        <v>52</v>
      </c>
      <c r="C21" s="4">
        <v>1</v>
      </c>
      <c r="D21" s="6">
        <v>290</v>
      </c>
      <c r="E21" s="5" t="s">
        <v>30</v>
      </c>
      <c r="F21" s="5"/>
      <c r="G21" s="7">
        <v>299</v>
      </c>
      <c r="H21" s="7">
        <f t="shared" si="0"/>
        <v>61.702127659574465</v>
      </c>
      <c r="I21" s="4" t="s">
        <v>53</v>
      </c>
      <c r="J21" s="4"/>
    </row>
    <row r="22" spans="1:10">
      <c r="A22" s="4" t="s">
        <v>54</v>
      </c>
      <c r="B22" s="4" t="s">
        <v>52</v>
      </c>
      <c r="C22" s="4">
        <v>1</v>
      </c>
      <c r="D22" s="6">
        <v>240</v>
      </c>
      <c r="E22" s="5" t="s">
        <v>30</v>
      </c>
      <c r="F22" s="5"/>
      <c r="G22" s="7">
        <v>229</v>
      </c>
      <c r="H22" s="7">
        <f t="shared" si="0"/>
        <v>51.063829787234042</v>
      </c>
      <c r="I22" s="4" t="s">
        <v>55</v>
      </c>
      <c r="J22" s="4"/>
    </row>
    <row r="23" spans="1:10">
      <c r="A23" s="4" t="s">
        <v>56</v>
      </c>
      <c r="B23" s="4" t="s">
        <v>52</v>
      </c>
      <c r="C23" s="4">
        <v>2</v>
      </c>
      <c r="D23" s="6">
        <v>166</v>
      </c>
      <c r="E23" s="5" t="s">
        <v>30</v>
      </c>
      <c r="F23" s="5"/>
      <c r="G23" s="7">
        <v>338</v>
      </c>
      <c r="H23" s="7">
        <f t="shared" si="0"/>
        <v>70.638297872340416</v>
      </c>
      <c r="I23" s="4" t="s">
        <v>57</v>
      </c>
      <c r="J23" s="4"/>
    </row>
    <row r="24" spans="1:10">
      <c r="A24" s="4" t="s">
        <v>58</v>
      </c>
      <c r="B24" s="4" t="s">
        <v>35</v>
      </c>
      <c r="C24" s="4">
        <v>1</v>
      </c>
      <c r="D24" s="6">
        <v>45</v>
      </c>
      <c r="E24" s="5" t="s">
        <v>30</v>
      </c>
      <c r="F24" s="5"/>
      <c r="G24" s="7">
        <v>149</v>
      </c>
      <c r="H24" s="7">
        <f t="shared" si="0"/>
        <v>9.5744680851063819</v>
      </c>
      <c r="I24" s="4" t="s">
        <v>59</v>
      </c>
      <c r="J24" s="4"/>
    </row>
    <row r="25" spans="1:10">
      <c r="A25" s="4" t="s">
        <v>60</v>
      </c>
      <c r="B25" s="4" t="s">
        <v>60</v>
      </c>
      <c r="C25" s="4">
        <v>1</v>
      </c>
      <c r="D25" s="6" t="s">
        <v>61</v>
      </c>
      <c r="E25" s="5"/>
      <c r="F25" s="5"/>
      <c r="G25" s="7">
        <v>29</v>
      </c>
      <c r="H25" s="7" t="str">
        <f t="shared" si="0"/>
        <v/>
      </c>
      <c r="I25" s="4" t="s">
        <v>62</v>
      </c>
      <c r="J25" s="4"/>
    </row>
    <row r="26" spans="1:10">
      <c r="A26" s="4" t="s">
        <v>63</v>
      </c>
      <c r="B26" s="4" t="s">
        <v>64</v>
      </c>
      <c r="C26" s="4">
        <v>1</v>
      </c>
      <c r="D26" s="6">
        <v>156</v>
      </c>
      <c r="E26" s="5"/>
      <c r="F26" s="5"/>
      <c r="G26" s="7">
        <v>399</v>
      </c>
      <c r="H26" s="7" t="str">
        <f t="shared" si="0"/>
        <v/>
      </c>
      <c r="I26" s="4" t="s">
        <v>65</v>
      </c>
      <c r="J26" s="4"/>
    </row>
    <row r="27" spans="1:10">
      <c r="A27" s="4"/>
      <c r="B27" s="4" t="s">
        <v>66</v>
      </c>
      <c r="C27" s="4">
        <v>1</v>
      </c>
      <c r="D27" s="6">
        <v>0</v>
      </c>
      <c r="E27" s="5" t="s">
        <v>17</v>
      </c>
      <c r="F27" s="5"/>
      <c r="G27" s="7">
        <v>59</v>
      </c>
      <c r="H27" s="7" t="str">
        <f t="shared" si="0"/>
        <v/>
      </c>
      <c r="I27" s="4" t="s">
        <v>67</v>
      </c>
      <c r="J27" s="4"/>
    </row>
    <row r="28" spans="1:10">
      <c r="A28" s="4" t="s">
        <v>68</v>
      </c>
      <c r="B28" s="4" t="s">
        <v>69</v>
      </c>
      <c r="C28" s="4">
        <v>1</v>
      </c>
      <c r="D28" s="6">
        <v>13</v>
      </c>
      <c r="E28" s="5" t="s">
        <v>17</v>
      </c>
      <c r="F28" s="5"/>
      <c r="G28" s="7">
        <v>149</v>
      </c>
      <c r="H28" s="7" t="str">
        <f t="shared" si="0"/>
        <v/>
      </c>
      <c r="I28" s="4" t="s">
        <v>70</v>
      </c>
      <c r="J28" s="4"/>
    </row>
    <row r="29" spans="1:10">
      <c r="A29" s="4" t="s">
        <v>58</v>
      </c>
      <c r="B29" s="4" t="s">
        <v>71</v>
      </c>
      <c r="C29" s="4">
        <v>1</v>
      </c>
      <c r="D29" s="6">
        <v>15</v>
      </c>
      <c r="E29" s="5" t="s">
        <v>17</v>
      </c>
      <c r="F29" s="5"/>
      <c r="G29" s="7">
        <v>129</v>
      </c>
      <c r="H29" s="7" t="str">
        <f t="shared" si="0"/>
        <v/>
      </c>
      <c r="I29" s="4" t="s">
        <v>72</v>
      </c>
      <c r="J29" s="4"/>
    </row>
    <row r="30" spans="1:10">
      <c r="A30" s="4" t="s">
        <v>73</v>
      </c>
      <c r="B30" s="4" t="s">
        <v>35</v>
      </c>
      <c r="C30" s="4">
        <v>1</v>
      </c>
      <c r="D30" s="6">
        <v>55</v>
      </c>
      <c r="E30" s="5" t="s">
        <v>30</v>
      </c>
      <c r="F30" s="5"/>
      <c r="G30" s="7">
        <v>160</v>
      </c>
      <c r="H30" s="7">
        <f t="shared" si="0"/>
        <v>11.702127659574467</v>
      </c>
      <c r="I30" s="4" t="s">
        <v>74</v>
      </c>
      <c r="J30" s="4"/>
    </row>
    <row r="31" spans="1:10">
      <c r="A31" s="4"/>
      <c r="B31" s="4" t="s">
        <v>75</v>
      </c>
      <c r="C31" s="4">
        <v>5</v>
      </c>
      <c r="D31" s="6">
        <v>0</v>
      </c>
      <c r="E31" s="5" t="s">
        <v>17</v>
      </c>
      <c r="F31" s="5"/>
      <c r="G31" s="7">
        <v>395</v>
      </c>
      <c r="H31" s="7" t="str">
        <f t="shared" si="0"/>
        <v/>
      </c>
      <c r="I31" s="4" t="s">
        <v>76</v>
      </c>
      <c r="J31" s="4"/>
    </row>
    <row r="32" spans="1:10">
      <c r="A32" s="4" t="s">
        <v>41</v>
      </c>
      <c r="B32" s="4" t="s">
        <v>77</v>
      </c>
      <c r="C32" s="4">
        <v>1</v>
      </c>
      <c r="D32" s="6">
        <v>16</v>
      </c>
      <c r="E32" s="5" t="s">
        <v>17</v>
      </c>
      <c r="F32" s="5"/>
      <c r="G32" s="7">
        <v>159</v>
      </c>
      <c r="H32" s="7" t="str">
        <f t="shared" si="0"/>
        <v/>
      </c>
      <c r="I32" s="4" t="s">
        <v>78</v>
      </c>
      <c r="J32" s="4"/>
    </row>
    <row r="33" spans="1:10">
      <c r="A33" s="4"/>
      <c r="B33" s="4" t="s">
        <v>79</v>
      </c>
      <c r="C33" s="4">
        <v>1</v>
      </c>
      <c r="D33" s="6">
        <v>0</v>
      </c>
      <c r="E33" s="5"/>
      <c r="F33" s="5"/>
      <c r="G33" s="7">
        <v>170</v>
      </c>
      <c r="H33" s="7" t="str">
        <f t="shared" si="0"/>
        <v/>
      </c>
      <c r="I33" s="4" t="s">
        <v>80</v>
      </c>
      <c r="J33" s="4" t="s">
        <v>81</v>
      </c>
    </row>
    <row r="34" spans="1:10">
      <c r="A34" s="4" t="s">
        <v>82</v>
      </c>
      <c r="B34" s="4" t="s">
        <v>82</v>
      </c>
      <c r="C34" s="4">
        <v>1</v>
      </c>
      <c r="D34" s="6">
        <v>130</v>
      </c>
      <c r="E34" s="5"/>
      <c r="F34" s="5"/>
      <c r="G34" s="7">
        <v>249</v>
      </c>
      <c r="H34" s="7" t="str">
        <f t="shared" si="0"/>
        <v/>
      </c>
      <c r="I34" s="4" t="s">
        <v>83</v>
      </c>
      <c r="J34" s="4"/>
    </row>
    <row r="35" spans="1:10">
      <c r="A35" s="4"/>
      <c r="B35" s="4" t="s">
        <v>84</v>
      </c>
      <c r="C35" s="4">
        <v>1</v>
      </c>
      <c r="D35" s="6">
        <v>0</v>
      </c>
      <c r="E35" s="5" t="s">
        <v>17</v>
      </c>
      <c r="F35" s="5"/>
      <c r="G35" s="7">
        <v>60</v>
      </c>
      <c r="H35" s="7" t="str">
        <f t="shared" si="0"/>
        <v/>
      </c>
      <c r="I35" s="4" t="s">
        <v>85</v>
      </c>
      <c r="J35" s="4"/>
    </row>
    <row r="36" spans="1:10">
      <c r="A36" s="4" t="s">
        <v>56</v>
      </c>
      <c r="B36" s="4" t="s">
        <v>86</v>
      </c>
      <c r="C36" s="4">
        <v>1</v>
      </c>
      <c r="D36" s="6">
        <v>15</v>
      </c>
      <c r="E36" s="5"/>
      <c r="F36" s="5"/>
      <c r="G36" s="7">
        <v>139</v>
      </c>
      <c r="H36" s="7" t="str">
        <f t="shared" si="0"/>
        <v/>
      </c>
      <c r="I36" s="4" t="s">
        <v>87</v>
      </c>
      <c r="J36" s="4" t="s">
        <v>88</v>
      </c>
    </row>
    <row r="37" spans="1:10">
      <c r="A37" s="4" t="s">
        <v>89</v>
      </c>
      <c r="B37" s="4" t="s">
        <v>89</v>
      </c>
      <c r="C37" s="4">
        <v>1</v>
      </c>
      <c r="D37" s="6">
        <v>0</v>
      </c>
      <c r="E37" s="5" t="s">
        <v>17</v>
      </c>
      <c r="F37" s="5"/>
      <c r="G37" s="7">
        <v>140</v>
      </c>
      <c r="H37" s="7" t="str">
        <f t="shared" si="0"/>
        <v/>
      </c>
      <c r="I37" s="4" t="s">
        <v>90</v>
      </c>
      <c r="J37" s="4"/>
    </row>
    <row r="38" spans="1:10">
      <c r="A38" s="4" t="s">
        <v>58</v>
      </c>
      <c r="B38" s="4" t="s">
        <v>91</v>
      </c>
      <c r="C38" s="4">
        <v>1</v>
      </c>
      <c r="D38" s="6">
        <v>59</v>
      </c>
      <c r="E38" s="5" t="s">
        <v>30</v>
      </c>
      <c r="F38" s="5"/>
      <c r="G38" s="7">
        <v>139</v>
      </c>
      <c r="H38" s="7">
        <f t="shared" si="0"/>
        <v>12.553191489361701</v>
      </c>
      <c r="I38" s="4" t="s">
        <v>92</v>
      </c>
      <c r="J38" s="4"/>
    </row>
    <row r="39" spans="1:10">
      <c r="A39" s="4" t="s">
        <v>93</v>
      </c>
      <c r="B39" s="4" t="s">
        <v>94</v>
      </c>
      <c r="C39" s="4">
        <v>1</v>
      </c>
      <c r="D39" s="6">
        <v>18</v>
      </c>
      <c r="E39" s="5" t="s">
        <v>17</v>
      </c>
      <c r="F39" s="5"/>
      <c r="G39" s="7">
        <v>159</v>
      </c>
      <c r="H39" s="7" t="str">
        <f t="shared" ref="H39:H57" si="1">IF(OR(D39="",NOT(ISNUMBER(D39))),"",IF(E39="CNY",C39*D39/$H$4,IF(F39="含 GST",C39*D39/1.1,IF(F39="不含 GST",C39*D39,""))))</f>
        <v/>
      </c>
      <c r="I39" s="4" t="s">
        <v>95</v>
      </c>
      <c r="J39" s="4"/>
    </row>
    <row r="40" spans="1:10">
      <c r="A40" s="4" t="s">
        <v>96</v>
      </c>
      <c r="B40" s="4" t="s">
        <v>97</v>
      </c>
      <c r="C40" s="4">
        <v>1</v>
      </c>
      <c r="D40" s="6">
        <v>35</v>
      </c>
      <c r="E40" s="5" t="s">
        <v>30</v>
      </c>
      <c r="F40" s="5"/>
      <c r="G40" s="7">
        <v>89</v>
      </c>
      <c r="H40" s="7">
        <f t="shared" si="1"/>
        <v>7.4468085106382977</v>
      </c>
      <c r="I40" s="4" t="s">
        <v>98</v>
      </c>
      <c r="J40" s="4"/>
    </row>
    <row r="41" spans="1:10">
      <c r="A41" s="4" t="s">
        <v>99</v>
      </c>
      <c r="B41" s="4" t="s">
        <v>100</v>
      </c>
      <c r="C41" s="4">
        <v>1</v>
      </c>
      <c r="D41" s="6">
        <v>15</v>
      </c>
      <c r="E41" s="5" t="s">
        <v>17</v>
      </c>
      <c r="F41" s="5"/>
      <c r="G41" s="7">
        <v>119</v>
      </c>
      <c r="H41" s="7" t="str">
        <f t="shared" si="1"/>
        <v/>
      </c>
      <c r="I41" s="4" t="s">
        <v>101</v>
      </c>
      <c r="J41" s="4"/>
    </row>
    <row r="42" spans="1:10">
      <c r="A42" s="4" t="s">
        <v>102</v>
      </c>
      <c r="B42" s="4" t="s">
        <v>103</v>
      </c>
      <c r="C42" s="4">
        <v>1</v>
      </c>
      <c r="D42" s="6">
        <v>27</v>
      </c>
      <c r="E42" s="5" t="s">
        <v>17</v>
      </c>
      <c r="F42" s="5"/>
      <c r="G42" s="7">
        <v>125</v>
      </c>
      <c r="H42" s="7" t="str">
        <f t="shared" si="1"/>
        <v/>
      </c>
      <c r="I42" s="4" t="s">
        <v>104</v>
      </c>
      <c r="J42" s="4"/>
    </row>
    <row r="43" spans="1:10">
      <c r="A43" s="4" t="s">
        <v>105</v>
      </c>
      <c r="B43" s="4" t="s">
        <v>106</v>
      </c>
      <c r="C43" s="4">
        <v>2</v>
      </c>
      <c r="D43" s="6">
        <v>13</v>
      </c>
      <c r="E43" s="5" t="s">
        <v>17</v>
      </c>
      <c r="F43" s="5"/>
      <c r="G43" s="7">
        <v>258</v>
      </c>
      <c r="H43" s="7" t="str">
        <f t="shared" si="1"/>
        <v/>
      </c>
      <c r="I43" s="4" t="s">
        <v>107</v>
      </c>
      <c r="J43" s="4"/>
    </row>
    <row r="44" spans="1:10">
      <c r="A44" s="4" t="s">
        <v>108</v>
      </c>
      <c r="B44" s="4" t="s">
        <v>109</v>
      </c>
      <c r="C44" s="4">
        <v>1</v>
      </c>
      <c r="D44" s="6">
        <v>10</v>
      </c>
      <c r="E44" s="5" t="s">
        <v>17</v>
      </c>
      <c r="F44" s="5"/>
      <c r="G44" s="7">
        <v>99</v>
      </c>
      <c r="H44" s="7" t="str">
        <f t="shared" si="1"/>
        <v/>
      </c>
      <c r="I44" s="4" t="s">
        <v>110</v>
      </c>
      <c r="J44" s="4"/>
    </row>
    <row r="45" spans="1:10">
      <c r="A45" s="4" t="s">
        <v>111</v>
      </c>
      <c r="B45" s="4" t="s">
        <v>112</v>
      </c>
      <c r="C45" s="4">
        <v>1</v>
      </c>
      <c r="D45" s="6">
        <v>20</v>
      </c>
      <c r="E45" s="5" t="s">
        <v>17</v>
      </c>
      <c r="F45" s="5"/>
      <c r="G45" s="7">
        <v>129</v>
      </c>
      <c r="H45" s="7" t="str">
        <f t="shared" si="1"/>
        <v/>
      </c>
      <c r="I45" s="4" t="s">
        <v>113</v>
      </c>
      <c r="J45" s="4"/>
    </row>
    <row r="46" spans="1:10">
      <c r="A46" s="4" t="s">
        <v>114</v>
      </c>
      <c r="B46" s="4" t="s">
        <v>114</v>
      </c>
      <c r="C46" s="4">
        <v>1</v>
      </c>
      <c r="D46" s="6">
        <v>150</v>
      </c>
      <c r="E46" s="5"/>
      <c r="F46" s="5"/>
      <c r="G46" s="7">
        <v>375</v>
      </c>
      <c r="H46" s="7" t="str">
        <f t="shared" si="1"/>
        <v/>
      </c>
      <c r="I46" s="4" t="s">
        <v>115</v>
      </c>
      <c r="J46" s="4"/>
    </row>
    <row r="47" spans="1:10">
      <c r="A47" s="4" t="s">
        <v>116</v>
      </c>
      <c r="B47" s="4" t="s">
        <v>116</v>
      </c>
      <c r="C47" s="4">
        <v>1</v>
      </c>
      <c r="D47" s="6">
        <v>20</v>
      </c>
      <c r="E47" s="5"/>
      <c r="F47" s="5"/>
      <c r="G47" s="7">
        <v>159</v>
      </c>
      <c r="H47" s="7" t="str">
        <f t="shared" si="1"/>
        <v/>
      </c>
      <c r="I47" s="4" t="s">
        <v>117</v>
      </c>
      <c r="J47" s="4"/>
    </row>
    <row r="48" spans="1:10">
      <c r="A48" s="4" t="s">
        <v>118</v>
      </c>
      <c r="B48" s="4" t="s">
        <v>119</v>
      </c>
      <c r="C48" s="4">
        <v>1</v>
      </c>
      <c r="D48" s="6">
        <v>18</v>
      </c>
      <c r="E48" s="5" t="s">
        <v>17</v>
      </c>
      <c r="F48" s="5"/>
      <c r="G48" s="7">
        <v>169</v>
      </c>
      <c r="H48" s="7" t="str">
        <f t="shared" si="1"/>
        <v/>
      </c>
      <c r="I48" s="4" t="s">
        <v>120</v>
      </c>
      <c r="J48" s="4"/>
    </row>
    <row r="49" spans="1:10">
      <c r="A49" s="4" t="s">
        <v>121</v>
      </c>
      <c r="B49" s="4" t="s">
        <v>35</v>
      </c>
      <c r="C49" s="4">
        <v>1</v>
      </c>
      <c r="D49" s="6">
        <v>25</v>
      </c>
      <c r="E49" s="5"/>
      <c r="F49" s="5"/>
      <c r="G49" s="7">
        <v>189</v>
      </c>
      <c r="H49" s="7" t="str">
        <f t="shared" si="1"/>
        <v/>
      </c>
      <c r="I49" s="4" t="s">
        <v>122</v>
      </c>
      <c r="J49" s="4"/>
    </row>
    <row r="50" spans="1:10">
      <c r="A50" s="4"/>
      <c r="B50" s="4" t="s">
        <v>123</v>
      </c>
      <c r="C50" s="4">
        <v>1</v>
      </c>
      <c r="D50" s="6">
        <v>0</v>
      </c>
      <c r="E50" s="5" t="s">
        <v>17</v>
      </c>
      <c r="F50" s="5"/>
      <c r="G50" s="7">
        <v>79</v>
      </c>
      <c r="H50" s="7" t="str">
        <f t="shared" si="1"/>
        <v/>
      </c>
      <c r="I50" s="4" t="s">
        <v>124</v>
      </c>
      <c r="J50" s="4"/>
    </row>
    <row r="51" spans="1:10">
      <c r="A51" s="4" t="s">
        <v>32</v>
      </c>
      <c r="B51" s="4" t="s">
        <v>125</v>
      </c>
      <c r="C51" s="4">
        <v>1</v>
      </c>
      <c r="D51" s="6">
        <v>17</v>
      </c>
      <c r="E51" s="5" t="s">
        <v>17</v>
      </c>
      <c r="F51" s="5"/>
      <c r="G51" s="7">
        <v>129</v>
      </c>
      <c r="H51" s="7" t="str">
        <f t="shared" si="1"/>
        <v/>
      </c>
      <c r="I51" s="4" t="s">
        <v>126</v>
      </c>
      <c r="J51" s="4"/>
    </row>
    <row r="52" spans="1:10">
      <c r="A52" s="4"/>
      <c r="B52" s="4" t="s">
        <v>127</v>
      </c>
      <c r="C52" s="4">
        <v>3</v>
      </c>
      <c r="D52" s="6">
        <v>0</v>
      </c>
      <c r="E52" s="5" t="s">
        <v>17</v>
      </c>
      <c r="F52" s="5"/>
      <c r="G52" s="7">
        <v>107</v>
      </c>
      <c r="H52" s="7" t="str">
        <f t="shared" si="1"/>
        <v/>
      </c>
      <c r="I52" s="4" t="s">
        <v>128</v>
      </c>
      <c r="J52" s="4"/>
    </row>
    <row r="53" spans="1:10">
      <c r="A53" s="4" t="s">
        <v>73</v>
      </c>
      <c r="B53" s="4" t="s">
        <v>129</v>
      </c>
      <c r="C53" s="4">
        <v>1</v>
      </c>
      <c r="D53" s="6">
        <v>15</v>
      </c>
      <c r="E53" s="5"/>
      <c r="F53" s="5"/>
      <c r="G53" s="7">
        <v>169</v>
      </c>
      <c r="H53" s="7" t="str">
        <f t="shared" si="1"/>
        <v/>
      </c>
      <c r="I53" s="4" t="s">
        <v>130</v>
      </c>
      <c r="J53" s="4"/>
    </row>
    <row r="54" spans="1:10">
      <c r="A54" s="4" t="s">
        <v>93</v>
      </c>
      <c r="B54" s="4" t="s">
        <v>131</v>
      </c>
      <c r="C54" s="4">
        <v>1</v>
      </c>
      <c r="D54" s="6">
        <v>10</v>
      </c>
      <c r="E54" s="5"/>
      <c r="F54" s="5"/>
      <c r="G54" s="7">
        <v>99</v>
      </c>
      <c r="H54" s="7" t="str">
        <f t="shared" si="1"/>
        <v/>
      </c>
      <c r="I54" s="4" t="s">
        <v>132</v>
      </c>
      <c r="J54" s="4"/>
    </row>
    <row r="55" spans="1:10">
      <c r="A55" s="4" t="s">
        <v>47</v>
      </c>
      <c r="B55" s="4" t="s">
        <v>133</v>
      </c>
      <c r="C55" s="4">
        <v>1</v>
      </c>
      <c r="D55" s="6">
        <v>0</v>
      </c>
      <c r="E55" s="5"/>
      <c r="F55" s="5"/>
      <c r="G55" s="7">
        <v>500</v>
      </c>
      <c r="H55" s="7" t="str">
        <f t="shared" si="1"/>
        <v/>
      </c>
      <c r="I55" s="4" t="s">
        <v>48</v>
      </c>
      <c r="J55" s="4"/>
    </row>
    <row r="56" spans="1:10">
      <c r="A56" s="4" t="s">
        <v>134</v>
      </c>
      <c r="B56" s="4" t="s">
        <v>135</v>
      </c>
      <c r="C56" s="4">
        <v>1</v>
      </c>
      <c r="D56" s="6">
        <v>400</v>
      </c>
      <c r="E56" s="5" t="s">
        <v>30</v>
      </c>
      <c r="F56" s="5"/>
      <c r="G56" s="7">
        <v>329</v>
      </c>
      <c r="H56" s="7">
        <f t="shared" si="1"/>
        <v>85.106382978723403</v>
      </c>
      <c r="I56" s="4" t="s">
        <v>136</v>
      </c>
      <c r="J56" s="4"/>
    </row>
    <row r="57" spans="1:10">
      <c r="A57" s="4"/>
      <c r="B57" s="4" t="s">
        <v>137</v>
      </c>
      <c r="C57" s="4">
        <v>1</v>
      </c>
      <c r="D57" s="6">
        <v>0</v>
      </c>
      <c r="E57" s="5"/>
      <c r="F57" s="5"/>
      <c r="G57" s="7">
        <v>99</v>
      </c>
      <c r="H57" s="7" t="str">
        <f t="shared" si="1"/>
        <v/>
      </c>
      <c r="I57" s="4" t="s">
        <v>138</v>
      </c>
      <c r="J57" s="4"/>
    </row>
  </sheetData>
  <mergeCells count="2">
    <mergeCell ref="A1:J1"/>
    <mergeCell ref="A2:J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A3412"/>
  </sheetPr>
  <dimension ref="A1:J50"/>
  <sheetViews>
    <sheetView showGridLines="0" tabSelected="1" workbookViewId="0">
      <pane ySplit="7" topLeftCell="A8" activePane="bottomLeft" state="frozen"/>
      <selection pane="bottomLeft" activeCell="F12" sqref="F12"/>
    </sheetView>
  </sheetViews>
  <sheetFormatPr defaultRowHeight="14.25"/>
  <cols>
    <col min="1" max="1" width="14" customWidth="1"/>
    <col min="2" max="2" width="25" customWidth="1"/>
    <col min="3" max="3" width="40" customWidth="1"/>
    <col min="4" max="4" width="72" customWidth="1"/>
    <col min="5" max="6" width="20" customWidth="1"/>
    <col min="7" max="8" width="15" customWidth="1"/>
    <col min="9" max="9" width="24" customWidth="1"/>
    <col min="10" max="10" width="45" customWidth="1"/>
  </cols>
  <sheetData>
    <row r="1" spans="1:10" ht="33.950000000000003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140</v>
      </c>
    </row>
    <row r="3" spans="1:10">
      <c r="A3" t="s">
        <v>141</v>
      </c>
    </row>
    <row r="5" spans="1:10">
      <c r="A5" t="s">
        <v>2</v>
      </c>
      <c r="B5">
        <v>43</v>
      </c>
      <c r="D5" t="s">
        <v>142</v>
      </c>
      <c r="E5">
        <f>COUNTBLANK(F8:F50)</f>
        <v>16</v>
      </c>
      <c r="G5" t="s">
        <v>143</v>
      </c>
      <c r="H5" s="3">
        <v>0.21276595744680851</v>
      </c>
      <c r="J5" t="s">
        <v>144</v>
      </c>
    </row>
    <row r="7" spans="1:10" ht="15">
      <c r="A7" s="2" t="s">
        <v>145</v>
      </c>
      <c r="B7" s="2" t="s">
        <v>13</v>
      </c>
      <c r="C7" s="2" t="s">
        <v>146</v>
      </c>
      <c r="D7" s="2" t="s">
        <v>147</v>
      </c>
      <c r="E7" s="2" t="s">
        <v>11</v>
      </c>
      <c r="F7" s="2" t="s">
        <v>8</v>
      </c>
      <c r="G7" s="2" t="s">
        <v>9</v>
      </c>
      <c r="H7" s="2" t="s">
        <v>10</v>
      </c>
      <c r="I7" s="2" t="s">
        <v>148</v>
      </c>
      <c r="J7" s="2" t="s">
        <v>149</v>
      </c>
    </row>
    <row r="8" spans="1:10">
      <c r="A8" t="s">
        <v>150</v>
      </c>
      <c r="B8" t="s">
        <v>151</v>
      </c>
      <c r="D8" t="s">
        <v>152</v>
      </c>
      <c r="E8">
        <v>79</v>
      </c>
      <c r="F8" s="3">
        <v>0</v>
      </c>
      <c r="G8" s="3"/>
      <c r="H8" s="3"/>
      <c r="I8" t="str">
        <f t="shared" ref="I8:I50" si="0">IF(F8="","",IF(G8="CNY",IF($H$5="","",F8*$H$5),IF(H8="含 GST",F8/1.1,IF(H8="不含 GST",F8,""))))</f>
        <v/>
      </c>
    </row>
    <row r="9" spans="1:10">
      <c r="A9" t="s">
        <v>150</v>
      </c>
      <c r="B9" t="s">
        <v>153</v>
      </c>
      <c r="C9" t="s">
        <v>41</v>
      </c>
      <c r="D9" t="s">
        <v>77</v>
      </c>
      <c r="E9">
        <v>159</v>
      </c>
      <c r="F9" s="3"/>
      <c r="G9" s="3"/>
      <c r="H9" s="3"/>
      <c r="I9" t="str">
        <f t="shared" si="0"/>
        <v/>
      </c>
    </row>
    <row r="10" spans="1:10">
      <c r="A10" t="s">
        <v>150</v>
      </c>
      <c r="B10" t="s">
        <v>154</v>
      </c>
      <c r="C10" t="s">
        <v>41</v>
      </c>
      <c r="D10" t="s">
        <v>155</v>
      </c>
      <c r="E10">
        <v>179</v>
      </c>
      <c r="F10" s="3"/>
      <c r="G10" s="3"/>
      <c r="H10" s="3"/>
      <c r="I10" t="str">
        <f t="shared" si="0"/>
        <v/>
      </c>
    </row>
    <row r="11" spans="1:10">
      <c r="A11" t="s">
        <v>150</v>
      </c>
      <c r="B11" t="s">
        <v>156</v>
      </c>
      <c r="C11" t="s">
        <v>157</v>
      </c>
      <c r="D11" t="s">
        <v>158</v>
      </c>
      <c r="E11">
        <v>100</v>
      </c>
      <c r="F11" s="3"/>
      <c r="G11" s="3"/>
      <c r="H11" s="3"/>
      <c r="I11" t="str">
        <f t="shared" si="0"/>
        <v/>
      </c>
    </row>
    <row r="12" spans="1:10">
      <c r="A12" t="s">
        <v>150</v>
      </c>
      <c r="B12" t="s">
        <v>159</v>
      </c>
      <c r="D12" t="s">
        <v>19</v>
      </c>
      <c r="E12">
        <v>100</v>
      </c>
      <c r="F12" s="3">
        <v>0</v>
      </c>
      <c r="G12" s="3"/>
      <c r="H12" s="3"/>
      <c r="I12" t="str">
        <f t="shared" si="0"/>
        <v/>
      </c>
    </row>
    <row r="13" spans="1:10">
      <c r="A13" t="s">
        <v>150</v>
      </c>
      <c r="B13" t="s">
        <v>160</v>
      </c>
      <c r="D13" t="s">
        <v>19</v>
      </c>
      <c r="E13">
        <v>130</v>
      </c>
      <c r="F13" s="3">
        <v>0</v>
      </c>
      <c r="G13" s="3"/>
      <c r="H13" s="3"/>
      <c r="I13" t="str">
        <f t="shared" si="0"/>
        <v/>
      </c>
    </row>
    <row r="14" spans="1:10">
      <c r="A14" t="s">
        <v>161</v>
      </c>
      <c r="B14" t="s">
        <v>162</v>
      </c>
      <c r="D14" t="s">
        <v>49</v>
      </c>
      <c r="E14">
        <v>99</v>
      </c>
      <c r="F14" s="3">
        <v>0</v>
      </c>
      <c r="G14" s="3"/>
      <c r="H14" s="3"/>
      <c r="I14" t="str">
        <f t="shared" si="0"/>
        <v/>
      </c>
    </row>
    <row r="15" spans="1:10">
      <c r="A15" t="s">
        <v>161</v>
      </c>
      <c r="B15" t="s">
        <v>163</v>
      </c>
      <c r="D15" t="s">
        <v>37</v>
      </c>
      <c r="E15">
        <v>59</v>
      </c>
      <c r="F15" s="3">
        <v>0</v>
      </c>
      <c r="G15" s="3"/>
      <c r="H15" s="3"/>
      <c r="I15" t="str">
        <f t="shared" si="0"/>
        <v/>
      </c>
    </row>
    <row r="16" spans="1:10">
      <c r="A16" t="s">
        <v>161</v>
      </c>
      <c r="B16" t="s">
        <v>164</v>
      </c>
      <c r="C16" t="s">
        <v>165</v>
      </c>
      <c r="D16" t="s">
        <v>165</v>
      </c>
      <c r="E16">
        <v>159</v>
      </c>
      <c r="F16" s="3"/>
      <c r="G16" s="3"/>
      <c r="H16" s="3"/>
      <c r="I16" t="str">
        <f t="shared" si="0"/>
        <v/>
      </c>
    </row>
    <row r="17" spans="1:9">
      <c r="A17" t="s">
        <v>161</v>
      </c>
      <c r="B17" t="s">
        <v>163</v>
      </c>
      <c r="D17" t="s">
        <v>166</v>
      </c>
      <c r="E17">
        <v>410</v>
      </c>
      <c r="F17" s="3"/>
      <c r="G17" s="3"/>
      <c r="H17" s="3"/>
      <c r="I17" t="str">
        <f t="shared" si="0"/>
        <v/>
      </c>
    </row>
    <row r="18" spans="1:9">
      <c r="A18" t="s">
        <v>167</v>
      </c>
      <c r="B18" t="s">
        <v>168</v>
      </c>
      <c r="C18" t="s">
        <v>63</v>
      </c>
      <c r="D18" t="s">
        <v>169</v>
      </c>
      <c r="E18">
        <v>410</v>
      </c>
      <c r="F18" s="3"/>
      <c r="G18" s="3"/>
      <c r="H18" s="3"/>
      <c r="I18" t="str">
        <f t="shared" si="0"/>
        <v/>
      </c>
    </row>
    <row r="19" spans="1:9">
      <c r="A19" t="s">
        <v>167</v>
      </c>
      <c r="B19" t="s">
        <v>162</v>
      </c>
      <c r="D19" t="s">
        <v>170</v>
      </c>
      <c r="E19">
        <v>60</v>
      </c>
      <c r="F19" s="3"/>
      <c r="G19" s="3"/>
      <c r="H19" s="3"/>
      <c r="I19" t="str">
        <f t="shared" si="0"/>
        <v/>
      </c>
    </row>
    <row r="20" spans="1:9">
      <c r="A20" t="s">
        <v>167</v>
      </c>
      <c r="B20" t="s">
        <v>171</v>
      </c>
      <c r="C20" t="s">
        <v>172</v>
      </c>
      <c r="D20" t="s">
        <v>173</v>
      </c>
      <c r="E20">
        <v>289</v>
      </c>
      <c r="F20" s="3"/>
      <c r="G20" s="3"/>
      <c r="H20" s="3"/>
      <c r="I20" t="str">
        <f t="shared" si="0"/>
        <v/>
      </c>
    </row>
    <row r="21" spans="1:9">
      <c r="A21" t="s">
        <v>167</v>
      </c>
      <c r="B21" t="s">
        <v>174</v>
      </c>
      <c r="C21" t="s">
        <v>175</v>
      </c>
      <c r="D21" t="s">
        <v>176</v>
      </c>
      <c r="E21">
        <v>149</v>
      </c>
      <c r="F21" s="3"/>
      <c r="G21" s="3"/>
      <c r="H21" s="3"/>
      <c r="I21" t="str">
        <f t="shared" si="0"/>
        <v/>
      </c>
    </row>
    <row r="22" spans="1:9">
      <c r="A22" t="s">
        <v>167</v>
      </c>
      <c r="B22" t="s">
        <v>177</v>
      </c>
      <c r="C22" t="s">
        <v>175</v>
      </c>
      <c r="D22" t="s">
        <v>178</v>
      </c>
      <c r="E22">
        <v>149</v>
      </c>
      <c r="F22" s="3"/>
      <c r="G22" s="3"/>
      <c r="H22" s="3"/>
      <c r="I22" t="str">
        <f t="shared" si="0"/>
        <v/>
      </c>
    </row>
    <row r="23" spans="1:9">
      <c r="A23" t="s">
        <v>179</v>
      </c>
      <c r="B23" t="s">
        <v>180</v>
      </c>
      <c r="D23" t="s">
        <v>19</v>
      </c>
      <c r="E23">
        <v>69</v>
      </c>
      <c r="F23" s="3">
        <v>0</v>
      </c>
      <c r="G23" s="3"/>
      <c r="H23" s="3"/>
      <c r="I23" t="str">
        <f t="shared" si="0"/>
        <v/>
      </c>
    </row>
    <row r="24" spans="1:9">
      <c r="A24" t="s">
        <v>181</v>
      </c>
      <c r="B24" t="s">
        <v>182</v>
      </c>
      <c r="D24" t="s">
        <v>23</v>
      </c>
      <c r="E24">
        <v>99</v>
      </c>
      <c r="F24" s="3">
        <v>0</v>
      </c>
      <c r="G24" s="3"/>
      <c r="H24" s="3"/>
      <c r="I24" t="str">
        <f t="shared" si="0"/>
        <v/>
      </c>
    </row>
    <row r="25" spans="1:9">
      <c r="A25" t="s">
        <v>183</v>
      </c>
      <c r="B25" t="s">
        <v>184</v>
      </c>
      <c r="D25" t="s">
        <v>19</v>
      </c>
      <c r="E25">
        <v>59</v>
      </c>
      <c r="F25" s="3">
        <v>0</v>
      </c>
      <c r="G25" s="3"/>
      <c r="H25" s="3"/>
      <c r="I25" t="str">
        <f t="shared" si="0"/>
        <v/>
      </c>
    </row>
    <row r="26" spans="1:9">
      <c r="A26" t="s">
        <v>183</v>
      </c>
      <c r="B26" t="s">
        <v>184</v>
      </c>
      <c r="D26" t="s">
        <v>37</v>
      </c>
      <c r="E26">
        <v>60</v>
      </c>
      <c r="F26" s="3">
        <v>0</v>
      </c>
      <c r="G26" s="3"/>
      <c r="H26" s="3"/>
      <c r="I26" t="str">
        <f t="shared" si="0"/>
        <v/>
      </c>
    </row>
    <row r="27" spans="1:9">
      <c r="A27" t="s">
        <v>183</v>
      </c>
      <c r="B27" t="s">
        <v>185</v>
      </c>
      <c r="C27" t="s">
        <v>58</v>
      </c>
      <c r="D27" t="s">
        <v>129</v>
      </c>
      <c r="E27">
        <v>129</v>
      </c>
      <c r="F27" s="3"/>
      <c r="G27" s="3"/>
      <c r="H27" s="3"/>
      <c r="I27" t="str">
        <f t="shared" si="0"/>
        <v/>
      </c>
    </row>
    <row r="28" spans="1:9">
      <c r="A28" t="s">
        <v>183</v>
      </c>
      <c r="B28" t="s">
        <v>186</v>
      </c>
      <c r="C28" t="s">
        <v>58</v>
      </c>
      <c r="D28" t="s">
        <v>35</v>
      </c>
      <c r="E28">
        <v>149</v>
      </c>
      <c r="F28" s="3"/>
      <c r="G28" s="3"/>
      <c r="H28" s="3"/>
      <c r="I28" t="str">
        <f t="shared" si="0"/>
        <v/>
      </c>
    </row>
    <row r="29" spans="1:9">
      <c r="A29" t="s">
        <v>187</v>
      </c>
      <c r="B29" t="s">
        <v>188</v>
      </c>
      <c r="C29" t="s">
        <v>15</v>
      </c>
      <c r="D29" t="s">
        <v>16</v>
      </c>
      <c r="E29">
        <v>129</v>
      </c>
      <c r="F29" s="3"/>
      <c r="G29" s="3"/>
      <c r="H29" s="3"/>
      <c r="I29" t="str">
        <f t="shared" si="0"/>
        <v/>
      </c>
    </row>
    <row r="30" spans="1:9">
      <c r="A30" t="s">
        <v>189</v>
      </c>
      <c r="B30" t="s">
        <v>190</v>
      </c>
      <c r="D30" t="s">
        <v>19</v>
      </c>
      <c r="E30">
        <v>59</v>
      </c>
      <c r="F30" s="3">
        <v>0</v>
      </c>
      <c r="G30" s="3"/>
      <c r="H30" s="3"/>
      <c r="I30" t="str">
        <f t="shared" si="0"/>
        <v/>
      </c>
    </row>
    <row r="31" spans="1:9">
      <c r="A31" t="s">
        <v>189</v>
      </c>
      <c r="B31" t="s">
        <v>190</v>
      </c>
      <c r="D31" t="s">
        <v>191</v>
      </c>
      <c r="E31">
        <v>30</v>
      </c>
      <c r="F31" s="3"/>
      <c r="G31" s="3"/>
      <c r="H31" s="3"/>
      <c r="I31" t="str">
        <f t="shared" si="0"/>
        <v/>
      </c>
    </row>
    <row r="32" spans="1:9">
      <c r="A32" t="s">
        <v>192</v>
      </c>
      <c r="B32" t="s">
        <v>193</v>
      </c>
      <c r="D32" t="s">
        <v>19</v>
      </c>
      <c r="E32">
        <v>59</v>
      </c>
      <c r="F32" s="3">
        <v>0</v>
      </c>
      <c r="G32" s="3"/>
      <c r="H32" s="3"/>
      <c r="I32" t="str">
        <f t="shared" si="0"/>
        <v/>
      </c>
    </row>
    <row r="33" spans="1:9">
      <c r="A33" t="s">
        <v>192</v>
      </c>
      <c r="B33" t="s">
        <v>193</v>
      </c>
      <c r="D33" t="s">
        <v>194</v>
      </c>
      <c r="E33">
        <v>120.14</v>
      </c>
      <c r="F33" s="3"/>
      <c r="G33" s="3"/>
      <c r="H33" s="3"/>
      <c r="I33" t="str">
        <f t="shared" si="0"/>
        <v/>
      </c>
    </row>
    <row r="34" spans="1:9">
      <c r="A34" t="s">
        <v>192</v>
      </c>
      <c r="B34" t="s">
        <v>193</v>
      </c>
      <c r="D34" t="s">
        <v>195</v>
      </c>
      <c r="E34">
        <v>136.74</v>
      </c>
      <c r="F34" s="3"/>
      <c r="G34" s="3"/>
      <c r="H34" s="3"/>
      <c r="I34" t="str">
        <f t="shared" si="0"/>
        <v/>
      </c>
    </row>
    <row r="35" spans="1:9">
      <c r="A35" t="s">
        <v>196</v>
      </c>
      <c r="B35" t="s">
        <v>180</v>
      </c>
      <c r="D35" t="s">
        <v>197</v>
      </c>
      <c r="E35">
        <v>130</v>
      </c>
      <c r="F35" s="3">
        <v>60</v>
      </c>
      <c r="G35" s="3"/>
      <c r="H35" s="3"/>
      <c r="I35" t="str">
        <f t="shared" si="0"/>
        <v/>
      </c>
    </row>
    <row r="36" spans="1:9">
      <c r="A36" t="s">
        <v>196</v>
      </c>
      <c r="B36" t="s">
        <v>198</v>
      </c>
      <c r="D36" t="s">
        <v>37</v>
      </c>
      <c r="E36">
        <v>59</v>
      </c>
      <c r="F36" s="3">
        <v>0</v>
      </c>
      <c r="G36" s="3"/>
      <c r="H36" s="3"/>
      <c r="I36" t="str">
        <f t="shared" si="0"/>
        <v/>
      </c>
    </row>
    <row r="37" spans="1:9">
      <c r="A37" t="s">
        <v>196</v>
      </c>
      <c r="B37" t="s">
        <v>198</v>
      </c>
      <c r="D37" t="s">
        <v>199</v>
      </c>
      <c r="E37">
        <v>12</v>
      </c>
      <c r="F37" s="3">
        <v>12</v>
      </c>
      <c r="G37" s="3"/>
      <c r="H37" s="3"/>
      <c r="I37" t="str">
        <f t="shared" si="0"/>
        <v/>
      </c>
    </row>
    <row r="38" spans="1:9">
      <c r="A38" t="s">
        <v>196</v>
      </c>
      <c r="B38" t="s">
        <v>198</v>
      </c>
      <c r="D38" t="s">
        <v>200</v>
      </c>
      <c r="E38">
        <v>89</v>
      </c>
      <c r="F38" s="3">
        <v>12</v>
      </c>
      <c r="G38" s="3"/>
      <c r="H38" s="3"/>
      <c r="I38" t="str">
        <f t="shared" si="0"/>
        <v/>
      </c>
    </row>
    <row r="39" spans="1:9">
      <c r="A39" t="s">
        <v>201</v>
      </c>
      <c r="B39" t="s">
        <v>202</v>
      </c>
      <c r="C39" t="s">
        <v>175</v>
      </c>
      <c r="D39" t="s">
        <v>176</v>
      </c>
      <c r="E39">
        <v>149</v>
      </c>
      <c r="F39" s="3">
        <v>20</v>
      </c>
      <c r="G39" s="3"/>
      <c r="H39" s="3"/>
      <c r="I39" t="str">
        <f t="shared" si="0"/>
        <v/>
      </c>
    </row>
    <row r="40" spans="1:9">
      <c r="A40" t="s">
        <v>203</v>
      </c>
      <c r="B40" t="s">
        <v>204</v>
      </c>
      <c r="C40" t="s">
        <v>51</v>
      </c>
      <c r="D40" t="s">
        <v>205</v>
      </c>
      <c r="E40">
        <v>299</v>
      </c>
      <c r="F40" s="3" t="s">
        <v>234</v>
      </c>
      <c r="G40" s="3"/>
      <c r="H40" s="3"/>
      <c r="I40" t="str">
        <f t="shared" si="0"/>
        <v/>
      </c>
    </row>
    <row r="41" spans="1:9">
      <c r="A41" t="s">
        <v>203</v>
      </c>
      <c r="B41" t="s">
        <v>206</v>
      </c>
      <c r="D41" t="s">
        <v>66</v>
      </c>
      <c r="E41">
        <v>30</v>
      </c>
      <c r="F41" s="3">
        <v>0</v>
      </c>
      <c r="G41" s="3"/>
      <c r="H41" s="3"/>
      <c r="I41" t="str">
        <f t="shared" si="0"/>
        <v/>
      </c>
    </row>
    <row r="42" spans="1:9">
      <c r="A42" t="s">
        <v>207</v>
      </c>
      <c r="B42" t="s">
        <v>208</v>
      </c>
      <c r="D42" t="s">
        <v>49</v>
      </c>
      <c r="E42">
        <v>99</v>
      </c>
      <c r="F42" s="3">
        <v>0</v>
      </c>
      <c r="G42" s="3"/>
      <c r="H42" s="3"/>
      <c r="I42" t="str">
        <f t="shared" si="0"/>
        <v/>
      </c>
    </row>
    <row r="43" spans="1:9">
      <c r="A43" t="s">
        <v>209</v>
      </c>
      <c r="B43" t="s">
        <v>210</v>
      </c>
      <c r="C43" t="s">
        <v>58</v>
      </c>
      <c r="D43" t="s">
        <v>211</v>
      </c>
      <c r="E43">
        <v>129</v>
      </c>
      <c r="F43" s="3">
        <v>10</v>
      </c>
      <c r="G43" s="3"/>
      <c r="H43" s="3"/>
      <c r="I43" t="str">
        <f t="shared" si="0"/>
        <v/>
      </c>
    </row>
    <row r="44" spans="1:9">
      <c r="A44" t="s">
        <v>209</v>
      </c>
      <c r="B44" t="s">
        <v>212</v>
      </c>
      <c r="C44" t="s">
        <v>213</v>
      </c>
      <c r="D44" t="s">
        <v>214</v>
      </c>
      <c r="E44">
        <v>99</v>
      </c>
      <c r="F44" s="3" t="s">
        <v>233</v>
      </c>
      <c r="G44" s="3"/>
      <c r="H44" s="3"/>
      <c r="I44" t="str">
        <f t="shared" si="0"/>
        <v/>
      </c>
    </row>
    <row r="45" spans="1:9">
      <c r="A45" t="s">
        <v>215</v>
      </c>
      <c r="B45" t="s">
        <v>216</v>
      </c>
      <c r="D45" t="s">
        <v>217</v>
      </c>
      <c r="E45">
        <v>79</v>
      </c>
      <c r="F45" s="3">
        <v>0</v>
      </c>
      <c r="G45" s="3"/>
      <c r="H45" s="3"/>
      <c r="I45" t="str">
        <f t="shared" si="0"/>
        <v/>
      </c>
    </row>
    <row r="46" spans="1:9">
      <c r="A46" t="s">
        <v>218</v>
      </c>
      <c r="B46" t="s">
        <v>219</v>
      </c>
      <c r="C46" t="s">
        <v>220</v>
      </c>
      <c r="D46" t="s">
        <v>221</v>
      </c>
      <c r="E46">
        <v>149</v>
      </c>
      <c r="F46" s="3">
        <v>25</v>
      </c>
      <c r="G46" s="3"/>
      <c r="H46" s="3"/>
      <c r="I46" t="str">
        <f t="shared" si="0"/>
        <v/>
      </c>
    </row>
    <row r="47" spans="1:9">
      <c r="A47" t="s">
        <v>218</v>
      </c>
      <c r="B47" t="s">
        <v>222</v>
      </c>
      <c r="C47" t="s">
        <v>223</v>
      </c>
      <c r="D47" t="s">
        <v>224</v>
      </c>
      <c r="E47">
        <v>199</v>
      </c>
      <c r="F47" s="3" t="s">
        <v>232</v>
      </c>
      <c r="G47" s="3"/>
      <c r="H47" s="3"/>
      <c r="I47" t="str">
        <f t="shared" si="0"/>
        <v/>
      </c>
    </row>
    <row r="48" spans="1:9">
      <c r="A48" t="s">
        <v>218</v>
      </c>
      <c r="B48" t="s">
        <v>225</v>
      </c>
      <c r="C48" t="s">
        <v>223</v>
      </c>
      <c r="D48" t="s">
        <v>226</v>
      </c>
      <c r="E48">
        <v>199</v>
      </c>
      <c r="F48" s="3">
        <v>25</v>
      </c>
      <c r="G48" s="3"/>
      <c r="H48" s="3"/>
      <c r="I48" t="str">
        <f t="shared" si="0"/>
        <v/>
      </c>
    </row>
    <row r="49" spans="1:9">
      <c r="A49" t="s">
        <v>227</v>
      </c>
      <c r="B49" t="s">
        <v>228</v>
      </c>
      <c r="C49" t="s">
        <v>51</v>
      </c>
      <c r="D49" t="s">
        <v>229</v>
      </c>
      <c r="E49">
        <v>199</v>
      </c>
      <c r="F49" s="3" t="s">
        <v>231</v>
      </c>
      <c r="G49" s="3"/>
      <c r="H49" s="3"/>
      <c r="I49" t="str">
        <f t="shared" si="0"/>
        <v/>
      </c>
    </row>
    <row r="50" spans="1:9">
      <c r="A50" t="s">
        <v>227</v>
      </c>
      <c r="B50" t="s">
        <v>230</v>
      </c>
      <c r="D50" t="s">
        <v>37</v>
      </c>
      <c r="E50">
        <v>59</v>
      </c>
      <c r="F50" s="3">
        <v>0</v>
      </c>
      <c r="G50" s="3"/>
      <c r="H50" s="3"/>
      <c r="I50" t="str">
        <f t="shared" si="0"/>
        <v/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TW 汇总</vt:lpstr>
      <vt:lpstr>FF 逐单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2026-09-25T13:52:53Z</dcterms:modified>
</cp:coreProperties>
</file>