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98e5c063c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W" sheetId="1" r:id="R0a3d89e8b54a4ef8"/>
    <x:sheet xmlns:r="http://schemas.openxmlformats.org/officeDocument/2006/relationships" name="FF" sheetId="2" r:id="R8904056aa3e642f3"/>
  </x:sheets>
</x:workbook>
</file>

<file path=xl/sharedStrings.xml><?xml version="1.0" encoding="utf-8"?>
<x:sst xmlns:x="http://schemas.openxmlformats.org/spreadsheetml/2006/main">
  <x:si>
    <x:t xml:space="preserve">TW｜2026年9月维修成本逐单复查</x:t>
  </x:si>
  <x:si>
    <x:t xml:space="preserve">来源：POS 维修销售明细及对应工单；日期 2026-09-01 至 2026-09-25。原表已填成本已带入。</x:t>
  </x:si>
  <x:si>
    <x:t xml:space="preserve">每行是一条维修销售项；黄色栏可修改。GST 口径填“含 GST”或“不含 GST”，人民币成本填 CNY 并在 H5 输入兑换率。</x:t>
  </x:si>
  <x:si>
    <x:t xml:space="preserve">维修销售条目数</x:t>
  </x:si>
  <x:si>
    <x:t xml:space="preserve">未填成本条目数</x:t>
  </x:si>
  <x:si>
    <x:t xml:space="preserve">1 CNY 折合 AUD</x:t>
  </x:si>
  <x:si>
    <x:t xml:space="preserve">CNY 成本需填 H5 汇率</x:t>
  </x:si>
  <x:si>
    <x:t xml:space="preserve">日期</x:t>
  </x:si>
  <x:si>
    <x:t xml:space="preserve">工单号</x:t>
  </x:si>
  <x:si>
    <x:t xml:space="preserve">设备/机型（工单）</x:t>
  </x:si>
  <x:si>
    <x:t xml:space="preserve">维修销售项目</x:t>
  </x:si>
  <x:si>
    <x:t xml:space="preserve">销售额含 GST</x:t>
  </x:si>
  <x:si>
    <x:t xml:space="preserve">单次配件成本</x:t>
  </x:si>
  <x:si>
    <x:t xml:space="preserve">货币</x:t>
  </x:si>
  <x:si>
    <x:t xml:space="preserve">GST 口径</x:t>
  </x:si>
  <x:si>
    <x:t xml:space="preserve">配件成本 AUD 不含 GST</x:t>
  </x:si>
  <x:si>
    <x:t xml:space="preserve">复查备注</x:t>
  </x:si>
  <x:si>
    <x:t xml:space="preserve">2026-09-01</x:t>
  </x:si>
  <x:si>
    <x:t xml:space="preserve">RPR-1788220329550</x:t>
  </x:si>
  <x:si>
    <x:t xml:space="preserve">Apple iPhone iPhone 11</x:t>
  </x:si>
  <x:si>
    <x:t xml:space="preserve">Apple iPhone - iPhone 11 - Screen Replacement</x:t>
  </x:si>
  <x:si>
    <x:t xml:space="preserve">AUD</x:t>
  </x:si>
  <x:si>
    <x:t xml:space="preserve">RPR-1788238069171</x:t>
  </x:si>
  <x:si>
    <x:t xml:space="preserve">Onsite/Remote Assistance - (Hardware) Phone/Tablet Inspection - (Hardware) Phone/Tablet Inspection</x:t>
  </x:si>
  <x:si>
    <x:t xml:space="preserve">RPR-1788242571489</x:t>
  </x:si>
  <x:si>
    <x:t xml:space="preserve">2026-09-03</x:t>
  </x:si>
  <x:si>
    <x:t xml:space="preserve">RPR-1788417730798</x:t>
  </x:si>
  <x:si>
    <x:t xml:space="preserve">RPR-1788424157916</x:t>
  </x:si>
  <x:si>
    <x:t xml:space="preserve">Asus zenbook</x:t>
  </x:si>
  <x:si>
    <x:t xml:space="preserve">2026-09-04</x:t>
  </x:si>
  <x:si>
    <x:t xml:space="preserve">RPR-1788485551288</x:t>
  </x:si>
  <x:si>
    <x:t xml:space="preserve">Onsite/Remote Assistance - (Hardware) Laptop/PC Inspection - (Hardware) Laptop/PC Inspection</x:t>
  </x:si>
  <x:si>
    <x:t xml:space="preserve">RPR-1788484438388</x:t>
  </x:si>
  <x:si>
    <x:t xml:space="preserve">Samsung S Series Samsung S25 Plus</x:t>
  </x:si>
  <x:si>
    <x:t xml:space="preserve">Samsung S Series - Samsung S25 Plus - Charging Socket/Microphone</x:t>
  </x:si>
  <x:si>
    <x:t xml:space="preserve">RPR-1788481879686</x:t>
  </x:si>
  <x:si>
    <x:t xml:space="preserve">Apple iPhone iPhone 15 Pro Max</x:t>
  </x:si>
  <x:si>
    <x:t xml:space="preserve">Apple iPhone - iPhone 15 Pro Max - Screen Replacement (OLED)</x:t>
  </x:si>
  <x:si>
    <x:t xml:space="preserve">CNY</x:t>
  </x:si>
  <x:si>
    <x:t xml:space="preserve">RPR-1788496612330</x:t>
  </x:si>
  <x:si>
    <x:t xml:space="preserve">Apple iPhone iPhone 11 Pro</x:t>
  </x:si>
  <x:si>
    <x:t xml:space="preserve">Apple iPhone - iPhone 11 Pro - Charging Socket</x:t>
  </x:si>
  <x:si>
    <x:t xml:space="preserve">Battery</x:t>
  </x:si>
  <x:si>
    <x:t xml:space="preserve">工单故障为 Charging Socket，请核对销售项目</x:t>
  </x:si>
  <x:si>
    <x:t xml:space="preserve">2026-09-05</x:t>
  </x:si>
  <x:si>
    <x:t xml:space="preserve">RPR-1788570796917</x:t>
  </x:si>
  <x:si>
    <x:t xml:space="preserve">RPR-1788574073950</x:t>
  </x:si>
  <x:si>
    <x:t xml:space="preserve">RPR-1788581635372</x:t>
  </x:si>
  <x:si>
    <x:t xml:space="preserve">(Hardware) Phone/Tablet Inspection</x:t>
  </x:si>
  <x:si>
    <x:t xml:space="preserve">2026-09-06</x:t>
  </x:si>
  <x:si>
    <x:t xml:space="preserve">RPR-1788655640952</x:t>
  </x:si>
  <x:si>
    <x:t xml:space="preserve">Onsite/Remote Assistance - Windows/MAC OS System Install - Windows/MAC OS System Install</x:t>
  </x:si>
  <x:si>
    <x:t xml:space="preserve">RPR-1788662828083</x:t>
  </x:si>
  <x:si>
    <x:t xml:space="preserve">RPR-1788663951762</x:t>
  </x:si>
  <x:si>
    <x:t xml:space="preserve">Apple iPhone iPhone 14 Plus</x:t>
  </x:si>
  <x:si>
    <x:t xml:space="preserve">Apple iPhone - iPhone 14 Plus - Screen Replacement</x:t>
  </x:si>
  <x:si>
    <x:t xml:space="preserve">RPR-1788667340700</x:t>
  </x:si>
  <x:si>
    <x:t xml:space="preserve">Samsung A Series Samsung A52S 5G</x:t>
  </x:si>
  <x:si>
    <x:t xml:space="preserve">Samsung A Series - Samsung A52S 5G - Charging Socket/Microphone</x:t>
  </x:si>
  <x:si>
    <x:t xml:space="preserve">2026-09-07</x:t>
  </x:si>
  <x:si>
    <x:t xml:space="preserve">RPR-1788754809031</x:t>
  </x:si>
  <x:si>
    <x:t xml:space="preserve">Inspection</x:t>
  </x:si>
  <x:si>
    <x:t xml:space="preserve">2026-09-08</x:t>
  </x:si>
  <x:si>
    <x:t xml:space="preserve">RPR-1788824682992</x:t>
  </x:si>
  <x:si>
    <x:t xml:space="preserve">(Hardware) Laptop/PC Inspection</x:t>
  </x:si>
  <x:si>
    <x:t xml:space="preserve">RPR-1788836197621</x:t>
  </x:si>
  <x:si>
    <x:t xml:space="preserve">Apple iPhone iPhone 16 Pro</x:t>
  </x:si>
  <x:si>
    <x:t xml:space="preserve">Screen Replacement (OLED)</x:t>
  </x:si>
  <x:si>
    <x:t xml:space="preserve">RPR-1788845595389</x:t>
  </x:si>
  <x:si>
    <x:t xml:space="preserve">Apple iPhone iPhone 14 Pro Max</x:t>
  </x:si>
  <x:si>
    <x:t xml:space="preserve">RPR-1788845865844</x:t>
  </x:si>
  <x:si>
    <x:t xml:space="preserve">Apple iPhone iPhone 12 Pro</x:t>
  </x:si>
  <x:si>
    <x:t xml:space="preserve">RPR-1788851558368</x:t>
  </x:si>
  <x:si>
    <x:t xml:space="preserve">Apple iPhone iPhone 13</x:t>
  </x:si>
  <x:si>
    <x:t xml:space="preserve">2026-09-09</x:t>
  </x:si>
  <x:si>
    <x:t xml:space="preserve">RPR-1788912565647</x:t>
  </x:si>
  <x:si>
    <x:t xml:space="preserve">OPPO Reno10 5G</x:t>
  </x:si>
  <x:si>
    <x:t xml:space="preserve">REFUNDED</x:t>
  </x:si>
  <x:si>
    <x:t xml:space="preserve">RPR-1788909138021</x:t>
  </x:si>
  <x:si>
    <x:t xml:space="preserve">Samsung S Series Samsung S23 Ultra</x:t>
  </x:si>
  <x:si>
    <x:t xml:space="preserve">Screen Replacement</x:t>
  </x:si>
  <x:si>
    <x:t xml:space="preserve">RPR-1788225069109</x:t>
  </x:si>
  <x:si>
    <x:t xml:space="preserve">Labor(Detail require)</x:t>
  </x:si>
  <x:si>
    <x:t xml:space="preserve">RPR-1788915455176</x:t>
  </x:si>
  <x:si>
    <x:t xml:space="preserve">Apple Watch Apple Watch SE/SE2 44mm</x:t>
  </x:si>
  <x:si>
    <x:t xml:space="preserve">Apple Watch - Apple Watch SE/SE2 44mm - Battery</x:t>
  </x:si>
  <x:si>
    <x:t xml:space="preserve">RPR-1788921202005</x:t>
  </x:si>
  <x:si>
    <x:t xml:space="preserve">Apple iPhone - iPhone 13 - Rear Camera</x:t>
  </x:si>
  <x:si>
    <x:t xml:space="preserve">RPR-1788919746108</x:t>
  </x:si>
  <x:si>
    <x:t xml:space="preserve">Apple iPhone iPhone 14 Pro</x:t>
  </x:si>
  <x:si>
    <x:t xml:space="preserve">2026-09-10</x:t>
  </x:si>
  <x:si>
    <x:t xml:space="preserve">RPR-1788999406797</x:t>
  </x:si>
  <x:si>
    <x:t xml:space="preserve">Onsite/Remote Assistance - Virus Cleaning (Report can be provied) - Virus Cleaning (Report can be provied)</x:t>
  </x:si>
  <x:si>
    <x:t xml:space="preserve">RPR-1789009745705</x:t>
  </x:si>
  <x:si>
    <x:t xml:space="preserve">RPR-1789017647562</x:t>
  </x:si>
  <x:si>
    <x:t xml:space="preserve">Apple iPhone - iPhone 14 Plus - Battery</x:t>
  </x:si>
  <x:si>
    <x:t xml:space="preserve">2026-09-11</x:t>
  </x:si>
  <x:si>
    <x:t xml:space="preserve">Charging port</x:t>
  </x:si>
  <x:si>
    <x:t xml:space="preserve">工单未写具体机型</x:t>
  </x:si>
  <x:si>
    <x:t xml:space="preserve">RPR-1789105868635</x:t>
  </x:si>
  <x:si>
    <x:t xml:space="preserve">RPR-1789108015775</x:t>
  </x:si>
  <x:si>
    <x:t xml:space="preserve">Asus lcd</x:t>
  </x:si>
  <x:si>
    <x:t xml:space="preserve">Liquid metal redo</x:t>
  </x:si>
  <x:si>
    <x:t xml:space="preserve">2026-09-12</x:t>
  </x:si>
  <x:si>
    <x:t xml:space="preserve">RPR-1789175287498</x:t>
  </x:si>
  <x:si>
    <x:t xml:space="preserve">RPR-1789186524860</x:t>
  </x:si>
  <x:si>
    <x:t xml:space="preserve">Back Glass Replacement</x:t>
  </x:si>
  <x:si>
    <x:t xml:space="preserve">工单故障为 Screen Replacement (OLED)，请核对销售项目</x:t>
  </x:si>
  <x:si>
    <x:t xml:space="preserve">2026-09-13</x:t>
  </x:si>
  <x:si>
    <x:t xml:space="preserve">RPR-1789260353896</x:t>
  </x:si>
  <x:si>
    <x:t xml:space="preserve">Xbox</x:t>
  </x:si>
  <x:si>
    <x:t xml:space="preserve">RPR-1789267000831</x:t>
  </x:si>
  <x:si>
    <x:t xml:space="preserve">Screen Replacement (LCD)</x:t>
  </x:si>
  <x:si>
    <x:t xml:space="preserve">RPR-1789271809513</x:t>
  </x:si>
  <x:si>
    <x:t xml:space="preserve">Apple iPhone iPhone 13 Pro Max</x:t>
  </x:si>
  <x:si>
    <x:t xml:space="preserve">Apple iPhone - iPhone 13 Pro Max - Battery</x:t>
  </x:si>
  <x:si>
    <x:t xml:space="preserve">2026-09-14</x:t>
  </x:si>
  <x:si>
    <x:t xml:space="preserve">RPR-1789342224706</x:t>
  </x:si>
  <x:si>
    <x:t xml:space="preserve">Apple iPhone iPhone SE 3</x:t>
  </x:si>
  <x:si>
    <x:t xml:space="preserve">Apple iPhone - iPhone SE 3 - Battery</x:t>
  </x:si>
  <x:si>
    <x:t xml:space="preserve">RPR-1789360301605</x:t>
  </x:si>
  <x:si>
    <x:t xml:space="preserve">Apple iPad iPad 5 (2017)</x:t>
  </x:si>
  <x:si>
    <x:t xml:space="preserve">Apple iPad - iPad 5 (2017) - Touch / Digitizer Replacement</x:t>
  </x:si>
  <x:si>
    <x:t xml:space="preserve">RPR-1789371135053</x:t>
  </x:si>
  <x:si>
    <x:t xml:space="preserve">Samsung A Series Samsung A71 5G</x:t>
  </x:si>
  <x:si>
    <x:t xml:space="preserve">Samsung A Series - Samsung A71 5G - Battery (ORIGINAL )</x:t>
  </x:si>
  <x:si>
    <x:t xml:space="preserve">2026-09-15</x:t>
  </x:si>
  <x:si>
    <x:t xml:space="preserve">RPR-1789436455716</x:t>
  </x:si>
  <x:si>
    <x:t xml:space="preserve">RPR-1789448658628</x:t>
  </x:si>
  <x:si>
    <x:t xml:space="preserve">Apple iPhone iPhone 12</x:t>
  </x:si>
  <x:si>
    <x:t xml:space="preserve">Apple iPhone - iPhone 12 - Battery</x:t>
  </x:si>
  <x:si>
    <x:t xml:space="preserve">RPR-1789448886842</x:t>
  </x:si>
  <x:si>
    <x:t xml:space="preserve">2026-09-16</x:t>
  </x:si>
  <x:si>
    <x:t xml:space="preserve">RPR-1789537542375</x:t>
  </x:si>
  <x:si>
    <x:t xml:space="preserve">Samsung S Series Samsung S25</x:t>
  </x:si>
  <x:si>
    <x:t xml:space="preserve">Samsung S Series - Samsung S25 - Rear Camera Lens</x:t>
  </x:si>
  <x:si>
    <x:t xml:space="preserve">2026-09-17</x:t>
  </x:si>
  <x:si>
    <x:t xml:space="preserve">RPR-1789601528250</x:t>
  </x:si>
  <x:si>
    <x:t xml:space="preserve">Apple iPhone iPhone 11 Pro Max</x:t>
  </x:si>
  <x:si>
    <x:t xml:space="preserve">Apple iPhone - iPhone 11 Pro Max - Screen Replacement (LCD)</x:t>
  </x:si>
  <x:si>
    <x:t xml:space="preserve">RPR-1789610183517</x:t>
  </x:si>
  <x:si>
    <x:t xml:space="preserve">RPR-1789612002623</x:t>
  </x:si>
  <x:si>
    <x:t xml:space="preserve">Lenovo L390 YOGA touch screen</x:t>
  </x:si>
  <x:si>
    <x:t xml:space="preserve">2026-09-18</x:t>
  </x:si>
  <x:si>
    <x:t xml:space="preserve">RPR-1789711529442</x:t>
  </x:si>
  <x:si>
    <x:t xml:space="preserve">Dell</x:t>
  </x:si>
  <x:si>
    <x:t xml:space="preserve">RPR-1789713860103</x:t>
  </x:si>
  <x:si>
    <x:t xml:space="preserve">Apple iPhone iPhone 13 Pro</x:t>
  </x:si>
  <x:si>
    <x:t xml:space="preserve">Apple iPhone - iPhone 13 Pro - Battery</x:t>
  </x:si>
  <x:si>
    <x:t xml:space="preserve">2026-09-19</x:t>
  </x:si>
  <x:si>
    <x:t xml:space="preserve">RPR-1789783887401</x:t>
  </x:si>
  <x:si>
    <x:t xml:space="preserve">Apple iPhone iPhone 15 Pro</x:t>
  </x:si>
  <x:si>
    <x:t xml:space="preserve">2026-09-20</x:t>
  </x:si>
  <x:si>
    <x:t xml:space="preserve">RPR-1789868444409</x:t>
  </x:si>
  <x:si>
    <x:t xml:space="preserve">RPR-1789881464959</x:t>
  </x:si>
  <x:si>
    <x:t xml:space="preserve">2026-09-21</x:t>
  </x:si>
  <x:si>
    <x:t xml:space="preserve">RPR-1789196563061</x:t>
  </x:si>
  <x:si>
    <x:t xml:space="preserve">Windows/MAC OS System Install</x:t>
  </x:si>
  <x:si>
    <x:t xml:space="preserve">RPR-1789968835238</x:t>
  </x:si>
  <x:si>
    <x:t xml:space="preserve">2026-09-22</x:t>
  </x:si>
  <x:si>
    <x:t xml:space="preserve">RPR-1790038938689</x:t>
  </x:si>
  <x:si>
    <x:t xml:space="preserve">Apple iPhone - iPhone 11 Pro - Battery</x:t>
  </x:si>
  <x:si>
    <x:t xml:space="preserve">2026-09-23</x:t>
  </x:si>
  <x:si>
    <x:t xml:space="preserve">RPR-1790123419572</x:t>
  </x:si>
  <x:si>
    <x:t xml:space="preserve">Onsite/Remote Assistance - (Software) Phone/Tablet Inspection - (Software) Phone/Tablet Inspection</x:t>
  </x:si>
  <x:si>
    <x:t xml:space="preserve">RPR-1790124209769</x:t>
  </x:si>
  <x:si>
    <x:t xml:space="preserve">RPR-1790128207512</x:t>
  </x:si>
  <x:si>
    <x:t xml:space="preserve">Charging Socket</x:t>
  </x:si>
  <x:si>
    <x:t xml:space="preserve">RPR-1790128621082</x:t>
  </x:si>
  <x:si>
    <x:t xml:space="preserve">Rear Camera Lens</x:t>
  </x:si>
  <x:si>
    <x:t xml:space="preserve">RPR-1790142345117</x:t>
  </x:si>
  <x:si>
    <x:t xml:space="preserve">2026-09-24</x:t>
  </x:si>
  <x:si>
    <x:t xml:space="preserve">LCD &amp; cable</x:t>
  </x:si>
  <x:si>
    <x:t xml:space="preserve">RPR-1790227373720</x:t>
  </x:si>
  <x:si>
    <x:t xml:space="preserve">Apple iPhone iPhone 17 Pro</x:t>
  </x:si>
  <x:si>
    <x:t xml:space="preserve">Apple iPhone - iPhone 17 Pro - Screen Replacement (OLED)</x:t>
  </x:si>
  <x:si>
    <x:t xml:space="preserve">RPR-1790140142529</x:t>
  </x:si>
  <x:si>
    <x:t xml:space="preserve">Cleaning PC/Laptop</x:t>
  </x:si>
  <x:si>
    <x:t xml:space="preserve">RPR-1790229590535</x:t>
  </x:si>
  <x:si>
    <x:t xml:space="preserve">RPR-1790230004143</x:t>
  </x:si>
  <x:si>
    <x:t xml:space="preserve">2026-09-25</x:t>
  </x:si>
  <x:si>
    <x:t xml:space="preserve">RPR-1790305986376</x:t>
  </x:si>
  <x:si>
    <x:t xml:space="preserve">RPR-1790309182327</x:t>
  </x:si>
  <x:si>
    <x:t xml:space="preserve">RPR-1790313730203</x:t>
  </x:si>
  <x:si>
    <x:t xml:space="preserve">FF｜2026年9月维修成本逐单复查</x:t>
  </x:si>
  <x:si>
    <x:t xml:space="preserve">RPR-1788395541264</x:t>
  </x:si>
  <x:si>
    <x:t xml:space="preserve">Onsite/Remote Assistance - Insurance Report - Insurance Report</x:t>
  </x:si>
  <x:si>
    <x:t xml:space="preserve">RPR-1788397157905</x:t>
  </x:si>
  <x:si>
    <x:t xml:space="preserve">RPR-1788397231929</x:t>
  </x:si>
  <x:si>
    <x:t xml:space="preserve">Apple iPhone - iPhone 14 Plus - Back Glass Replacement</x:t>
  </x:si>
  <x:si>
    <x:t xml:space="preserve">RPR-1788399224416</x:t>
  </x:si>
  <x:si>
    <x:t xml:space="preserve">Google Google Pixel 6A</x:t>
  </x:si>
  <x:si>
    <x:t xml:space="preserve">Google - Google Pixel 6A - Battery Replacement</x:t>
  </x:si>
  <x:si>
    <x:t xml:space="preserve">RPR-1788413825545</x:t>
  </x:si>
  <x:si>
    <x:t xml:space="preserve">RPR-1788417663663</x:t>
  </x:si>
  <x:si>
    <x:t xml:space="preserve">RPR-1788571151451</x:t>
  </x:si>
  <x:si>
    <x:t xml:space="preserve">RPR-1788573730239</x:t>
  </x:si>
  <x:si>
    <x:t xml:space="preserve">RPR-1788585154533</x:t>
  </x:si>
  <x:si>
    <x:t xml:space="preserve">17 pm lens</x:t>
  </x:si>
  <x:si>
    <x:t xml:space="preserve">14 pro max back glass and charging port and battery</x:t>
  </x:si>
  <x:si>
    <x:t xml:space="preserve">RPR-1788656888464</x:t>
  </x:si>
  <x:si>
    <x:t xml:space="preserve">Samsung S Series - Samsung S23 Ultra - Screen Replacement</x:t>
  </x:si>
  <x:si>
    <x:t xml:space="preserve">data back up</x:t>
  </x:si>
  <x:si>
    <x:t xml:space="preserve">RPR-1788665113906</x:t>
  </x:si>
  <x:si>
    <x:t xml:space="preserve">Apple iPhone iPhone 17 Pro Max</x:t>
  </x:si>
  <x:si>
    <x:t xml:space="preserve">Apple iPhone - iPhone 17 Pro Max - Screen Replacement (OLED)</x:t>
  </x:si>
  <x:si>
    <x:t xml:space="preserve">RPR-1788671603926</x:t>
  </x:si>
  <x:si>
    <x:t xml:space="preserve">Apple iPhone iPhone 12 Pro Max</x:t>
  </x:si>
  <x:si>
    <x:t xml:space="preserve">Apple iPhone - iPhone 12 Pro Max - Screen Replacement (LCD)</x:t>
  </x:si>
  <x:si>
    <x:t xml:space="preserve">RPR-1788671663654</x:t>
  </x:si>
  <x:si>
    <x:t xml:space="preserve">Apple iPhone - iPhone 12 Pro Max - Charging Socket</x:t>
  </x:si>
  <x:si>
    <x:t xml:space="preserve">RPR-1788764897931</x:t>
  </x:si>
  <x:si>
    <x:t xml:space="preserve">RPR-1788845064758</x:t>
  </x:si>
  <x:si>
    <x:t xml:space="preserve">RPR-1788910423514</x:t>
  </x:si>
  <x:si>
    <x:t xml:space="preserve">RPR-1788913221783</x:t>
  </x:si>
  <x:si>
    <x:t xml:space="preserve">RPR-1788916220145</x:t>
  </x:si>
  <x:si>
    <x:t xml:space="preserve">RPR-1789023748341</x:t>
  </x:si>
  <x:si>
    <x:t xml:space="preserve">RPR-1789096276805</x:t>
  </x:si>
  <x:si>
    <x:t xml:space="preserve">iphone se 3 battery replacement</x:t>
  </x:si>
  <x:si>
    <x:t xml:space="preserve">RPR-1789172281063</x:t>
  </x:si>
  <x:si>
    <x:t xml:space="preserve">iphone 13 screen oled replacement</x:t>
  </x:si>
  <x:si>
    <x:t xml:space="preserve">iphone 13 battery replacement</x:t>
  </x:si>
  <x:si>
    <x:t xml:space="preserve">dell p137G battery</x:t>
  </x:si>
  <x:si>
    <x:t xml:space="preserve">RPR-1789341518230</x:t>
  </x:si>
  <x:si>
    <x:t xml:space="preserve">iphone se 2 battery replacement</x:t>
  </x:si>
  <x:si>
    <x:t xml:space="preserve">iphone se 2 charging socket</x:t>
  </x:si>
  <x:si>
    <x:t xml:space="preserve">RPR-1789526083105</x:t>
  </x:si>
  <x:si>
    <x:t xml:space="preserve">RPR-1789785000572</x:t>
  </x:si>
  <x:si>
    <x:t xml:space="preserve">Apple iPhone - iPhone 16 Pro - Screen Replacement (OLED)</x:t>
  </x:si>
  <x:si>
    <x:t xml:space="preserve">RPR-1789798320779</x:t>
  </x:si>
  <x:si>
    <x:t xml:space="preserve">RPR-1789871157587</x:t>
  </x:si>
  <x:si>
    <x:t xml:space="preserve">RPR-1789957224109</x:t>
  </x:si>
  <x:si>
    <x:t xml:space="preserve">Ear Speaker/Ear Speaker Flex</x:t>
  </x:si>
  <x:si>
    <x:t xml:space="preserve">RPR-1789970638747</x:t>
  </x:si>
  <x:si>
    <x:t xml:space="preserve">Apple iPhone iPhone XR</x:t>
  </x:si>
  <x:si>
    <x:t xml:space="preserve">Apple iPhone - iPhone XR - Screen Replacement</x:t>
  </x:si>
  <x:si>
    <x:t xml:space="preserve">RPR-1790039452189</x:t>
  </x:si>
  <x:si>
    <x:t xml:space="preserve">Virus Cleaning (Report can be provied)</x:t>
  </x:si>
  <x:si>
    <x:t xml:space="preserve">RPR-1790221514234</x:t>
  </x:si>
  <x:si>
    <x:t xml:space="preserve">Apple iPad iPad 9 (2021)</x:t>
  </x:si>
  <x:si>
    <x:t xml:space="preserve">Apple iPad - iPad 9 (2021) - Touch / Digitizer Replacement</x:t>
  </x:si>
  <x:si>
    <x:t xml:space="preserve">RPR-1790232118115</x:t>
  </x:si>
  <x:si>
    <x:t xml:space="preserve">Apple iPhone iPhone 16 Pro Max</x:t>
  </x:si>
  <x:si>
    <x:t xml:space="preserve">Apple iPhone - iPhone 16 Pro Max - Screen Replacement(LCD)</x:t>
  </x:si>
  <x:si>
    <x:t xml:space="preserve">RPR-1790232165091</x:t>
  </x:si>
  <x:si>
    <x:t xml:space="preserve">Apple iPhone - iPhone 16 Pro Max - Back Glass Replacement</x:t>
  </x:si>
  <x:si>
    <x:t xml:space="preserve">RPR-1790293422389</x:t>
  </x:si>
  <x:si>
    <x:t xml:space="preserve">Apple iPhone - iPhone 16 Pro - Screen Replacement (LCD)</x:t>
  </x:si>
  <x:si>
    <x:t xml:space="preserve">RPR-1790292769226</x:t>
  </x:si>
</x:sst>
</file>

<file path=xl/styles.xml><?xml version="1.0" encoding="utf-8"?>
<x:styleSheet xmlns:x="http://schemas.openxmlformats.org/spreadsheetml/2006/main">
  <x:numFmts count="2">
    <x:numFmt numFmtId="176" formatCode="\$#,##0.00"/>
    <x:numFmt numFmtId="200" formatCode="0.000000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155E75"/>
      </x:patternFill>
    </x:fill>
    <x:fill>
      <x:patternFill patternType="solid">
        <x:fgColor rgb="FFFFF1D6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2">
    <x:xf numFmtId="0" fontId="0" fillId="0" borderId="0"/>
    <x:xf numFmtId="0" fontId="3" fillId="0" borderId="0"/>
  </x:cellStyleXfs>
  <x:cellXfs count="10">
    <x:xf numFmtId="0" fontId="0" fillId="0" borderId="0" xfId="0"/>
    <x:xf numFmtId="0" fontId="2" fillId="3" borderId="0" xfId="1" applyFont="1" applyFill="1"/>
    <x:xf numFmtId="0" fontId="0" fillId="4" borderId="0" xfId="1" applyFont="1" applyFill="1"/>
    <x:xf numFmtId="0" fontId="0" fillId="0" borderId="1" xfId="1" applyFont="1" applyBorder="1"/>
    <x:xf numFmtId="0" fontId="0" fillId="4" borderId="1" xfId="1" applyFont="1" applyFill="1" applyBorder="1"/>
    <x:xf numFmtId="176" fontId="0" fillId="0" borderId="1" xfId="1" applyNumberFormat="1" applyFont="1" applyBorder="1"/>
    <x:xf numFmtId="176" fontId="0" fillId="4" borderId="1" xfId="1" applyNumberFormat="1" applyFont="1" applyFill="1" applyBorder="1"/>
    <x:xf numFmtId="0" fontId="1" fillId="2" borderId="0" xfId="1" applyFont="1" applyFill="1"/>
    <x:xf numFmtId="0" fontId="0" fillId="0" borderId="0" xfId="0"/>
    <x:xf numFmtId="200" fontId="0" fillId="4" borderId="0" xfId="0" applyNumberFormat="1" applyFont="1" applyFill="1" applyBorder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9b5b7212c4262" /><Relationship Type="http://schemas.openxmlformats.org/officeDocument/2006/relationships/theme" Target="/xl/theme/theme1.xml" Id="R2ce76208cd0c4d83" /><Relationship Type="http://schemas.openxmlformats.org/officeDocument/2006/relationships/sharedStrings" Target="/xl/sharedStrings.xml" Id="Re6990ee50253479a" /><Relationship Type="http://schemas.openxmlformats.org/officeDocument/2006/relationships/worksheet" Target="/xl/worksheets/sheet1.xml" Id="R0a3d89e8b54a4ef8" /><Relationship Type="http://schemas.openxmlformats.org/officeDocument/2006/relationships/worksheet" Target="/xl/worksheets/sheet2.xml" Id="R8904056aa3e6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ySplit="7" topLeftCell="A8" activePane="bottomLeft" state="frozen"/>
    </x:sheetView>
  </x:sheetViews>
  <x:sheetFormatPr defaultRowHeight="14.25"/>
  <x:cols>
    <x:col min="1" max="1" width="14" customWidth="1"/>
    <x:col min="2" max="2" width="25" customWidth="1"/>
    <x:col min="3" max="3" width="40" customWidth="1"/>
    <x:col min="4" max="4" width="72" customWidth="1"/>
    <x:col min="5" max="6" width="20" customWidth="1"/>
    <x:col min="7" max="8" width="15" customWidth="1"/>
    <x:col min="9" max="9" width="24" customWidth="1"/>
    <x:col min="10" max="10" width="45" customWidth="1"/>
  </x:cols>
  <x:sheetData>
    <x:row r="1" ht="33.95000076293945" customHeight="1">
      <x:c r="A1" s="7" t="s">
        <x:v>0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8" t="s">
        <x:v>1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8" t="s">
        <x:v>2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t="s">
        <x:v>3</x:v>
      </x:c>
      <x:c r="B5">
        <x:v>73</x:v>
      </x:c>
      <x:c r="D5" t="s">
        <x:v>4</x:v>
      </x:c>
      <x:c r="E5" t="n">
        <x:f>COUNTBLANK(F8:F80)</x:f>
        <x:v>0</x:v>
      </x:c>
      <x:c r="G5" t="s">
        <x:v>5</x:v>
      </x:c>
      <x:c r="H5" s="9" t="n">
        <x:v>0.2127659574468085</x:v>
      </x:c>
      <x:c r="J5" t="s">
        <x:v>6</x:v>
      </x:c>
    </x:row>
    <x:row r="7" ht="15">
      <x:c r="A7" s="1" t="s">
        <x:v>7</x:v>
      </x:c>
      <x:c r="B7" s="1" t="s">
        <x:v>8</x:v>
      </x:c>
      <x:c r="C7" s="1" t="s">
        <x:v>9</x:v>
      </x:c>
      <x:c r="D7" s="1" t="s">
        <x:v>10</x:v>
      </x:c>
      <x:c r="E7" s="1" t="s">
        <x:v>11</x:v>
      </x:c>
      <x:c r="F7" s="1" t="s">
        <x:v>12</x:v>
      </x:c>
      <x:c r="G7" s="1" t="s">
        <x:v>13</x:v>
      </x:c>
      <x:c r="H7" s="1" t="s">
        <x:v>14</x:v>
      </x:c>
      <x:c r="I7" s="1" t="s">
        <x:v>15</x:v>
      </x:c>
      <x:c r="J7" s="1" t="s">
        <x:v>16</x:v>
      </x:c>
    </x:row>
    <x:row r="8">
      <x:c r="A8" s="3" t="s">
        <x:v>17</x:v>
      </x:c>
      <x:c r="B8" s="3" t="s">
        <x:v>18</x:v>
      </x:c>
      <x:c r="C8" s="3" t="s">
        <x:v>19</x:v>
      </x:c>
      <x:c r="D8" s="3" t="s">
        <x:v>20</x:v>
      </x:c>
      <x:c r="E8" s="5">
        <x:v>119</x:v>
      </x:c>
      <x:c r="F8" s="6">
        <x:v>18</x:v>
      </x:c>
      <x:c r="G8" s="4" t="s">
        <x:v>21</x:v>
      </x:c>
      <x:c r="H8" s="4"/>
      <x:c r="I8" s="5" t="str">
        <x:f t="shared" ref="I8:I39" si="0">IF(F8="","",IF(G8="CNY",IF($H$5="","",F8*$H$5),IF(H8="含 GST",F8/1.1,IF(H8="不含 GST",F8,""))))</x:f>
      </x:c>
      <x:c r="J8" s="3"/>
    </x:row>
    <x:row r="9">
      <x:c r="A9" s="3" t="s">
        <x:v>17</x:v>
      </x:c>
      <x:c r="B9" s="3" t="s">
        <x:v>22</x:v>
      </x:c>
      <x:c r="C9" s="3"/>
      <x:c r="D9" s="3" t="s">
        <x:v>23</x:v>
      </x:c>
      <x:c r="E9" s="5">
        <x:v>59</x:v>
      </x:c>
      <x:c r="F9" s="6">
        <x:v>0</x:v>
      </x:c>
      <x:c r="G9" s="4" t="s">
        <x:v>21</x:v>
      </x:c>
      <x:c r="H9" s="4"/>
      <x:c r="I9" s="5" t="str">
        <x:f t="shared" si="0"/>
      </x:c>
      <x:c r="J9" s="3"/>
    </x:row>
    <x:row r="10">
      <x:c r="A10" s="3" t="s">
        <x:v>17</x:v>
      </x:c>
      <x:c r="B10" s="3" t="s">
        <x:v>24</x:v>
      </x:c>
      <x:c r="C10" s="3"/>
      <x:c r="D10" s="3" t="s">
        <x:v>23</x:v>
      </x:c>
      <x:c r="E10" s="5">
        <x:v>59</x:v>
      </x:c>
      <x:c r="F10" s="6">
        <x:v>0</x:v>
      </x:c>
      <x:c r="G10" s="4" t="s">
        <x:v>21</x:v>
      </x:c>
      <x:c r="H10" s="4"/>
      <x:c r="I10" s="5" t="str">
        <x:f t="shared" si="0"/>
      </x:c>
      <x:c r="J10" s="3"/>
    </x:row>
    <x:row r="11">
      <x:c r="A11" s="3" t="s">
        <x:v>25</x:v>
      </x:c>
      <x:c r="B11" s="3" t="s">
        <x:v>26</x:v>
      </x:c>
      <x:c r="C11" s="3"/>
      <x:c r="D11" s="3" t="s">
        <x:v>23</x:v>
      </x:c>
      <x:c r="E11" s="5">
        <x:v>59</x:v>
      </x:c>
      <x:c r="F11" s="6">
        <x:v>0</x:v>
      </x:c>
      <x:c r="G11" s="4" t="s">
        <x:v>21</x:v>
      </x:c>
      <x:c r="H11" s="4"/>
      <x:c r="I11" s="5" t="str">
        <x:f t="shared" si="0"/>
      </x:c>
      <x:c r="J11" s="3"/>
    </x:row>
    <x:row r="12">
      <x:c r="A12" s="3" t="s">
        <x:v>25</x:v>
      </x:c>
      <x:c r="B12" s="3" t="s">
        <x:v>27</x:v>
      </x:c>
      <x:c r="C12" s="3" t="s">
        <x:v>28</x:v>
      </x:c>
      <x:c r="D12" s="3" t="s">
        <x:v>28</x:v>
      </x:c>
      <x:c r="E12" s="5">
        <x:v>349</x:v>
      </x:c>
      <x:c r="F12" s="6">
        <x:v>180</x:v>
      </x:c>
      <x:c r="G12" s="4"/>
      <x:c r="H12" s="4"/>
      <x:c r="I12" s="5" t="str">
        <x:f t="shared" si="0"/>
      </x:c>
      <x:c r="J12" s="3"/>
    </x:row>
    <x:row r="13">
      <x:c r="A13" s="3" t="s">
        <x:v>29</x:v>
      </x:c>
      <x:c r="B13" s="3" t="s">
        <x:v>30</x:v>
      </x:c>
      <x:c r="C13" s="3"/>
      <x:c r="D13" s="3" t="s">
        <x:v>31</x:v>
      </x:c>
      <x:c r="E13" s="5">
        <x:v>99</x:v>
      </x:c>
      <x:c r="F13" s="6">
        <x:v>0</x:v>
      </x:c>
      <x:c r="G13" s="4" t="s">
        <x:v>21</x:v>
      </x:c>
      <x:c r="H13" s="4"/>
      <x:c r="I13" s="5" t="str">
        <x:f t="shared" si="0"/>
      </x:c>
      <x:c r="J13" s="3"/>
    </x:row>
    <x:row r="14">
      <x:c r="A14" s="3" t="s">
        <x:v>29</x:v>
      </x:c>
      <x:c r="B14" s="3" t="s">
        <x:v>32</x:v>
      </x:c>
      <x:c r="C14" s="3" t="s">
        <x:v>33</x:v>
      </x:c>
      <x:c r="D14" s="3" t="s">
        <x:v>34</x:v>
      </x:c>
      <x:c r="E14" s="5">
        <x:v>179</x:v>
      </x:c>
      <x:c r="F14" s="6">
        <x:v>12</x:v>
      </x:c>
      <x:c r="G14" s="4" t="s">
        <x:v>21</x:v>
      </x:c>
      <x:c r="H14" s="4"/>
      <x:c r="I14" s="5" t="str">
        <x:f t="shared" si="0"/>
      </x:c>
      <x:c r="J14" s="3"/>
    </x:row>
    <x:row r="15">
      <x:c r="A15" s="3" t="s">
        <x:v>29</x:v>
      </x:c>
      <x:c r="B15" s="3" t="s">
        <x:v>35</x:v>
      </x:c>
      <x:c r="C15" s="3" t="s">
        <x:v>36</x:v>
      </x:c>
      <x:c r="D15" s="3" t="s">
        <x:v>37</x:v>
      </x:c>
      <x:c r="E15" s="5">
        <x:v>300</x:v>
      </x:c>
      <x:c r="F15" s="6">
        <x:v>240</x:v>
      </x:c>
      <x:c r="G15" s="4" t="s">
        <x:v>38</x:v>
      </x:c>
      <x:c r="H15" s="4"/>
      <x:c r="I15" s="5" t="str">
        <x:f t="shared" si="0"/>
      </x:c>
      <x:c r="J15" s="3"/>
    </x:row>
    <x:row r="16">
      <x:c r="A16" s="3" t="s">
        <x:v>29</x:v>
      </x:c>
      <x:c r="B16" s="3" t="s">
        <x:v>39</x:v>
      </x:c>
      <x:c r="C16" s="3" t="s">
        <x:v>40</x:v>
      </x:c>
      <x:c r="D16" s="3" t="s">
        <x:v>41</x:v>
      </x:c>
      <x:c r="E16" s="5">
        <x:v>125</x:v>
      </x:c>
      <x:c r="F16" s="6">
        <x:v>20</x:v>
      </x:c>
      <x:c r="G16" s="4" t="s">
        <x:v>21</x:v>
      </x:c>
      <x:c r="H16" s="4"/>
      <x:c r="I16" s="5" t="str">
        <x:f t="shared" si="0"/>
      </x:c>
      <x:c r="J16" s="3"/>
    </x:row>
    <x:row r="17">
      <x:c r="A17" s="3" t="s">
        <x:v>29</x:v>
      </x:c>
      <x:c r="B17" s="3" t="s">
        <x:v>39</x:v>
      </x:c>
      <x:c r="C17" s="3" t="s">
        <x:v>40</x:v>
      </x:c>
      <x:c r="D17" s="3" t="s">
        <x:v>42</x:v>
      </x:c>
      <x:c r="E17" s="5">
        <x:v>125</x:v>
      </x:c>
      <x:c r="F17" s="6">
        <x:v>49</x:v>
      </x:c>
      <x:c r="G17" s="4" t="s">
        <x:v>38</x:v>
      </x:c>
      <x:c r="H17" s="4"/>
      <x:c r="I17" s="5" t="str">
        <x:f t="shared" si="0"/>
      </x:c>
      <x:c r="J17" s="3" t="s">
        <x:v>43</x:v>
      </x:c>
    </x:row>
    <x:row r="18">
      <x:c r="A18" s="3" t="s">
        <x:v>44</x:v>
      </x:c>
      <x:c r="B18" s="3" t="s">
        <x:v>45</x:v>
      </x:c>
      <x:c r="C18" s="3"/>
      <x:c r="D18" s="3" t="s">
        <x:v>31</x:v>
      </x:c>
      <x:c r="E18" s="5">
        <x:v>99</x:v>
      </x:c>
      <x:c r="F18" s="6">
        <x:v>0</x:v>
      </x:c>
      <x:c r="G18" s="4" t="s">
        <x:v>21</x:v>
      </x:c>
      <x:c r="H18" s="4"/>
      <x:c r="I18" s="5" t="str">
        <x:f t="shared" si="0"/>
      </x:c>
      <x:c r="J18" s="3"/>
    </x:row>
    <x:row r="19">
      <x:c r="A19" s="3" t="s">
        <x:v>44</x:v>
      </x:c>
      <x:c r="B19" s="3" t="s">
        <x:v>46</x:v>
      </x:c>
      <x:c r="C19" s="3"/>
      <x:c r="D19" s="3" t="s">
        <x:v>31</x:v>
      </x:c>
      <x:c r="E19" s="5">
        <x:v>99</x:v>
      </x:c>
      <x:c r="F19" s="6">
        <x:v>0</x:v>
      </x:c>
      <x:c r="G19" s="4" t="s">
        <x:v>21</x:v>
      </x:c>
      <x:c r="H19" s="4"/>
      <x:c r="I19" s="5" t="str">
        <x:f t="shared" si="0"/>
      </x:c>
      <x:c r="J19" s="3"/>
    </x:row>
    <x:row r="20">
      <x:c r="A20" s="3" t="s">
        <x:v>44</x:v>
      </x:c>
      <x:c r="B20" s="3" t="s">
        <x:v>47</x:v>
      </x:c>
      <x:c r="C20" s="3"/>
      <x:c r="D20" s="3" t="s">
        <x:v>48</x:v>
      </x:c>
      <x:c r="E20" s="5">
        <x:v>59</x:v>
      </x:c>
      <x:c r="F20" s="6">
        <x:v>0</x:v>
      </x:c>
      <x:c r="G20" s="4" t="s">
        <x:v>21</x:v>
      </x:c>
      <x:c r="H20" s="4"/>
      <x:c r="I20" s="5" t="str">
        <x:f t="shared" si="0"/>
      </x:c>
      <x:c r="J20" s="3"/>
    </x:row>
    <x:row r="21">
      <x:c r="A21" s="3" t="s">
        <x:v>49</x:v>
      </x:c>
      <x:c r="B21" s="3" t="s">
        <x:v>50</x:v>
      </x:c>
      <x:c r="C21" s="3"/>
      <x:c r="D21" s="3" t="s">
        <x:v>51</x:v>
      </x:c>
      <x:c r="E21" s="5">
        <x:v>79</x:v>
      </x:c>
      <x:c r="F21" s="6">
        <x:v>0</x:v>
      </x:c>
      <x:c r="G21" s="4" t="s">
        <x:v>21</x:v>
      </x:c>
      <x:c r="H21" s="4"/>
      <x:c r="I21" s="5" t="str">
        <x:f t="shared" si="0"/>
      </x:c>
      <x:c r="J21" s="3"/>
    </x:row>
    <x:row r="22">
      <x:c r="A22" s="3" t="s">
        <x:v>49</x:v>
      </x:c>
      <x:c r="B22" s="3" t="s">
        <x:v>52</x:v>
      </x:c>
      <x:c r="C22" s="3"/>
      <x:c r="D22" s="3" t="s">
        <x:v>31</x:v>
      </x:c>
      <x:c r="E22" s="5">
        <x:v>99</x:v>
      </x:c>
      <x:c r="F22" s="6">
        <x:v>0</x:v>
      </x:c>
      <x:c r="G22" s="4" t="s">
        <x:v>21</x:v>
      </x:c>
      <x:c r="H22" s="4"/>
      <x:c r="I22" s="5" t="str">
        <x:f t="shared" si="0"/>
      </x:c>
      <x:c r="J22" s="3"/>
    </x:row>
    <x:row r="23">
      <x:c r="A23" s="3" t="s">
        <x:v>49</x:v>
      </x:c>
      <x:c r="B23" s="3" t="s">
        <x:v>53</x:v>
      </x:c>
      <x:c r="C23" s="3" t="s">
        <x:v>54</x:v>
      </x:c>
      <x:c r="D23" s="3" t="s">
        <x:v>55</x:v>
      </x:c>
      <x:c r="E23" s="5">
        <x:v>169</x:v>
      </x:c>
      <x:c r="F23" s="6">
        <x:v>27</x:v>
      </x:c>
      <x:c r="G23" s="4" t="s">
        <x:v>21</x:v>
      </x:c>
      <x:c r="H23" s="4"/>
      <x:c r="I23" s="5" t="str">
        <x:f t="shared" si="0"/>
      </x:c>
      <x:c r="J23" s="3"/>
    </x:row>
    <x:row r="24">
      <x:c r="A24" s="3" t="s">
        <x:v>49</x:v>
      </x:c>
      <x:c r="B24" s="3" t="s">
        <x:v>56</x:v>
      </x:c>
      <x:c r="C24" s="3" t="s">
        <x:v>57</x:v>
      </x:c>
      <x:c r="D24" s="3" t="s">
        <x:v>58</x:v>
      </x:c>
      <x:c r="E24" s="5">
        <x:v>66</x:v>
      </x:c>
      <x:c r="F24" s="6">
        <x:v>0</x:v>
      </x:c>
      <x:c r="G24" s="4"/>
      <x:c r="H24" s="4"/>
      <x:c r="I24" s="5" t="str">
        <x:f t="shared" si="0"/>
      </x:c>
      <x:c r="J24" s="3"/>
    </x:row>
    <x:row r="25">
      <x:c r="A25" s="3" t="s">
        <x:v>59</x:v>
      </x:c>
      <x:c r="B25" s="3" t="s">
        <x:v>60</x:v>
      </x:c>
      <x:c r="C25" s="3" t="s">
        <x:v>61</x:v>
      </x:c>
      <x:c r="D25" s="3" t="s">
        <x:v>61</x:v>
      </x:c>
      <x:c r="E25" s="5">
        <x:v>99</x:v>
      </x:c>
      <x:c r="F25" s="6">
        <x:v>0</x:v>
      </x:c>
      <x:c r="G25" s="4" t="s">
        <x:v>21</x:v>
      </x:c>
      <x:c r="H25" s="4"/>
      <x:c r="I25" s="5" t="str">
        <x:f t="shared" si="0"/>
      </x:c>
      <x:c r="J25" s="3"/>
    </x:row>
    <x:row r="26">
      <x:c r="A26" s="3" t="s">
        <x:v>62</x:v>
      </x:c>
      <x:c r="B26" s="3" t="s">
        <x:v>63</x:v>
      </x:c>
      <x:c r="C26" s="3"/>
      <x:c r="D26" s="3" t="s">
        <x:v>64</x:v>
      </x:c>
      <x:c r="E26" s="5">
        <x:v>99</x:v>
      </x:c>
      <x:c r="F26" s="6">
        <x:v>0</x:v>
      </x:c>
      <x:c r="G26" s="4" t="s">
        <x:v>21</x:v>
      </x:c>
      <x:c r="H26" s="4"/>
      <x:c r="I26" s="5" t="str">
        <x:f t="shared" si="0"/>
      </x:c>
      <x:c r="J26" s="3"/>
    </x:row>
    <x:row r="27">
      <x:c r="A27" s="3" t="s">
        <x:v>62</x:v>
      </x:c>
      <x:c r="B27" s="3" t="s">
        <x:v>65</x:v>
      </x:c>
      <x:c r="C27" s="3" t="s">
        <x:v>66</x:v>
      </x:c>
      <x:c r="D27" s="3" t="s">
        <x:v>67</x:v>
      </x:c>
      <x:c r="E27" s="5">
        <x:v>299</x:v>
      </x:c>
      <x:c r="F27" s="6">
        <x:v>290</x:v>
      </x:c>
      <x:c r="G27" s="4" t="s">
        <x:v>38</x:v>
      </x:c>
      <x:c r="H27" s="4"/>
      <x:c r="I27" s="5" t="str">
        <x:f t="shared" si="0"/>
      </x:c>
      <x:c r="J27" s="3"/>
    </x:row>
    <x:row r="28">
      <x:c r="A28" s="3" t="s">
        <x:v>62</x:v>
      </x:c>
      <x:c r="B28" s="3" t="s">
        <x:v>68</x:v>
      </x:c>
      <x:c r="C28" s="3" t="s">
        <x:v>69</x:v>
      </x:c>
      <x:c r="D28" s="3" t="s">
        <x:v>67</x:v>
      </x:c>
      <x:c r="E28" s="5">
        <x:v>229</x:v>
      </x:c>
      <x:c r="F28" s="6">
        <x:v>240</x:v>
      </x:c>
      <x:c r="G28" s="4" t="s">
        <x:v>38</x:v>
      </x:c>
      <x:c r="H28" s="4"/>
      <x:c r="I28" s="5" t="str">
        <x:f t="shared" si="0"/>
      </x:c>
      <x:c r="J28" s="3"/>
    </x:row>
    <x:row r="29">
      <x:c r="A29" s="3" t="s">
        <x:v>62</x:v>
      </x:c>
      <x:c r="B29" s="3" t="s">
        <x:v>70</x:v>
      </x:c>
      <x:c r="C29" s="3" t="s">
        <x:v>71</x:v>
      </x:c>
      <x:c r="D29" s="3" t="s">
        <x:v>67</x:v>
      </x:c>
      <x:c r="E29" s="5">
        <x:v>169</x:v>
      </x:c>
      <x:c r="F29" s="6">
        <x:v>166</x:v>
      </x:c>
      <x:c r="G29" s="4" t="s">
        <x:v>38</x:v>
      </x:c>
      <x:c r="H29" s="4"/>
      <x:c r="I29" s="5" t="str">
        <x:f t="shared" si="0"/>
      </x:c>
      <x:c r="J29" s="3"/>
    </x:row>
    <x:row r="30">
      <x:c r="A30" s="3" t="s">
        <x:v>62</x:v>
      </x:c>
      <x:c r="B30" s="3" t="s">
        <x:v>72</x:v>
      </x:c>
      <x:c r="C30" s="3" t="s">
        <x:v>73</x:v>
      </x:c>
      <x:c r="D30" s="3" t="s">
        <x:v>42</x:v>
      </x:c>
      <x:c r="E30" s="5">
        <x:v>149</x:v>
      </x:c>
      <x:c r="F30" s="6">
        <x:v>45</x:v>
      </x:c>
      <x:c r="G30" s="4" t="s">
        <x:v>38</x:v>
      </x:c>
      <x:c r="H30" s="4"/>
      <x:c r="I30" s="5" t="str">
        <x:f t="shared" si="0"/>
      </x:c>
      <x:c r="J30" s="3"/>
    </x:row>
    <x:row r="31">
      <x:c r="A31" s="3" t="s">
        <x:v>74</x:v>
      </x:c>
      <x:c r="B31" s="3" t="s">
        <x:v>75</x:v>
      </x:c>
      <x:c r="C31" s="3" t="s">
        <x:v>76</x:v>
      </x:c>
      <x:c r="D31" s="3" t="s">
        <x:v>76</x:v>
      </x:c>
      <x:c r="E31" s="5">
        <x:v>29</x:v>
      </x:c>
      <x:c r="F31" s="6" t="s">
        <x:v>77</x:v>
      </x:c>
      <x:c r="G31" s="4"/>
      <x:c r="H31" s="4"/>
      <x:c r="I31" s="5" t="str">
        <x:f t="shared" si="0"/>
      </x:c>
      <x:c r="J31" s="3"/>
    </x:row>
    <x:row r="32">
      <x:c r="A32" s="3" t="s">
        <x:v>74</x:v>
      </x:c>
      <x:c r="B32" s="3" t="s">
        <x:v>78</x:v>
      </x:c>
      <x:c r="C32" s="3" t="s">
        <x:v>79</x:v>
      </x:c>
      <x:c r="D32" s="3" t="s">
        <x:v>80</x:v>
      </x:c>
      <x:c r="E32" s="5">
        <x:v>399</x:v>
      </x:c>
      <x:c r="F32" s="6">
        <x:v>156</x:v>
      </x:c>
      <x:c r="G32" s="4"/>
      <x:c r="H32" s="4"/>
      <x:c r="I32" s="5" t="str">
        <x:f t="shared" si="0"/>
      </x:c>
      <x:c r="J32" s="3"/>
    </x:row>
    <x:row r="33">
      <x:c r="A33" s="3" t="s">
        <x:v>74</x:v>
      </x:c>
      <x:c r="B33" s="3" t="s">
        <x:v>81</x:v>
      </x:c>
      <x:c r="C33" s="3"/>
      <x:c r="D33" s="3" t="s">
        <x:v>82</x:v>
      </x:c>
      <x:c r="E33" s="5">
        <x:v>59</x:v>
      </x:c>
      <x:c r="F33" s="6">
        <x:v>0</x:v>
      </x:c>
      <x:c r="G33" s="4" t="s">
        <x:v>21</x:v>
      </x:c>
      <x:c r="H33" s="4"/>
      <x:c r="I33" s="5" t="str">
        <x:f t="shared" si="0"/>
      </x:c>
      <x:c r="J33" s="3"/>
    </x:row>
    <x:row r="34">
      <x:c r="A34" s="3" t="s">
        <x:v>74</x:v>
      </x:c>
      <x:c r="B34" s="3" t="s">
        <x:v>83</x:v>
      </x:c>
      <x:c r="C34" s="3" t="s">
        <x:v>84</x:v>
      </x:c>
      <x:c r="D34" s="3" t="s">
        <x:v>85</x:v>
      </x:c>
      <x:c r="E34" s="5">
        <x:v>149</x:v>
      </x:c>
      <x:c r="F34" s="6">
        <x:v>13</x:v>
      </x:c>
      <x:c r="G34" s="4" t="s">
        <x:v>21</x:v>
      </x:c>
      <x:c r="H34" s="4"/>
      <x:c r="I34" s="5" t="str">
        <x:f t="shared" si="0"/>
      </x:c>
      <x:c r="J34" s="3"/>
    </x:row>
    <x:row r="35">
      <x:c r="A35" s="3" t="s">
        <x:v>74</x:v>
      </x:c>
      <x:c r="B35" s="3" t="s">
        <x:v>86</x:v>
      </x:c>
      <x:c r="C35" s="3" t="s">
        <x:v>73</x:v>
      </x:c>
      <x:c r="D35" s="3" t="s">
        <x:v>87</x:v>
      </x:c>
      <x:c r="E35" s="5">
        <x:v>129</x:v>
      </x:c>
      <x:c r="F35" s="6">
        <x:v>15</x:v>
      </x:c>
      <x:c r="G35" s="4" t="s">
        <x:v>21</x:v>
      </x:c>
      <x:c r="H35" s="4"/>
      <x:c r="I35" s="5" t="str">
        <x:f t="shared" si="0"/>
      </x:c>
      <x:c r="J35" s="3"/>
    </x:row>
    <x:row r="36">
      <x:c r="A36" s="3" t="s">
        <x:v>74</x:v>
      </x:c>
      <x:c r="B36" s="3" t="s">
        <x:v>88</x:v>
      </x:c>
      <x:c r="C36" s="3" t="s">
        <x:v>89</x:v>
      </x:c>
      <x:c r="D36" s="3" t="s">
        <x:v>42</x:v>
      </x:c>
      <x:c r="E36" s="5">
        <x:v>160</x:v>
      </x:c>
      <x:c r="F36" s="6">
        <x:v>55</x:v>
      </x:c>
      <x:c r="G36" s="4" t="s">
        <x:v>38</x:v>
      </x:c>
      <x:c r="H36" s="4"/>
      <x:c r="I36" s="5" t="str">
        <x:f t="shared" si="0"/>
      </x:c>
      <x:c r="J36" s="3"/>
    </x:row>
    <x:row r="37">
      <x:c r="A37" s="3" t="s">
        <x:v>90</x:v>
      </x:c>
      <x:c r="B37" s="3" t="s">
        <x:v>91</x:v>
      </x:c>
      <x:c r="C37" s="3"/>
      <x:c r="D37" s="3" t="s">
        <x:v>92</x:v>
      </x:c>
      <x:c r="E37" s="5">
        <x:v>79</x:v>
      </x:c>
      <x:c r="F37" s="6">
        <x:v>0</x:v>
      </x:c>
      <x:c r="G37" s="4" t="s">
        <x:v>21</x:v>
      </x:c>
      <x:c r="H37" s="4"/>
      <x:c r="I37" s="5" t="str">
        <x:f t="shared" si="0"/>
      </x:c>
      <x:c r="J37" s="3"/>
    </x:row>
    <x:row r="38">
      <x:c r="A38" s="3" t="s">
        <x:v>90</x:v>
      </x:c>
      <x:c r="B38" s="3" t="s">
        <x:v>93</x:v>
      </x:c>
      <x:c r="C38" s="3"/>
      <x:c r="D38" s="3" t="s">
        <x:v>92</x:v>
      </x:c>
      <x:c r="E38" s="5">
        <x:v>79</x:v>
      </x:c>
      <x:c r="F38" s="6">
        <x:v>0</x:v>
      </x:c>
      <x:c r="G38" s="4" t="s">
        <x:v>21</x:v>
      </x:c>
      <x:c r="H38" s="4"/>
      <x:c r="I38" s="5" t="str">
        <x:f t="shared" si="0"/>
      </x:c>
      <x:c r="J38" s="3"/>
    </x:row>
    <x:row r="39">
      <x:c r="A39" s="3" t="s">
        <x:v>90</x:v>
      </x:c>
      <x:c r="B39" s="3" t="s">
        <x:v>94</x:v>
      </x:c>
      <x:c r="C39" s="3" t="s">
        <x:v>54</x:v>
      </x:c>
      <x:c r="D39" s="3" t="s">
        <x:v>95</x:v>
      </x:c>
      <x:c r="E39" s="5">
        <x:v>159</x:v>
      </x:c>
      <x:c r="F39" s="6">
        <x:v>16</x:v>
      </x:c>
      <x:c r="G39" s="4" t="s">
        <x:v>21</x:v>
      </x:c>
      <x:c r="H39" s="4"/>
      <x:c r="I39" s="5" t="str">
        <x:f t="shared" si="0"/>
      </x:c>
      <x:c r="J39" s="3"/>
    </x:row>
    <x:row r="40">
      <x:c r="A40" s="3" t="s">
        <x:v>96</x:v>
      </x:c>
      <x:c r="B40" s="3" t="s">
        <x:v>47</x:v>
      </x:c>
      <x:c r="C40" s="3"/>
      <x:c r="D40" s="3" t="s">
        <x:v>97</x:v>
      </x:c>
      <x:c r="E40" s="5">
        <x:v>170</x:v>
      </x:c>
      <x:c r="F40" s="6">
        <x:v>0</x:v>
      </x:c>
      <x:c r="G40" s="4"/>
      <x:c r="H40" s="4"/>
      <x:c r="I40" s="5" t="str">
        <x:f t="shared" ref="I40:I71" si="1">IF(F40="","",IF(G40="CNY",IF($H$5="","",F40*$H$5),IF(H40="含 GST",F40/1.1,IF(H40="不含 GST",F40,""))))</x:f>
      </x:c>
      <x:c r="J40" s="3" t="s">
        <x:v>98</x:v>
      </x:c>
    </x:row>
    <x:row r="41">
      <x:c r="A41" s="3" t="s">
        <x:v>96</x:v>
      </x:c>
      <x:c r="B41" s="3" t="s">
        <x:v>99</x:v>
      </x:c>
      <x:c r="C41" s="3"/>
      <x:c r="D41" s="3" t="s">
        <x:v>31</x:v>
      </x:c>
      <x:c r="E41" s="5">
        <x:v>99</x:v>
      </x:c>
      <x:c r="F41" s="6">
        <x:v>0</x:v>
      </x:c>
      <x:c r="G41" s="4" t="s">
        <x:v>21</x:v>
      </x:c>
      <x:c r="H41" s="4"/>
      <x:c r="I41" s="5" t="str">
        <x:f t="shared" si="1"/>
      </x:c>
      <x:c r="J41" s="3"/>
    </x:row>
    <x:row r="42">
      <x:c r="A42" s="3" t="s">
        <x:v>96</x:v>
      </x:c>
      <x:c r="B42" s="3" t="s">
        <x:v>100</x:v>
      </x:c>
      <x:c r="C42" s="3" t="s">
        <x:v>101</x:v>
      </x:c>
      <x:c r="D42" s="3" t="s">
        <x:v>101</x:v>
      </x:c>
      <x:c r="E42" s="5">
        <x:v>249</x:v>
      </x:c>
      <x:c r="F42" s="6">
        <x:v>130</x:v>
      </x:c>
      <x:c r="G42" s="4"/>
      <x:c r="H42" s="4"/>
      <x:c r="I42" s="5" t="str">
        <x:f t="shared" si="1"/>
      </x:c>
      <x:c r="J42" s="3"/>
    </x:row>
    <x:row r="43">
      <x:c r="A43" s="3" t="s">
        <x:v>96</x:v>
      </x:c>
      <x:c r="B43" s="3" t="s">
        <x:v>45</x:v>
      </x:c>
      <x:c r="C43" s="3"/>
      <x:c r="D43" s="3" t="s">
        <x:v>102</x:v>
      </x:c>
      <x:c r="E43" s="5">
        <x:v>60</x:v>
      </x:c>
      <x:c r="F43" s="6">
        <x:v>0</x:v>
      </x:c>
      <x:c r="G43" s="4" t="s">
        <x:v>21</x:v>
      </x:c>
      <x:c r="H43" s="4"/>
      <x:c r="I43" s="5" t="str">
        <x:f t="shared" si="1"/>
      </x:c>
      <x:c r="J43" s="3"/>
    </x:row>
    <x:row r="44">
      <x:c r="A44" s="3" t="s">
        <x:v>103</x:v>
      </x:c>
      <x:c r="B44" s="3" t="s">
        <x:v>104</x:v>
      </x:c>
      <x:c r="C44" s="3"/>
      <x:c r="D44" s="3" t="s">
        <x:v>48</x:v>
      </x:c>
      <x:c r="E44" s="5">
        <x:v>59</x:v>
      </x:c>
      <x:c r="F44" s="6">
        <x:v>0</x:v>
      </x:c>
      <x:c r="G44" s="4" t="s">
        <x:v>21</x:v>
      </x:c>
      <x:c r="H44" s="4"/>
      <x:c r="I44" s="5" t="str">
        <x:f t="shared" si="1"/>
      </x:c>
      <x:c r="J44" s="3"/>
    </x:row>
    <x:row r="45">
      <x:c r="A45" s="3" t="s">
        <x:v>103</x:v>
      </x:c>
      <x:c r="B45" s="3" t="s">
        <x:v>105</x:v>
      </x:c>
      <x:c r="C45" s="3" t="s">
        <x:v>71</x:v>
      </x:c>
      <x:c r="D45" s="3" t="s">
        <x:v>67</x:v>
      </x:c>
      <x:c r="E45" s="5">
        <x:v>169</x:v>
      </x:c>
      <x:c r="F45" s="6">
        <x:v>166</x:v>
      </x:c>
      <x:c r="G45" s="4" t="s">
        <x:v>38</x:v>
      </x:c>
      <x:c r="H45" s="4"/>
      <x:c r="I45" s="5" t="str">
        <x:f t="shared" si="1"/>
      </x:c>
      <x:c r="J45" s="3"/>
    </x:row>
    <x:row r="46">
      <x:c r="A46" s="3" t="s">
        <x:v>103</x:v>
      </x:c>
      <x:c r="B46" s="3" t="s">
        <x:v>105</x:v>
      </x:c>
      <x:c r="C46" s="3" t="s">
        <x:v>71</x:v>
      </x:c>
      <x:c r="D46" s="3" t="s">
        <x:v>106</x:v>
      </x:c>
      <x:c r="E46" s="5">
        <x:v>139</x:v>
      </x:c>
      <x:c r="F46" s="6">
        <x:v>15</x:v>
      </x:c>
      <x:c r="G46" s="4"/>
      <x:c r="H46" s="4"/>
      <x:c r="I46" s="5" t="str">
        <x:f t="shared" si="1"/>
      </x:c>
      <x:c r="J46" s="3" t="s">
        <x:v>107</x:v>
      </x:c>
    </x:row>
    <x:row r="47">
      <x:c r="A47" s="3" t="s">
        <x:v>108</x:v>
      </x:c>
      <x:c r="B47" s="3" t="s">
        <x:v>109</x:v>
      </x:c>
      <x:c r="C47" s="3" t="s">
        <x:v>110</x:v>
      </x:c>
      <x:c r="D47" s="3" t="s">
        <x:v>110</x:v>
      </x:c>
      <x:c r="E47" s="5">
        <x:v>140</x:v>
      </x:c>
      <x:c r="F47" s="6">
        <x:v>0</x:v>
      </x:c>
      <x:c r="G47" s="4" t="s">
        <x:v>21</x:v>
      </x:c>
      <x:c r="H47" s="4"/>
      <x:c r="I47" s="5" t="str">
        <x:f t="shared" si="1"/>
      </x:c>
      <x:c r="J47" s="3"/>
    </x:row>
    <x:row r="48">
      <x:c r="A48" s="3" t="s">
        <x:v>108</x:v>
      </x:c>
      <x:c r="B48" s="3" t="s">
        <x:v>111</x:v>
      </x:c>
      <x:c r="C48" s="3" t="s">
        <x:v>73</x:v>
      </x:c>
      <x:c r="D48" s="3" t="s">
        <x:v>112</x:v>
      </x:c>
      <x:c r="E48" s="5">
        <x:v>139</x:v>
      </x:c>
      <x:c r="F48" s="6">
        <x:v>59</x:v>
      </x:c>
      <x:c r="G48" s="4" t="s">
        <x:v>38</x:v>
      </x:c>
      <x:c r="H48" s="4"/>
      <x:c r="I48" s="5" t="str">
        <x:f t="shared" si="1"/>
      </x:c>
      <x:c r="J48" s="3"/>
    </x:row>
    <x:row r="49">
      <x:c r="A49" s="3" t="s">
        <x:v>108</x:v>
      </x:c>
      <x:c r="B49" s="3" t="s">
        <x:v>113</x:v>
      </x:c>
      <x:c r="C49" s="3" t="s">
        <x:v>114</x:v>
      </x:c>
      <x:c r="D49" s="3" t="s">
        <x:v>115</x:v>
      </x:c>
      <x:c r="E49" s="5">
        <x:v>159</x:v>
      </x:c>
      <x:c r="F49" s="6">
        <x:v>18</x:v>
      </x:c>
      <x:c r="G49" s="4" t="s">
        <x:v>21</x:v>
      </x:c>
      <x:c r="H49" s="4"/>
      <x:c r="I49" s="5" t="str">
        <x:f t="shared" si="1"/>
      </x:c>
      <x:c r="J49" s="3"/>
    </x:row>
    <x:row r="50">
      <x:c r="A50" s="3" t="s">
        <x:v>116</x:v>
      </x:c>
      <x:c r="B50" s="3" t="s">
        <x:v>117</x:v>
      </x:c>
      <x:c r="C50" s="3" t="s">
        <x:v>118</x:v>
      </x:c>
      <x:c r="D50" s="3" t="s">
        <x:v>119</x:v>
      </x:c>
      <x:c r="E50" s="5">
        <x:v>89</x:v>
      </x:c>
      <x:c r="F50" s="6">
        <x:v>35</x:v>
      </x:c>
      <x:c r="G50" s="4" t="s">
        <x:v>38</x:v>
      </x:c>
      <x:c r="H50" s="4"/>
      <x:c r="I50" s="5" t="str">
        <x:f t="shared" si="1"/>
      </x:c>
      <x:c r="J50" s="3"/>
    </x:row>
    <x:row r="51">
      <x:c r="A51" s="3" t="s">
        <x:v>116</x:v>
      </x:c>
      <x:c r="B51" s="3" t="s">
        <x:v>120</x:v>
      </x:c>
      <x:c r="C51" s="3" t="s">
        <x:v>121</x:v>
      </x:c>
      <x:c r="D51" s="3" t="s">
        <x:v>122</x:v>
      </x:c>
      <x:c r="E51" s="5">
        <x:v>119</x:v>
      </x:c>
      <x:c r="F51" s="6">
        <x:v>15</x:v>
      </x:c>
      <x:c r="G51" s="4" t="s">
        <x:v>21</x:v>
      </x:c>
      <x:c r="H51" s="4"/>
      <x:c r="I51" s="5" t="str">
        <x:f t="shared" si="1"/>
      </x:c>
      <x:c r="J51" s="3"/>
    </x:row>
    <x:row r="52">
      <x:c r="A52" s="3" t="s">
        <x:v>116</x:v>
      </x:c>
      <x:c r="B52" s="3" t="s">
        <x:v>123</x:v>
      </x:c>
      <x:c r="C52" s="3" t="s">
        <x:v>124</x:v>
      </x:c>
      <x:c r="D52" s="3" t="s">
        <x:v>125</x:v>
      </x:c>
      <x:c r="E52" s="5">
        <x:v>125</x:v>
      </x:c>
      <x:c r="F52" s="6">
        <x:v>27</x:v>
      </x:c>
      <x:c r="G52" s="4" t="s">
        <x:v>21</x:v>
      </x:c>
      <x:c r="H52" s="4"/>
      <x:c r="I52" s="5" t="str">
        <x:f t="shared" si="1"/>
      </x:c>
      <x:c r="J52" s="3"/>
    </x:row>
    <x:row r="53">
      <x:c r="A53" s="3" t="s">
        <x:v>126</x:v>
      </x:c>
      <x:c r="B53" s="3" t="s">
        <x:v>127</x:v>
      </x:c>
      <x:c r="C53" s="3" t="s">
        <x:v>54</x:v>
      </x:c>
      <x:c r="D53" s="3" t="s">
        <x:v>55</x:v>
      </x:c>
      <x:c r="E53" s="5">
        <x:v>169</x:v>
      </x:c>
      <x:c r="F53" s="6">
        <x:v>27</x:v>
      </x:c>
      <x:c r="G53" s="4" t="s">
        <x:v>21</x:v>
      </x:c>
      <x:c r="H53" s="4"/>
      <x:c r="I53" s="5" t="str">
        <x:f t="shared" si="1"/>
      </x:c>
      <x:c r="J53" s="3"/>
    </x:row>
    <x:row r="54">
      <x:c r="A54" s="3" t="s">
        <x:v>126</x:v>
      </x:c>
      <x:c r="B54" s="3" t="s">
        <x:v>128</x:v>
      </x:c>
      <x:c r="C54" s="3" t="s">
        <x:v>129</x:v>
      </x:c>
      <x:c r="D54" s="3" t="s">
        <x:v>130</x:v>
      </x:c>
      <x:c r="E54" s="5">
        <x:v>129</x:v>
      </x:c>
      <x:c r="F54" s="6">
        <x:v>13</x:v>
      </x:c>
      <x:c r="G54" s="4" t="s">
        <x:v>21</x:v>
      </x:c>
      <x:c r="H54" s="4"/>
      <x:c r="I54" s="5" t="str">
        <x:f t="shared" si="1"/>
      </x:c>
      <x:c r="J54" s="3"/>
    </x:row>
    <x:row r="55">
      <x:c r="A55" s="3" t="s">
        <x:v>126</x:v>
      </x:c>
      <x:c r="B55" s="3" t="s">
        <x:v>131</x:v>
      </x:c>
      <x:c r="C55" s="3" t="s">
        <x:v>129</x:v>
      </x:c>
      <x:c r="D55" s="3" t="s">
        <x:v>130</x:v>
      </x:c>
      <x:c r="E55" s="5">
        <x:v>129</x:v>
      </x:c>
      <x:c r="F55" s="6">
        <x:v>13</x:v>
      </x:c>
      <x:c r="G55" s="4" t="s">
        <x:v>21</x:v>
      </x:c>
      <x:c r="H55" s="4"/>
      <x:c r="I55" s="5" t="str">
        <x:f t="shared" si="1"/>
      </x:c>
      <x:c r="J55" s="3"/>
    </x:row>
    <x:row r="56">
      <x:c r="A56" s="3" t="s">
        <x:v>132</x:v>
      </x:c>
      <x:c r="B56" s="3" t="s">
        <x:v>133</x:v>
      </x:c>
      <x:c r="C56" s="3" t="s">
        <x:v>134</x:v>
      </x:c>
      <x:c r="D56" s="3" t="s">
        <x:v>135</x:v>
      </x:c>
      <x:c r="E56" s="5">
        <x:v>99</x:v>
      </x:c>
      <x:c r="F56" s="6">
        <x:v>10</x:v>
      </x:c>
      <x:c r="G56" s="4" t="s">
        <x:v>21</x:v>
      </x:c>
      <x:c r="H56" s="4"/>
      <x:c r="I56" s="5" t="str">
        <x:f t="shared" si="1"/>
      </x:c>
      <x:c r="J56" s="3"/>
    </x:row>
    <x:row r="57">
      <x:c r="A57" s="3" t="s">
        <x:v>136</x:v>
      </x:c>
      <x:c r="B57" s="3" t="s">
        <x:v>137</x:v>
      </x:c>
      <x:c r="C57" s="3" t="s">
        <x:v>138</x:v>
      </x:c>
      <x:c r="D57" s="3" t="s">
        <x:v>139</x:v>
      </x:c>
      <x:c r="E57" s="5">
        <x:v>129</x:v>
      </x:c>
      <x:c r="F57" s="6">
        <x:v>20</x:v>
      </x:c>
      <x:c r="G57" s="4" t="s">
        <x:v>21</x:v>
      </x:c>
      <x:c r="H57" s="4"/>
      <x:c r="I57" s="5" t="str">
        <x:f t="shared" si="1"/>
      </x:c>
      <x:c r="J57" s="3"/>
    </x:row>
    <x:row r="58">
      <x:c r="A58" s="3" t="s">
        <x:v>136</x:v>
      </x:c>
      <x:c r="B58" s="3" t="s">
        <x:v>140</x:v>
      </x:c>
      <x:c r="C58" s="3"/>
      <x:c r="D58" s="3" t="s">
        <x:v>31</x:v>
      </x:c>
      <x:c r="E58" s="5">
        <x:v>99</x:v>
      </x:c>
      <x:c r="F58" s="6">
        <x:v>0</x:v>
      </x:c>
      <x:c r="G58" s="4" t="s">
        <x:v>21</x:v>
      </x:c>
      <x:c r="H58" s="4"/>
      <x:c r="I58" s="5" t="str">
        <x:f t="shared" si="1"/>
      </x:c>
      <x:c r="J58" s="3"/>
    </x:row>
    <x:row r="59">
      <x:c r="A59" s="3" t="s">
        <x:v>136</x:v>
      </x:c>
      <x:c r="B59" s="3" t="s">
        <x:v>141</x:v>
      </x:c>
      <x:c r="C59" s="3" t="s">
        <x:v>142</x:v>
      </x:c>
      <x:c r="D59" s="3" t="s">
        <x:v>142</x:v>
      </x:c>
      <x:c r="E59" s="5">
        <x:v>375</x:v>
      </x:c>
      <x:c r="F59" s="6">
        <x:v>150</x:v>
      </x:c>
      <x:c r="G59" s="4"/>
      <x:c r="H59" s="4"/>
      <x:c r="I59" s="5" t="str">
        <x:f t="shared" si="1"/>
      </x:c>
      <x:c r="J59" s="3"/>
    </x:row>
    <x:row r="60">
      <x:c r="A60" s="3" t="s">
        <x:v>143</x:v>
      </x:c>
      <x:c r="B60" s="3" t="s">
        <x:v>144</x:v>
      </x:c>
      <x:c r="C60" s="3" t="s">
        <x:v>145</x:v>
      </x:c>
      <x:c r="D60" s="3" t="s">
        <x:v>145</x:v>
      </x:c>
      <x:c r="E60" s="5">
        <x:v>159</x:v>
      </x:c>
      <x:c r="F60" s="6">
        <x:v>20</x:v>
      </x:c>
      <x:c r="G60" s="4"/>
      <x:c r="H60" s="4"/>
      <x:c r="I60" s="5" t="str">
        <x:f t="shared" si="1"/>
      </x:c>
      <x:c r="J60" s="3"/>
    </x:row>
    <x:row r="61">
      <x:c r="A61" s="3" t="s">
        <x:v>143</x:v>
      </x:c>
      <x:c r="B61" s="3" t="s">
        <x:v>146</x:v>
      </x:c>
      <x:c r="C61" s="3" t="s">
        <x:v>147</x:v>
      </x:c>
      <x:c r="D61" s="3" t="s">
        <x:v>148</x:v>
      </x:c>
      <x:c r="E61" s="5">
        <x:v>169</x:v>
      </x:c>
      <x:c r="F61" s="6">
        <x:v>18</x:v>
      </x:c>
      <x:c r="G61" s="4" t="s">
        <x:v>21</x:v>
      </x:c>
      <x:c r="H61" s="4"/>
      <x:c r="I61" s="5" t="str">
        <x:f t="shared" si="1"/>
      </x:c>
      <x:c r="J61" s="3"/>
    </x:row>
    <x:row r="62">
      <x:c r="A62" s="3" t="s">
        <x:v>149</x:v>
      </x:c>
      <x:c r="B62" s="3" t="s">
        <x:v>150</x:v>
      </x:c>
      <x:c r="C62" s="3" t="s">
        <x:v>151</x:v>
      </x:c>
      <x:c r="D62" s="3" t="s">
        <x:v>42</x:v>
      </x:c>
      <x:c r="E62" s="5">
        <x:v>189</x:v>
      </x:c>
      <x:c r="F62" s="6">
        <x:v>25</x:v>
      </x:c>
      <x:c r="G62" s="4"/>
      <x:c r="H62" s="4"/>
      <x:c r="I62" s="5" t="str">
        <x:f t="shared" si="1"/>
      </x:c>
      <x:c r="J62" s="3"/>
    </x:row>
    <x:row r="63">
      <x:c r="A63" s="3" t="s">
        <x:v>152</x:v>
      </x:c>
      <x:c r="B63" s="3" t="s">
        <x:v>153</x:v>
      </x:c>
      <x:c r="C63" s="3"/>
      <x:c r="D63" s="3" t="s">
        <x:v>92</x:v>
      </x:c>
      <x:c r="E63" s="5">
        <x:v>79</x:v>
      </x:c>
      <x:c r="F63" s="6">
        <x:v>0</x:v>
      </x:c>
      <x:c r="G63" s="4" t="s">
        <x:v>21</x:v>
      </x:c>
      <x:c r="H63" s="4"/>
      <x:c r="I63" s="5" t="str">
        <x:f t="shared" si="1"/>
      </x:c>
      <x:c r="J63" s="3"/>
    </x:row>
    <x:row r="64">
      <x:c r="A64" s="3" t="s">
        <x:v>152</x:v>
      </x:c>
      <x:c r="B64" s="3" t="s">
        <x:v>154</x:v>
      </x:c>
      <x:c r="C64" s="3"/>
      <x:c r="D64" s="3" t="s">
        <x:v>23</x:v>
      </x:c>
      <x:c r="E64" s="5">
        <x:v>121</x:v>
      </x:c>
      <x:c r="F64" s="6">
        <x:v>0</x:v>
      </x:c>
      <x:c r="G64" s="4" t="s">
        <x:v>21</x:v>
      </x:c>
      <x:c r="H64" s="4"/>
      <x:c r="I64" s="5" t="str">
        <x:f t="shared" si="1"/>
      </x:c>
      <x:c r="J64" s="3"/>
    </x:row>
    <x:row r="65">
      <x:c r="A65" s="3" t="s">
        <x:v>155</x:v>
      </x:c>
      <x:c r="B65" s="3" t="s">
        <x:v>156</x:v>
      </x:c>
      <x:c r="C65" s="3"/>
      <x:c r="D65" s="3" t="s">
        <x:v>157</x:v>
      </x:c>
      <x:c r="E65" s="5">
        <x:v>79</x:v>
      </x:c>
      <x:c r="F65" s="6">
        <x:v>0</x:v>
      </x:c>
      <x:c r="G65" s="4" t="s">
        <x:v>21</x:v>
      </x:c>
      <x:c r="H65" s="4"/>
      <x:c r="I65" s="5" t="str">
        <x:f t="shared" si="1"/>
      </x:c>
      <x:c r="J65" s="3"/>
    </x:row>
    <x:row r="66">
      <x:c r="A66" s="3" t="s">
        <x:v>155</x:v>
      </x:c>
      <x:c r="B66" s="3" t="s">
        <x:v>158</x:v>
      </x:c>
      <x:c r="C66" s="3"/>
      <x:c r="D66" s="3" t="s">
        <x:v>31</x:v>
      </x:c>
      <x:c r="E66" s="5">
        <x:v>99</x:v>
      </x:c>
      <x:c r="F66" s="6">
        <x:v>0</x:v>
      </x:c>
      <x:c r="G66" s="4" t="s">
        <x:v>21</x:v>
      </x:c>
      <x:c r="H66" s="4"/>
      <x:c r="I66" s="5" t="str">
        <x:f t="shared" si="1"/>
      </x:c>
      <x:c r="J66" s="3"/>
    </x:row>
    <x:row r="67">
      <x:c r="A67" s="3" t="s">
        <x:v>159</x:v>
      </x:c>
      <x:c r="B67" s="3" t="s">
        <x:v>160</x:v>
      </x:c>
      <x:c r="C67" s="3" t="s">
        <x:v>40</x:v>
      </x:c>
      <x:c r="D67" s="3" t="s">
        <x:v>161</x:v>
      </x:c>
      <x:c r="E67" s="5">
        <x:v>129</x:v>
      </x:c>
      <x:c r="F67" s="6">
        <x:v>17</x:v>
      </x:c>
      <x:c r="G67" s="4" t="s">
        <x:v>21</x:v>
      </x:c>
      <x:c r="H67" s="4"/>
      <x:c r="I67" s="5" t="str">
        <x:f t="shared" si="1"/>
      </x:c>
      <x:c r="J67" s="3"/>
    </x:row>
    <x:row r="68">
      <x:c r="A68" s="3" t="s">
        <x:v>162</x:v>
      </x:c>
      <x:c r="B68" s="3" t="s">
        <x:v>163</x:v>
      </x:c>
      <x:c r="C68" s="3"/>
      <x:c r="D68" s="3" t="s">
        <x:v>164</x:v>
      </x:c>
      <x:c r="E68" s="5">
        <x:v>39</x:v>
      </x:c>
      <x:c r="F68" s="6">
        <x:v>0</x:v>
      </x:c>
      <x:c r="G68" s="4" t="s">
        <x:v>21</x:v>
      </x:c>
      <x:c r="H68" s="4"/>
      <x:c r="I68" s="5" t="str">
        <x:f t="shared" si="1"/>
      </x:c>
      <x:c r="J68" s="3"/>
    </x:row>
    <x:row r="69">
      <x:c r="A69" s="3" t="s">
        <x:v>162</x:v>
      </x:c>
      <x:c r="B69" s="3" t="s">
        <x:v>165</x:v>
      </x:c>
      <x:c r="C69" s="3"/>
      <x:c r="D69" s="3" t="s">
        <x:v>164</x:v>
      </x:c>
      <x:c r="E69" s="5">
        <x:v>29</x:v>
      </x:c>
      <x:c r="F69" s="6">
        <x:v>0</x:v>
      </x:c>
      <x:c r="G69" s="4" t="s">
        <x:v>21</x:v>
      </x:c>
      <x:c r="H69" s="4"/>
      <x:c r="I69" s="5" t="str">
        <x:f t="shared" si="1"/>
      </x:c>
      <x:c r="J69" s="3"/>
    </x:row>
    <x:row r="70">
      <x:c r="A70" s="3" t="s">
        <x:v>162</x:v>
      </x:c>
      <x:c r="B70" s="3" t="s">
        <x:v>166</x:v>
      </x:c>
      <x:c r="C70" s="3" t="s">
        <x:v>89</x:v>
      </x:c>
      <x:c r="D70" s="3" t="s">
        <x:v>167</x:v>
      </x:c>
      <x:c r="E70" s="5">
        <x:v>169</x:v>
      </x:c>
      <x:c r="F70" s="6">
        <x:v>15</x:v>
      </x:c>
      <x:c r="G70" s="4"/>
      <x:c r="H70" s="4"/>
      <x:c r="I70" s="5" t="str">
        <x:f t="shared" si="1"/>
      </x:c>
      <x:c r="J70" s="3"/>
    </x:row>
    <x:row r="71">
      <x:c r="A71" s="3" t="s">
        <x:v>162</x:v>
      </x:c>
      <x:c r="B71" s="3" t="s">
        <x:v>168</x:v>
      </x:c>
      <x:c r="C71" s="3" t="s">
        <x:v>114</x:v>
      </x:c>
      <x:c r="D71" s="3" t="s">
        <x:v>169</x:v>
      </x:c>
      <x:c r="E71" s="5">
        <x:v>99</x:v>
      </x:c>
      <x:c r="F71" s="6">
        <x:v>10</x:v>
      </x:c>
      <x:c r="G71" s="4"/>
      <x:c r="H71" s="4"/>
      <x:c r="I71" s="5" t="str">
        <x:f t="shared" si="1"/>
      </x:c>
      <x:c r="J71" s="3"/>
    </x:row>
    <x:row r="72">
      <x:c r="A72" s="3" t="s">
        <x:v>162</x:v>
      </x:c>
      <x:c r="B72" s="3" t="s">
        <x:v>170</x:v>
      </x:c>
      <x:c r="C72" s="3"/>
      <x:c r="D72" s="3" t="s">
        <x:v>48</x:v>
      </x:c>
      <x:c r="E72" s="5">
        <x:v>59</x:v>
      </x:c>
      <x:c r="F72" s="6">
        <x:v>0</x:v>
      </x:c>
      <x:c r="G72" s="4" t="s">
        <x:v>21</x:v>
      </x:c>
      <x:c r="H72" s="4"/>
      <x:c r="I72" s="5" t="str">
        <x:f t="shared" ref="I72:I80" si="2">IF(F72="","",IF(G72="CNY",IF($H$5="","",F72*$H$5),IF(H72="含 GST",F72/1.1,IF(H72="不含 GST",F72,""))))</x:f>
      </x:c>
      <x:c r="J72" s="3"/>
    </x:row>
    <x:row r="73">
      <x:c r="A73" s="3" t="s">
        <x:v>171</x:v>
      </x:c>
      <x:c r="B73" s="3" t="s">
        <x:v>60</x:v>
      </x:c>
      <x:c r="C73" s="3" t="s">
        <x:v>61</x:v>
      </x:c>
      <x:c r="D73" s="3" t="s">
        <x:v>172</x:v>
      </x:c>
      <x:c r="E73" s="5">
        <x:v>500</x:v>
      </x:c>
      <x:c r="F73" s="6">
        <x:v>0</x:v>
      </x:c>
      <x:c r="G73" s="4"/>
      <x:c r="H73" s="4"/>
      <x:c r="I73" s="5" t="str">
        <x:f t="shared" si="2"/>
      </x:c>
      <x:c r="J73" s="3"/>
    </x:row>
    <x:row r="74">
      <x:c r="A74" s="3" t="s">
        <x:v>171</x:v>
      </x:c>
      <x:c r="B74" s="3" t="s">
        <x:v>173</x:v>
      </x:c>
      <x:c r="C74" s="3" t="s">
        <x:v>174</x:v>
      </x:c>
      <x:c r="D74" s="3" t="s">
        <x:v>175</x:v>
      </x:c>
      <x:c r="E74" s="5">
        <x:v>329</x:v>
      </x:c>
      <x:c r="F74" s="6">
        <x:v>400</x:v>
      </x:c>
      <x:c r="G74" s="4" t="s">
        <x:v>38</x:v>
      </x:c>
      <x:c r="H74" s="4"/>
      <x:c r="I74" s="5" t="str">
        <x:f t="shared" si="2"/>
      </x:c>
      <x:c r="J74" s="3"/>
    </x:row>
    <x:row r="75">
      <x:c r="A75" s="3" t="s">
        <x:v>171</x:v>
      </x:c>
      <x:c r="B75" s="3" t="s">
        <x:v>176</x:v>
      </x:c>
      <x:c r="C75" s="3"/>
      <x:c r="D75" s="3" t="s">
        <x:v>177</x:v>
      </x:c>
      <x:c r="E75" s="5">
        <x:v>99</x:v>
      </x:c>
      <x:c r="F75" s="6">
        <x:v>0</x:v>
      </x:c>
      <x:c r="G75" s="4"/>
      <x:c r="H75" s="4"/>
      <x:c r="I75" s="5" t="str">
        <x:f t="shared" si="2"/>
      </x:c>
      <x:c r="J75" s="3"/>
    </x:row>
    <x:row r="76">
      <x:c r="A76" s="3" t="s">
        <x:v>171</x:v>
      </x:c>
      <x:c r="B76" s="3" t="s">
        <x:v>178</x:v>
      </x:c>
      <x:c r="C76" s="3"/>
      <x:c r="D76" s="3" t="s">
        <x:v>92</x:v>
      </x:c>
      <x:c r="E76" s="5">
        <x:v>79</x:v>
      </x:c>
      <x:c r="F76" s="6">
        <x:v>0</x:v>
      </x:c>
      <x:c r="G76" s="4" t="s">
        <x:v>21</x:v>
      </x:c>
      <x:c r="H76" s="4"/>
      <x:c r="I76" s="5" t="str">
        <x:f t="shared" si="2"/>
      </x:c>
      <x:c r="J76" s="3"/>
    </x:row>
    <x:row r="77">
      <x:c r="A77" s="3" t="s">
        <x:v>171</x:v>
      </x:c>
      <x:c r="B77" s="3" t="s">
        <x:v>179</x:v>
      </x:c>
      <x:c r="C77" s="3"/>
      <x:c r="D77" s="3" t="s">
        <x:v>92</x:v>
      </x:c>
      <x:c r="E77" s="5">
        <x:v>79</x:v>
      </x:c>
      <x:c r="F77" s="6">
        <x:v>0</x:v>
      </x:c>
      <x:c r="G77" s="4" t="s">
        <x:v>21</x:v>
      </x:c>
      <x:c r="H77" s="4"/>
      <x:c r="I77" s="5" t="str">
        <x:f t="shared" si="2"/>
      </x:c>
      <x:c r="J77" s="3"/>
    </x:row>
    <x:row r="78">
      <x:c r="A78" s="3" t="s">
        <x:v>180</x:v>
      </x:c>
      <x:c r="B78" s="3" t="s">
        <x:v>181</x:v>
      </x:c>
      <x:c r="C78" s="3"/>
      <x:c r="D78" s="3" t="s">
        <x:v>31</x:v>
      </x:c>
      <x:c r="E78" s="5">
        <x:v>99</x:v>
      </x:c>
      <x:c r="F78" s="6">
        <x:v>0</x:v>
      </x:c>
      <x:c r="G78" s="4" t="s">
        <x:v>21</x:v>
      </x:c>
      <x:c r="H78" s="4"/>
      <x:c r="I78" s="5" t="str">
        <x:f t="shared" si="2"/>
      </x:c>
      <x:c r="J78" s="3"/>
    </x:row>
    <x:row r="79">
      <x:c r="A79" s="3" t="s">
        <x:v>180</x:v>
      </x:c>
      <x:c r="B79" s="3" t="s">
        <x:v>182</x:v>
      </x:c>
      <x:c r="C79" s="3"/>
      <x:c r="D79" s="3" t="s">
        <x:v>23</x:v>
      </x:c>
      <x:c r="E79" s="5">
        <x:v>69</x:v>
      </x:c>
      <x:c r="F79" s="6">
        <x:v>0</x:v>
      </x:c>
      <x:c r="G79" s="4" t="s">
        <x:v>21</x:v>
      </x:c>
      <x:c r="H79" s="4"/>
      <x:c r="I79" s="5" t="str">
        <x:f t="shared" si="2"/>
      </x:c>
      <x:c r="J79" s="3"/>
    </x:row>
    <x:row r="80">
      <x:c r="A80" s="3" t="s">
        <x:v>180</x:v>
      </x:c>
      <x:c r="B80" s="3" t="s">
        <x:v>183</x:v>
      </x:c>
      <x:c r="C80" s="3"/>
      <x:c r="D80" s="3" t="s">
        <x:v>164</x:v>
      </x:c>
      <x:c r="E80" s="5">
        <x:v>39</x:v>
      </x:c>
      <x:c r="F80" s="6">
        <x:v>0</x:v>
      </x:c>
      <x:c r="G80" s="4" t="s">
        <x:v>21</x:v>
      </x:c>
      <x:c r="H80" s="4"/>
      <x:c r="I80" s="5" t="str">
        <x:f t="shared" si="2"/>
      </x:c>
      <x:c r="J80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3412"/>
  </x:sheetPr>
  <x:sheetViews>
    <x:sheetView showGridLines="0" workbookViewId="0">
      <x:pane ySplit="7" topLeftCell="A8" activePane="bottomLeft" state="frozen"/>
    </x:sheetView>
  </x:sheetViews>
  <x:sheetFormatPr defaultRowHeight="14.25"/>
  <x:cols>
    <x:col min="1" max="1" width="14" customWidth="1"/>
    <x:col min="2" max="2" width="25" customWidth="1"/>
    <x:col min="3" max="3" width="40" customWidth="1"/>
    <x:col min="4" max="4" width="72" customWidth="1"/>
    <x:col min="5" max="6" width="20" customWidth="1"/>
    <x:col min="7" max="8" width="15" customWidth="1"/>
    <x:col min="9" max="9" width="24" customWidth="1"/>
    <x:col min="10" max="10" width="45" customWidth="1"/>
  </x:cols>
  <x:sheetData>
    <x:row r="1" ht="33.95000076293945" customHeight="1">
      <x:c r="A1" s="7" t="s">
        <x:v>184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>
      <x:c r="A2" s="8" t="s">
        <x:v>1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8" t="s">
        <x:v>2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t="s">
        <x:v>3</x:v>
      </x:c>
      <x:c r="B5">
        <x:v>43</x:v>
      </x:c>
      <x:c r="D5" t="s">
        <x:v>4</x:v>
      </x:c>
      <x:c r="E5" t="n">
        <x:f>COUNTBLANK(F8:F50)</x:f>
        <x:v>43</x:v>
      </x:c>
      <x:c r="G5" t="s">
        <x:v>5</x:v>
      </x:c>
      <x:c r="H5" s="9" t="n">
        <x:v>0.2127659574468085</x:v>
      </x:c>
      <x:c r="J5" t="s">
        <x:v>6</x:v>
      </x:c>
    </x:row>
    <x:row r="7" ht="15">
      <x:c r="A7" s="1" t="s">
        <x:v>7</x:v>
      </x:c>
      <x:c r="B7" s="1" t="s">
        <x:v>8</x:v>
      </x:c>
      <x:c r="C7" s="1" t="s">
        <x:v>9</x:v>
      </x:c>
      <x:c r="D7" s="1" t="s">
        <x:v>10</x:v>
      </x:c>
      <x:c r="E7" s="1" t="s">
        <x:v>11</x:v>
      </x:c>
      <x:c r="F7" s="1" t="s">
        <x:v>12</x:v>
      </x:c>
      <x:c r="G7" s="1" t="s">
        <x:v>13</x:v>
      </x:c>
      <x:c r="H7" s="1" t="s">
        <x:v>14</x:v>
      </x:c>
      <x:c r="I7" s="1" t="s">
        <x:v>15</x:v>
      </x:c>
      <x:c r="J7" s="1" t="s">
        <x:v>16</x:v>
      </x:c>
    </x:row>
    <x:row r="8">
      <x:c r="A8" s="3" t="s">
        <x:v>25</x:v>
      </x:c>
      <x:c r="B8" s="3" t="s">
        <x:v>185</x:v>
      </x:c>
      <x:c r="C8" s="3"/>
      <x:c r="D8" s="3" t="s">
        <x:v>186</x:v>
      </x:c>
      <x:c r="E8" s="5">
        <x:v>79</x:v>
      </x:c>
      <x:c r="F8" s="6"/>
      <x:c r="G8" s="4"/>
      <x:c r="H8" s="4"/>
      <x:c r="I8" s="5" t="str">
        <x:f t="shared" ref="I8:I50" si="0">IF(F8="","",IF(G8="CNY",IF($H$5="","",F8*$H$5),IF(H8="含 GST",F8/1.1,IF(H8="不含 GST",F8,""))))</x:f>
      </x:c>
      <x:c r="J8" s="3"/>
    </x:row>
    <x:row r="9">
      <x:c r="A9" s="3" t="s">
        <x:v>25</x:v>
      </x:c>
      <x:c r="B9" s="3" t="s">
        <x:v>187</x:v>
      </x:c>
      <x:c r="C9" s="3" t="s">
        <x:v>54</x:v>
      </x:c>
      <x:c r="D9" s="3" t="s">
        <x:v>95</x:v>
      </x:c>
      <x:c r="E9" s="5">
        <x:v>159</x:v>
      </x:c>
      <x:c r="F9" s="6"/>
      <x:c r="G9" s="4"/>
      <x:c r="H9" s="4"/>
      <x:c r="I9" s="5" t="str">
        <x:f t="shared" si="0"/>
      </x:c>
      <x:c r="J9" s="3"/>
    </x:row>
    <x:row r="10">
      <x:c r="A10" s="3" t="s">
        <x:v>25</x:v>
      </x:c>
      <x:c r="B10" s="3" t="s">
        <x:v>188</x:v>
      </x:c>
      <x:c r="C10" s="3" t="s">
        <x:v>54</x:v>
      </x:c>
      <x:c r="D10" s="3" t="s">
        <x:v>189</x:v>
      </x:c>
      <x:c r="E10" s="5">
        <x:v>179</x:v>
      </x:c>
      <x:c r="F10" s="6"/>
      <x:c r="G10" s="4"/>
      <x:c r="H10" s="4"/>
      <x:c r="I10" s="5" t="str">
        <x:f t="shared" si="0"/>
      </x:c>
      <x:c r="J10" s="3"/>
    </x:row>
    <x:row r="11">
      <x:c r="A11" s="3" t="s">
        <x:v>25</x:v>
      </x:c>
      <x:c r="B11" s="3" t="s">
        <x:v>190</x:v>
      </x:c>
      <x:c r="C11" s="3" t="s">
        <x:v>191</x:v>
      </x:c>
      <x:c r="D11" s="3" t="s">
        <x:v>192</x:v>
      </x:c>
      <x:c r="E11" s="5">
        <x:v>100</x:v>
      </x:c>
      <x:c r="F11" s="6"/>
      <x:c r="G11" s="4"/>
      <x:c r="H11" s="4"/>
      <x:c r="I11" s="5" t="str">
        <x:f t="shared" si="0"/>
      </x:c>
      <x:c r="J11" s="3"/>
    </x:row>
    <x:row r="12">
      <x:c r="A12" s="3" t="s">
        <x:v>25</x:v>
      </x:c>
      <x:c r="B12" s="3" t="s">
        <x:v>193</x:v>
      </x:c>
      <x:c r="C12" s="3"/>
      <x:c r="D12" s="3" t="s">
        <x:v>23</x:v>
      </x:c>
      <x:c r="E12" s="5">
        <x:v>100</x:v>
      </x:c>
      <x:c r="F12" s="6"/>
      <x:c r="G12" s="4"/>
      <x:c r="H12" s="4"/>
      <x:c r="I12" s="5" t="str">
        <x:f t="shared" si="0"/>
      </x:c>
      <x:c r="J12" s="3"/>
    </x:row>
    <x:row r="13">
      <x:c r="A13" s="3" t="s">
        <x:v>25</x:v>
      </x:c>
      <x:c r="B13" s="3" t="s">
        <x:v>194</x:v>
      </x:c>
      <x:c r="C13" s="3"/>
      <x:c r="D13" s="3" t="s">
        <x:v>23</x:v>
      </x:c>
      <x:c r="E13" s="5">
        <x:v>130</x:v>
      </x:c>
      <x:c r="F13" s="6"/>
      <x:c r="G13" s="4"/>
      <x:c r="H13" s="4"/>
      <x:c r="I13" s="5" t="str">
        <x:f t="shared" si="0"/>
      </x:c>
      <x:c r="J13" s="3"/>
    </x:row>
    <x:row r="14">
      <x:c r="A14" s="3" t="s">
        <x:v>44</x:v>
      </x:c>
      <x:c r="B14" s="3" t="s">
        <x:v>195</x:v>
      </x:c>
      <x:c r="C14" s="3"/>
      <x:c r="D14" s="3" t="s">
        <x:v>64</x:v>
      </x:c>
      <x:c r="E14" s="5">
        <x:v>99</x:v>
      </x:c>
      <x:c r="F14" s="6"/>
      <x:c r="G14" s="4"/>
      <x:c r="H14" s="4"/>
      <x:c r="I14" s="5" t="str">
        <x:f t="shared" si="0"/>
      </x:c>
      <x:c r="J14" s="3"/>
    </x:row>
    <x:row r="15">
      <x:c r="A15" s="3" t="s">
        <x:v>44</x:v>
      </x:c>
      <x:c r="B15" s="3" t="s">
        <x:v>196</x:v>
      </x:c>
      <x:c r="C15" s="3"/>
      <x:c r="D15" s="3" t="s">
        <x:v>48</x:v>
      </x:c>
      <x:c r="E15" s="5">
        <x:v>59</x:v>
      </x:c>
      <x:c r="F15" s="6"/>
      <x:c r="G15" s="4"/>
      <x:c r="H15" s="4"/>
      <x:c r="I15" s="5" t="str">
        <x:f t="shared" si="0"/>
      </x:c>
      <x:c r="J15" s="3"/>
    </x:row>
    <x:row r="16">
      <x:c r="A16" s="3" t="s">
        <x:v>44</x:v>
      </x:c>
      <x:c r="B16" s="3" t="s">
        <x:v>197</x:v>
      </x:c>
      <x:c r="C16" s="3" t="s">
        <x:v>198</x:v>
      </x:c>
      <x:c r="D16" s="3" t="s">
        <x:v>198</x:v>
      </x:c>
      <x:c r="E16" s="5">
        <x:v>159</x:v>
      </x:c>
      <x:c r="F16" s="6"/>
      <x:c r="G16" s="4"/>
      <x:c r="H16" s="4"/>
      <x:c r="I16" s="5" t="str">
        <x:f t="shared" si="0"/>
      </x:c>
      <x:c r="J16" s="3"/>
    </x:row>
    <x:row r="17">
      <x:c r="A17" s="3" t="s">
        <x:v>44</x:v>
      </x:c>
      <x:c r="B17" s="3" t="s">
        <x:v>196</x:v>
      </x:c>
      <x:c r="C17" s="3"/>
      <x:c r="D17" s="3" t="s">
        <x:v>199</x:v>
      </x:c>
      <x:c r="E17" s="5">
        <x:v>410</x:v>
      </x:c>
      <x:c r="F17" s="6"/>
      <x:c r="G17" s="4"/>
      <x:c r="H17" s="4"/>
      <x:c r="I17" s="5" t="str">
        <x:f t="shared" si="0"/>
      </x:c>
      <x:c r="J17" s="3"/>
    </x:row>
    <x:row r="18">
      <x:c r="A18" s="3" t="s">
        <x:v>49</x:v>
      </x:c>
      <x:c r="B18" s="3" t="s">
        <x:v>200</x:v>
      </x:c>
      <x:c r="C18" s="3" t="s">
        <x:v>79</x:v>
      </x:c>
      <x:c r="D18" s="3" t="s">
        <x:v>201</x:v>
      </x:c>
      <x:c r="E18" s="5">
        <x:v>410</x:v>
      </x:c>
      <x:c r="F18" s="6"/>
      <x:c r="G18" s="4"/>
      <x:c r="H18" s="4"/>
      <x:c r="I18" s="5" t="str">
        <x:f t="shared" si="0"/>
      </x:c>
      <x:c r="J18" s="3"/>
    </x:row>
    <x:row r="19">
      <x:c r="A19" s="3" t="s">
        <x:v>49</x:v>
      </x:c>
      <x:c r="B19" s="3" t="s">
        <x:v>195</x:v>
      </x:c>
      <x:c r="C19" s="3"/>
      <x:c r="D19" s="3" t="s">
        <x:v>202</x:v>
      </x:c>
      <x:c r="E19" s="5">
        <x:v>60</x:v>
      </x:c>
      <x:c r="F19" s="6"/>
      <x:c r="G19" s="4"/>
      <x:c r="H19" s="4"/>
      <x:c r="I19" s="5" t="str">
        <x:f t="shared" si="0"/>
      </x:c>
      <x:c r="J19" s="3"/>
    </x:row>
    <x:row r="20">
      <x:c r="A20" s="3" t="s">
        <x:v>49</x:v>
      </x:c>
      <x:c r="B20" s="3" t="s">
        <x:v>203</x:v>
      </x:c>
      <x:c r="C20" s="3" t="s">
        <x:v>204</x:v>
      </x:c>
      <x:c r="D20" s="3" t="s">
        <x:v>205</x:v>
      </x:c>
      <x:c r="E20" s="5">
        <x:v>289</x:v>
      </x:c>
      <x:c r="F20" s="6"/>
      <x:c r="G20" s="4"/>
      <x:c r="H20" s="4"/>
      <x:c r="I20" s="5" t="str">
        <x:f t="shared" si="0"/>
      </x:c>
      <x:c r="J20" s="3"/>
    </x:row>
    <x:row r="21">
      <x:c r="A21" s="3" t="s">
        <x:v>49</x:v>
      </x:c>
      <x:c r="B21" s="3" t="s">
        <x:v>206</x:v>
      </x:c>
      <x:c r="C21" s="3" t="s">
        <x:v>207</x:v>
      </x:c>
      <x:c r="D21" s="3" t="s">
        <x:v>208</x:v>
      </x:c>
      <x:c r="E21" s="5">
        <x:v>149</x:v>
      </x:c>
      <x:c r="F21" s="6"/>
      <x:c r="G21" s="4"/>
      <x:c r="H21" s="4"/>
      <x:c r="I21" s="5" t="str">
        <x:f t="shared" si="0"/>
      </x:c>
      <x:c r="J21" s="3"/>
    </x:row>
    <x:row r="22">
      <x:c r="A22" s="3" t="s">
        <x:v>49</x:v>
      </x:c>
      <x:c r="B22" s="3" t="s">
        <x:v>209</x:v>
      </x:c>
      <x:c r="C22" s="3" t="s">
        <x:v>207</x:v>
      </x:c>
      <x:c r="D22" s="3" t="s">
        <x:v>210</x:v>
      </x:c>
      <x:c r="E22" s="5">
        <x:v>149</x:v>
      </x:c>
      <x:c r="F22" s="6"/>
      <x:c r="G22" s="4"/>
      <x:c r="H22" s="4"/>
      <x:c r="I22" s="5" t="str">
        <x:f t="shared" si="0"/>
      </x:c>
      <x:c r="J22" s="3"/>
    </x:row>
    <x:row r="23">
      <x:c r="A23" s="3" t="s">
        <x:v>59</x:v>
      </x:c>
      <x:c r="B23" s="3" t="s">
        <x:v>211</x:v>
      </x:c>
      <x:c r="C23" s="3"/>
      <x:c r="D23" s="3" t="s">
        <x:v>23</x:v>
      </x:c>
      <x:c r="E23" s="5">
        <x:v>69</x:v>
      </x:c>
      <x:c r="F23" s="6"/>
      <x:c r="G23" s="4"/>
      <x:c r="H23" s="4"/>
      <x:c r="I23" s="5" t="str">
        <x:f t="shared" si="0"/>
      </x:c>
      <x:c r="J23" s="3"/>
    </x:row>
    <x:row r="24">
      <x:c r="A24" s="3" t="s">
        <x:v>62</x:v>
      </x:c>
      <x:c r="B24" s="3" t="s">
        <x:v>212</x:v>
      </x:c>
      <x:c r="C24" s="3"/>
      <x:c r="D24" s="3" t="s">
        <x:v>31</x:v>
      </x:c>
      <x:c r="E24" s="5">
        <x:v>99</x:v>
      </x:c>
      <x:c r="F24" s="6"/>
      <x:c r="G24" s="4"/>
      <x:c r="H24" s="4"/>
      <x:c r="I24" s="5" t="str">
        <x:f t="shared" si="0"/>
      </x:c>
      <x:c r="J24" s="3"/>
    </x:row>
    <x:row r="25">
      <x:c r="A25" s="3" t="s">
        <x:v>74</x:v>
      </x:c>
      <x:c r="B25" s="3" t="s">
        <x:v>213</x:v>
      </x:c>
      <x:c r="C25" s="3"/>
      <x:c r="D25" s="3" t="s">
        <x:v>23</x:v>
      </x:c>
      <x:c r="E25" s="5">
        <x:v>59</x:v>
      </x:c>
      <x:c r="F25" s="6"/>
      <x:c r="G25" s="4"/>
      <x:c r="H25" s="4"/>
      <x:c r="I25" s="5" t="str">
        <x:f t="shared" si="0"/>
      </x:c>
      <x:c r="J25" s="3"/>
    </x:row>
    <x:row r="26">
      <x:c r="A26" s="3" t="s">
        <x:v>74</x:v>
      </x:c>
      <x:c r="B26" s="3" t="s">
        <x:v>213</x:v>
      </x:c>
      <x:c r="C26" s="3"/>
      <x:c r="D26" s="3" t="s">
        <x:v>48</x:v>
      </x:c>
      <x:c r="E26" s="5">
        <x:v>60</x:v>
      </x:c>
      <x:c r="F26" s="6"/>
      <x:c r="G26" s="4"/>
      <x:c r="H26" s="4"/>
      <x:c r="I26" s="5" t="str">
        <x:f t="shared" si="0"/>
      </x:c>
      <x:c r="J26" s="3"/>
    </x:row>
    <x:row r="27">
      <x:c r="A27" s="3" t="s">
        <x:v>74</x:v>
      </x:c>
      <x:c r="B27" s="3" t="s">
        <x:v>214</x:v>
      </x:c>
      <x:c r="C27" s="3" t="s">
        <x:v>73</x:v>
      </x:c>
      <x:c r="D27" s="3" t="s">
        <x:v>167</x:v>
      </x:c>
      <x:c r="E27" s="5">
        <x:v>129</x:v>
      </x:c>
      <x:c r="F27" s="6"/>
      <x:c r="G27" s="4"/>
      <x:c r="H27" s="4"/>
      <x:c r="I27" s="5" t="str">
        <x:f t="shared" si="0"/>
      </x:c>
      <x:c r="J27" s="3"/>
    </x:row>
    <x:row r="28">
      <x:c r="A28" s="3" t="s">
        <x:v>74</x:v>
      </x:c>
      <x:c r="B28" s="3" t="s">
        <x:v>215</x:v>
      </x:c>
      <x:c r="C28" s="3" t="s">
        <x:v>73</x:v>
      </x:c>
      <x:c r="D28" s="3" t="s">
        <x:v>42</x:v>
      </x:c>
      <x:c r="E28" s="5">
        <x:v>149</x:v>
      </x:c>
      <x:c r="F28" s="6"/>
      <x:c r="G28" s="4"/>
      <x:c r="H28" s="4"/>
      <x:c r="I28" s="5" t="str">
        <x:f t="shared" si="0"/>
      </x:c>
      <x:c r="J28" s="3"/>
    </x:row>
    <x:row r="29">
      <x:c r="A29" s="3" t="s">
        <x:v>90</x:v>
      </x:c>
      <x:c r="B29" s="3" t="s">
        <x:v>216</x:v>
      </x:c>
      <x:c r="C29" s="3" t="s">
        <x:v>19</x:v>
      </x:c>
      <x:c r="D29" s="3" t="s">
        <x:v>20</x:v>
      </x:c>
      <x:c r="E29" s="5">
        <x:v>129</x:v>
      </x:c>
      <x:c r="F29" s="6"/>
      <x:c r="G29" s="4"/>
      <x:c r="H29" s="4"/>
      <x:c r="I29" s="5" t="str">
        <x:f t="shared" si="0"/>
      </x:c>
      <x:c r="J29" s="3"/>
    </x:row>
    <x:row r="30">
      <x:c r="A30" s="3" t="s">
        <x:v>96</x:v>
      </x:c>
      <x:c r="B30" s="3" t="s">
        <x:v>217</x:v>
      </x:c>
      <x:c r="C30" s="3"/>
      <x:c r="D30" s="3" t="s">
        <x:v>23</x:v>
      </x:c>
      <x:c r="E30" s="5">
        <x:v>59</x:v>
      </x:c>
      <x:c r="F30" s="6"/>
      <x:c r="G30" s="4"/>
      <x:c r="H30" s="4"/>
      <x:c r="I30" s="5" t="str">
        <x:f t="shared" si="0"/>
      </x:c>
      <x:c r="J30" s="3"/>
    </x:row>
    <x:row r="31">
      <x:c r="A31" s="3" t="s">
        <x:v>96</x:v>
      </x:c>
      <x:c r="B31" s="3" t="s">
        <x:v>217</x:v>
      </x:c>
      <x:c r="C31" s="3"/>
      <x:c r="D31" s="3" t="s">
        <x:v>218</x:v>
      </x:c>
      <x:c r="E31" s="5">
        <x:v>30</x:v>
      </x:c>
      <x:c r="F31" s="6"/>
      <x:c r="G31" s="4"/>
      <x:c r="H31" s="4"/>
      <x:c r="I31" s="5" t="str">
        <x:f t="shared" si="0"/>
      </x:c>
      <x:c r="J31" s="3"/>
    </x:row>
    <x:row r="32">
      <x:c r="A32" s="3" t="s">
        <x:v>103</x:v>
      </x:c>
      <x:c r="B32" s="3" t="s">
        <x:v>219</x:v>
      </x:c>
      <x:c r="C32" s="3"/>
      <x:c r="D32" s="3" t="s">
        <x:v>23</x:v>
      </x:c>
      <x:c r="E32" s="5">
        <x:v>59</x:v>
      </x:c>
      <x:c r="F32" s="6"/>
      <x:c r="G32" s="4"/>
      <x:c r="H32" s="4"/>
      <x:c r="I32" s="5" t="str">
        <x:f t="shared" si="0"/>
      </x:c>
      <x:c r="J32" s="3"/>
    </x:row>
    <x:row r="33">
      <x:c r="A33" s="3" t="s">
        <x:v>103</x:v>
      </x:c>
      <x:c r="B33" s="3" t="s">
        <x:v>219</x:v>
      </x:c>
      <x:c r="C33" s="3"/>
      <x:c r="D33" s="3" t="s">
        <x:v>220</x:v>
      </x:c>
      <x:c r="E33" s="5">
        <x:v>120.14</x:v>
      </x:c>
      <x:c r="F33" s="6"/>
      <x:c r="G33" s="4"/>
      <x:c r="H33" s="4"/>
      <x:c r="I33" s="5" t="str">
        <x:f t="shared" si="0"/>
      </x:c>
      <x:c r="J33" s="3"/>
    </x:row>
    <x:row r="34">
      <x:c r="A34" s="3" t="s">
        <x:v>103</x:v>
      </x:c>
      <x:c r="B34" s="3" t="s">
        <x:v>219</x:v>
      </x:c>
      <x:c r="C34" s="3"/>
      <x:c r="D34" s="3" t="s">
        <x:v>221</x:v>
      </x:c>
      <x:c r="E34" s="5">
        <x:v>136.74</x:v>
      </x:c>
      <x:c r="F34" s="6"/>
      <x:c r="G34" s="4"/>
      <x:c r="H34" s="4"/>
      <x:c r="I34" s="5" t="str">
        <x:f t="shared" si="0"/>
      </x:c>
      <x:c r="J34" s="3"/>
    </x:row>
    <x:row r="35">
      <x:c r="A35" s="3" t="s">
        <x:v>116</x:v>
      </x:c>
      <x:c r="B35" s="3" t="s">
        <x:v>211</x:v>
      </x:c>
      <x:c r="C35" s="3"/>
      <x:c r="D35" s="3" t="s">
        <x:v>222</x:v>
      </x:c>
      <x:c r="E35" s="5">
        <x:v>130</x:v>
      </x:c>
      <x:c r="F35" s="6"/>
      <x:c r="G35" s="4"/>
      <x:c r="H35" s="4"/>
      <x:c r="I35" s="5" t="str">
        <x:f t="shared" si="0"/>
      </x:c>
      <x:c r="J35" s="3"/>
    </x:row>
    <x:row r="36">
      <x:c r="A36" s="3" t="s">
        <x:v>116</x:v>
      </x:c>
      <x:c r="B36" s="3" t="s">
        <x:v>223</x:v>
      </x:c>
      <x:c r="C36" s="3"/>
      <x:c r="D36" s="3" t="s">
        <x:v>48</x:v>
      </x:c>
      <x:c r="E36" s="5">
        <x:v>59</x:v>
      </x:c>
      <x:c r="F36" s="6"/>
      <x:c r="G36" s="4"/>
      <x:c r="H36" s="4"/>
      <x:c r="I36" s="5" t="str">
        <x:f t="shared" si="0"/>
      </x:c>
      <x:c r="J36" s="3"/>
    </x:row>
    <x:row r="37">
      <x:c r="A37" s="3" t="s">
        <x:v>116</x:v>
      </x:c>
      <x:c r="B37" s="3" t="s">
        <x:v>223</x:v>
      </x:c>
      <x:c r="C37" s="3"/>
      <x:c r="D37" s="3" t="s">
        <x:v>224</x:v>
      </x:c>
      <x:c r="E37" s="5">
        <x:v>12</x:v>
      </x:c>
      <x:c r="F37" s="6"/>
      <x:c r="G37" s="4"/>
      <x:c r="H37" s="4"/>
      <x:c r="I37" s="5" t="str">
        <x:f t="shared" si="0"/>
      </x:c>
      <x:c r="J37" s="3"/>
    </x:row>
    <x:row r="38">
      <x:c r="A38" s="3" t="s">
        <x:v>116</x:v>
      </x:c>
      <x:c r="B38" s="3" t="s">
        <x:v>223</x:v>
      </x:c>
      <x:c r="C38" s="3"/>
      <x:c r="D38" s="3" t="s">
        <x:v>225</x:v>
      </x:c>
      <x:c r="E38" s="5">
        <x:v>89</x:v>
      </x:c>
      <x:c r="F38" s="6"/>
      <x:c r="G38" s="4"/>
      <x:c r="H38" s="4"/>
      <x:c r="I38" s="5" t="str">
        <x:f t="shared" si="0"/>
      </x:c>
      <x:c r="J38" s="3"/>
    </x:row>
    <x:row r="39">
      <x:c r="A39" s="3" t="s">
        <x:v>132</x:v>
      </x:c>
      <x:c r="B39" s="3" t="s">
        <x:v>226</x:v>
      </x:c>
      <x:c r="C39" s="3" t="s">
        <x:v>207</x:v>
      </x:c>
      <x:c r="D39" s="3" t="s">
        <x:v>208</x:v>
      </x:c>
      <x:c r="E39" s="5">
        <x:v>149</x:v>
      </x:c>
      <x:c r="F39" s="6"/>
      <x:c r="G39" s="4"/>
      <x:c r="H39" s="4"/>
      <x:c r="I39" s="5" t="str">
        <x:f t="shared" si="0"/>
      </x:c>
      <x:c r="J39" s="3"/>
    </x:row>
    <x:row r="40">
      <x:c r="A40" s="3" t="s">
        <x:v>149</x:v>
      </x:c>
      <x:c r="B40" s="3" t="s">
        <x:v>227</x:v>
      </x:c>
      <x:c r="C40" s="3" t="s">
        <x:v>66</x:v>
      </x:c>
      <x:c r="D40" s="3" t="s">
        <x:v>228</x:v>
      </x:c>
      <x:c r="E40" s="5">
        <x:v>299</x:v>
      </x:c>
      <x:c r="F40" s="6"/>
      <x:c r="G40" s="4"/>
      <x:c r="H40" s="4"/>
      <x:c r="I40" s="5" t="str">
        <x:f t="shared" si="0"/>
      </x:c>
      <x:c r="J40" s="3"/>
    </x:row>
    <x:row r="41">
      <x:c r="A41" s="3" t="s">
        <x:v>149</x:v>
      </x:c>
      <x:c r="B41" s="3" t="s">
        <x:v>229</x:v>
      </x:c>
      <x:c r="C41" s="3"/>
      <x:c r="D41" s="3" t="s">
        <x:v>82</x:v>
      </x:c>
      <x:c r="E41" s="5">
        <x:v>30</x:v>
      </x:c>
      <x:c r="F41" s="6"/>
      <x:c r="G41" s="4"/>
      <x:c r="H41" s="4"/>
      <x:c r="I41" s="5" t="str">
        <x:f t="shared" si="0"/>
      </x:c>
      <x:c r="J41" s="3"/>
    </x:row>
    <x:row r="42">
      <x:c r="A42" s="3" t="s">
        <x:v>152</x:v>
      </x:c>
      <x:c r="B42" s="3" t="s">
        <x:v>230</x:v>
      </x:c>
      <x:c r="C42" s="3"/>
      <x:c r="D42" s="3" t="s">
        <x:v>64</x:v>
      </x:c>
      <x:c r="E42" s="5">
        <x:v>99</x:v>
      </x:c>
      <x:c r="F42" s="6"/>
      <x:c r="G42" s="4"/>
      <x:c r="H42" s="4"/>
      <x:c r="I42" s="5" t="str">
        <x:f t="shared" si="0"/>
      </x:c>
      <x:c r="J42" s="3"/>
    </x:row>
    <x:row r="43">
      <x:c r="A43" s="3" t="s">
        <x:v>155</x:v>
      </x:c>
      <x:c r="B43" s="3" t="s">
        <x:v>231</x:v>
      </x:c>
      <x:c r="C43" s="3" t="s">
        <x:v>73</x:v>
      </x:c>
      <x:c r="D43" s="3" t="s">
        <x:v>232</x:v>
      </x:c>
      <x:c r="E43" s="5">
        <x:v>129</x:v>
      </x:c>
      <x:c r="F43" s="6"/>
      <x:c r="G43" s="4"/>
      <x:c r="H43" s="4"/>
      <x:c r="I43" s="5" t="str">
        <x:f t="shared" si="0"/>
      </x:c>
      <x:c r="J43" s="3"/>
    </x:row>
    <x:row r="44">
      <x:c r="A44" s="3" t="s">
        <x:v>155</x:v>
      </x:c>
      <x:c r="B44" s="3" t="s">
        <x:v>233</x:v>
      </x:c>
      <x:c r="C44" s="3" t="s">
        <x:v>234</x:v>
      </x:c>
      <x:c r="D44" s="3" t="s">
        <x:v>235</x:v>
      </x:c>
      <x:c r="E44" s="5">
        <x:v>99</x:v>
      </x:c>
      <x:c r="F44" s="6"/>
      <x:c r="G44" s="4"/>
      <x:c r="H44" s="4"/>
      <x:c r="I44" s="5" t="str">
        <x:f t="shared" si="0"/>
      </x:c>
      <x:c r="J44" s="3"/>
    </x:row>
    <x:row r="45">
      <x:c r="A45" s="3" t="s">
        <x:v>159</x:v>
      </x:c>
      <x:c r="B45" s="3" t="s">
        <x:v>236</x:v>
      </x:c>
      <x:c r="C45" s="3"/>
      <x:c r="D45" s="3" t="s">
        <x:v>237</x:v>
      </x:c>
      <x:c r="E45" s="5">
        <x:v>79</x:v>
      </x:c>
      <x:c r="F45" s="6"/>
      <x:c r="G45" s="4"/>
      <x:c r="H45" s="4"/>
      <x:c r="I45" s="5" t="str">
        <x:f t="shared" si="0"/>
      </x:c>
      <x:c r="J45" s="3"/>
    </x:row>
    <x:row r="46">
      <x:c r="A46" s="3" t="s">
        <x:v>171</x:v>
      </x:c>
      <x:c r="B46" s="3" t="s">
        <x:v>238</x:v>
      </x:c>
      <x:c r="C46" s="3" t="s">
        <x:v>239</x:v>
      </x:c>
      <x:c r="D46" s="3" t="s">
        <x:v>240</x:v>
      </x:c>
      <x:c r="E46" s="5">
        <x:v>149</x:v>
      </x:c>
      <x:c r="F46" s="6"/>
      <x:c r="G46" s="4"/>
      <x:c r="H46" s="4"/>
      <x:c r="I46" s="5" t="str">
        <x:f t="shared" si="0"/>
      </x:c>
      <x:c r="J46" s="3"/>
    </x:row>
    <x:row r="47">
      <x:c r="A47" s="3" t="s">
        <x:v>171</x:v>
      </x:c>
      <x:c r="B47" s="3" t="s">
        <x:v>241</x:v>
      </x:c>
      <x:c r="C47" s="3" t="s">
        <x:v>242</x:v>
      </x:c>
      <x:c r="D47" s="3" t="s">
        <x:v>243</x:v>
      </x:c>
      <x:c r="E47" s="5">
        <x:v>199</x:v>
      </x:c>
      <x:c r="F47" s="6"/>
      <x:c r="G47" s="4"/>
      <x:c r="H47" s="4"/>
      <x:c r="I47" s="5" t="str">
        <x:f t="shared" si="0"/>
      </x:c>
      <x:c r="J47" s="3"/>
    </x:row>
    <x:row r="48">
      <x:c r="A48" s="3" t="s">
        <x:v>171</x:v>
      </x:c>
      <x:c r="B48" s="3" t="s">
        <x:v>244</x:v>
      </x:c>
      <x:c r="C48" s="3" t="s">
        <x:v>242</x:v>
      </x:c>
      <x:c r="D48" s="3" t="s">
        <x:v>245</x:v>
      </x:c>
      <x:c r="E48" s="5">
        <x:v>199</x:v>
      </x:c>
      <x:c r="F48" s="6"/>
      <x:c r="G48" s="4"/>
      <x:c r="H48" s="4"/>
      <x:c r="I48" s="5" t="str">
        <x:f t="shared" si="0"/>
      </x:c>
      <x:c r="J48" s="3"/>
    </x:row>
    <x:row r="49">
      <x:c r="A49" s="3" t="s">
        <x:v>180</x:v>
      </x:c>
      <x:c r="B49" s="3" t="s">
        <x:v>246</x:v>
      </x:c>
      <x:c r="C49" s="3" t="s">
        <x:v>66</x:v>
      </x:c>
      <x:c r="D49" s="3" t="s">
        <x:v>247</x:v>
      </x:c>
      <x:c r="E49" s="5">
        <x:v>199</x:v>
      </x:c>
      <x:c r="F49" s="6"/>
      <x:c r="G49" s="4"/>
      <x:c r="H49" s="4"/>
      <x:c r="I49" s="5" t="str">
        <x:f t="shared" si="0"/>
      </x:c>
      <x:c r="J49" s="3"/>
    </x:row>
    <x:row r="50">
      <x:c r="A50" s="3" t="s">
        <x:v>180</x:v>
      </x:c>
      <x:c r="B50" s="3" t="s">
        <x:v>248</x:v>
      </x:c>
      <x:c r="C50" s="3"/>
      <x:c r="D50" s="3" t="s">
        <x:v>48</x:v>
      </x:c>
      <x:c r="E50" s="5">
        <x:v>59</x:v>
      </x:c>
      <x:c r="F50" s="6"/>
      <x:c r="G50" s="4"/>
      <x:c r="H50" s="4"/>
      <x:c r="I50" s="5" t="str">
        <x:f t="shared" si="0"/>
      </x:c>
      <x:c r="J50" s="3"/>
    </x:row>
  </x:sheetData>
  <x:mergeCells>
    <x:mergeCell ref="A1:J1"/>
    <x:mergeCell ref="A2:J2"/>
    <x:mergeCell ref="A3:J3"/>
  </x:mergeCells>
  <x:pageMargins left="0.7" right="0.7" top="0.75" bottom="0.75" header="0.3" footer="0.3"/>
</x:worksheet>
</file>