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program\TECHM8 PRICE LIST\outputs\audio-holder-fan-catalog-20260812\"/>
    </mc:Choice>
  </mc:AlternateContent>
  <xr:revisionPtr revIDLastSave="0" documentId="13_ncr:1_{E93C53F5-2427-4BFB-9C7B-C81AA21C6677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Import Summary" sheetId="1" r:id="rId1"/>
    <sheet name="Ready Products" sheetId="2" r:id="rId2"/>
    <sheet name="Existing Products" sheetId="3" r:id="rId3"/>
    <sheet name="Cost Required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1" l="1"/>
  <c r="B6" i="1"/>
  <c r="B5" i="1"/>
  <c r="B4" i="1"/>
  <c r="B8" i="1" s="1"/>
</calcChain>
</file>

<file path=xl/sharedStrings.xml><?xml version="1.0" encoding="utf-8"?>
<sst xmlns="http://schemas.openxmlformats.org/spreadsheetml/2006/main" count="459" uniqueCount="287">
  <si>
    <t>TECHM8 Audio, Holder &amp; Fan POS Import Review</t>
  </si>
  <si>
    <t>Review result</t>
  </si>
  <si>
    <t>Count</t>
  </si>
  <si>
    <t>Source products</t>
  </si>
  <si>
    <t>New products ready and imported</t>
  </si>
  <si>
    <t>Existing products preserved</t>
  </si>
  <si>
    <t>Products requiring cost</t>
  </si>
  <si>
    <t>Products with validated main image</t>
  </si>
  <si>
    <t>Import rules</t>
  </si>
  <si>
    <t>All new store inventories start at 0. Source stock is retained only as audit metadata.</t>
  </si>
  <si>
    <t>Products with zero cost are not newly enabled until the owner supplies a valid cost.</t>
  </si>
  <si>
    <t>Existing products are not duplicated; only their POS category assignment is updated.</t>
  </si>
  <si>
    <t>All products use one main image captured from the current RepairDesk POS.</t>
  </si>
  <si>
    <t>Products are visible in POS and remain hidden from the online storefront.</t>
  </si>
  <si>
    <t>Item ID</t>
  </si>
  <si>
    <t>POS SKU</t>
  </si>
  <si>
    <t>Product Name</t>
  </si>
  <si>
    <t>Brand</t>
  </si>
  <si>
    <t>Source Category</t>
  </si>
  <si>
    <t>POS Main Category</t>
  </si>
  <si>
    <t>POS Subcategory</t>
  </si>
  <si>
    <t>Cost</t>
  </si>
  <si>
    <t>Retail</t>
  </si>
  <si>
    <t>Barcode</t>
  </si>
  <si>
    <t>Image URL</t>
  </si>
  <si>
    <t>11215</t>
  </si>
  <si>
    <t>112151763</t>
  </si>
  <si>
    <t>Remax C23 USB-C to 3.5mm Audio Adapter</t>
  </si>
  <si>
    <t>Remax</t>
  </si>
  <si>
    <t>8. Headphones &gt; Headphones Adapter</t>
  </si>
  <si>
    <t>Cables &amp; Adapters</t>
  </si>
  <si>
    <t>Audio Cables &amp; Adapters</t>
  </si>
  <si>
    <t>6954851247548</t>
  </si>
  <si>
    <t>https://dghyt15qon7us.cloudfront.net/images/productTheme/Inventory/small/0.14304500%201780554283.jpg</t>
  </si>
  <si>
    <t>11070</t>
  </si>
  <si>
    <t>110701640</t>
  </si>
  <si>
    <t>AUX WEKOME YB03 Wired Earphone</t>
  </si>
  <si>
    <t>OZTECHM8</t>
  </si>
  <si>
    <t>8. Headphones &gt; Line Headphones</t>
  </si>
  <si>
    <t>Audio</t>
  </si>
  <si>
    <t>Wired Earphones &amp; Headphones</t>
  </si>
  <si>
    <t>6941027652916</t>
  </si>
  <si>
    <t>https://dghyt15qon7us.cloudfront.net/images/productTheme/Inventory/small/0.27910000%201773303449.jpg</t>
  </si>
  <si>
    <t>11069</t>
  </si>
  <si>
    <t>110691639</t>
  </si>
  <si>
    <t>USB-C WEKOME YB03 Wired Earphone</t>
  </si>
  <si>
    <t>6941027651612</t>
  </si>
  <si>
    <t>https://dghyt15qon7us.cloudfront.net/images/productTheme/Inventory/small/0.98101800%201773303208.jpg</t>
  </si>
  <si>
    <t>10833</t>
  </si>
  <si>
    <t>108331391</t>
  </si>
  <si>
    <t>Small Talk USB-C RM-703 (White) IN EAR</t>
  </si>
  <si>
    <t>2996000108335</t>
  </si>
  <si>
    <t>https://dghyt15qon7us.cloudfront.net/images/productTheme/Inventory/small/0.82027000%201762759200.jpg</t>
  </si>
  <si>
    <t>10832</t>
  </si>
  <si>
    <t>108321389</t>
  </si>
  <si>
    <t>Small Talk USB-C RM-702a (White) ON EAR</t>
  </si>
  <si>
    <t>2996000108328</t>
  </si>
  <si>
    <t>https://dghyt15qon7us.cloudfront.net/images/productTheme/Inventory/small/0.55662500%201762758946.jpg</t>
  </si>
  <si>
    <t>10774</t>
  </si>
  <si>
    <t>107741364</t>
  </si>
  <si>
    <t>Female 3.5mm to 2 x Male 3.5mm (Mic (green) and Audio Output (pink) )</t>
  </si>
  <si>
    <t>2996000107741</t>
  </si>
  <si>
    <t>https://dghyt15qon7us.cloudfront.net/images/productTheme/Inventory/small/0.49930300%201760918979.jpg</t>
  </si>
  <si>
    <t>10773</t>
  </si>
  <si>
    <t>107731363</t>
  </si>
  <si>
    <t>Male 3.5mm to 2 x female 3.5mm (Mic (green) and Audio Output (pink) )</t>
  </si>
  <si>
    <t>2996000107734</t>
  </si>
  <si>
    <t>https://dghyt15qon7us.cloudfront.net/images/productTheme/Inventory/small/0.53970800%201760918883.jpg</t>
  </si>
  <si>
    <t>10772</t>
  </si>
  <si>
    <t>107721362</t>
  </si>
  <si>
    <t>3.5mm to 2x 3.5mm Headset Splitter</t>
  </si>
  <si>
    <t>2996000107727</t>
  </si>
  <si>
    <t>https://dghyt15qon7us.cloudfront.net/images/productTheme/Inventory/small/0.72385800%201760918621.jpg</t>
  </si>
  <si>
    <t>10744</t>
  </si>
  <si>
    <t>107441322</t>
  </si>
  <si>
    <t>WEKOME YB09 Wired Earphone Lighting ON EAR</t>
  </si>
  <si>
    <t>WEKOME</t>
  </si>
  <si>
    <t>6941027655405</t>
  </si>
  <si>
    <t>https://dghyt15qon7us.cloudfront.net/images/productTheme/Inventory/small/0.83710500%201759039190.jpg</t>
  </si>
  <si>
    <t>10743</t>
  </si>
  <si>
    <t>107431321</t>
  </si>
  <si>
    <t>WEKOME YB10 Wired Earphone Lighting IN EAR</t>
  </si>
  <si>
    <t>6941027655412</t>
  </si>
  <si>
    <t>https://dghyt15qon7us.cloudfront.net/images/productTheme/Inventory/small/0.61360800%201759039003.jpg</t>
  </si>
  <si>
    <t>10383</t>
  </si>
  <si>
    <t>103831037</t>
  </si>
  <si>
    <t>WEKOME YB06 Wired Earphone Aux IN EAR</t>
  </si>
  <si>
    <t>6941027652985</t>
  </si>
  <si>
    <t>https://dghyt15qon7us.cloudfront.net/images/productTheme/Inventory/small/0.35111300%201748232545.jpg</t>
  </si>
  <si>
    <t>10382</t>
  </si>
  <si>
    <t>103821036</t>
  </si>
  <si>
    <t>WEKOME YB06 Wired Earphone USB-C in EAR</t>
  </si>
  <si>
    <t>6941027651636</t>
  </si>
  <si>
    <t>https://dghyt15qon7us.cloudfront.net/images/productTheme/Inventory/small/0.58535700%201748232495.jpg</t>
  </si>
  <si>
    <t>10381</t>
  </si>
  <si>
    <t>103811035</t>
  </si>
  <si>
    <t>WEKOME YB05 Wired Earphone Aux</t>
  </si>
  <si>
    <t>6941027652978</t>
  </si>
  <si>
    <t>https://dghyt15qon7us.cloudfront.net/images/productTheme/Inventory/small/0.63404000%201748232260.jpg</t>
  </si>
  <si>
    <t>10380</t>
  </si>
  <si>
    <t>103801034</t>
  </si>
  <si>
    <t>WEKOME YB05 Wired Earphone USB-C</t>
  </si>
  <si>
    <t>6941027651629</t>
  </si>
  <si>
    <t>https://dghyt15qon7us.cloudfront.net/images/productTheme/Inventory/small/0.01308400%201748232105.jpg</t>
  </si>
  <si>
    <t>10263</t>
  </si>
  <si>
    <t>TM8-AUD-10263</t>
  </si>
  <si>
    <t>Remax RM-711 Earphone Wired Headset Noise</t>
  </si>
  <si>
    <t>6954851294023</t>
  </si>
  <si>
    <t>https://dghyt15qon7us.cloudfront.net/images/productTheme/Inventory/small/0.95261800%201745641175.jpg</t>
  </si>
  <si>
    <t>10262</t>
  </si>
  <si>
    <t>TM8-AUD-10262</t>
  </si>
  <si>
    <t>Remax RM-512 Smartphone Earphones</t>
  </si>
  <si>
    <t>6954851277590</t>
  </si>
  <si>
    <t>https://dghyt15qon7us.cloudfront.net/images/productTheme/Inventory/small/0.85749600%201745639986.jpg</t>
  </si>
  <si>
    <t>9670</t>
  </si>
  <si>
    <t>00000000320</t>
  </si>
  <si>
    <t>YAU44 Lightning to 3.5mm Audio Adapter</t>
  </si>
  <si>
    <t>2996000096700</t>
  </si>
  <si>
    <t>https://dghyt15qon7us.cloudfront.net/images/productTheme/Inventory/small/0.53419300%201734061938.jpg</t>
  </si>
  <si>
    <t>9543</t>
  </si>
  <si>
    <t>698133770804</t>
  </si>
  <si>
    <t>WK Y19 MAX Lightning wired Headphones</t>
  </si>
  <si>
    <t>WK</t>
  </si>
  <si>
    <t>6981337708045</t>
  </si>
  <si>
    <t>https://dghyt15qon7us.cloudfront.net/images/productTheme/Inventory/small/0.36691800%201731979467.jpg</t>
  </si>
  <si>
    <t>7809</t>
  </si>
  <si>
    <t>6954851244332</t>
  </si>
  <si>
    <t>Remax RB-T38 Wireless Earbuds</t>
  </si>
  <si>
    <t>8. Headphones &gt; Wireless HeadPhones</t>
  </si>
  <si>
    <t>Wireless Earbuds &amp; Headphones</t>
  </si>
  <si>
    <t>2996000078096</t>
  </si>
  <si>
    <t>https://dghyt15qon7us.cloudfront.net/images/productTheme/Inventory/small/1675306298.jpg</t>
  </si>
  <si>
    <t>7807</t>
  </si>
  <si>
    <t>6971278727809</t>
  </si>
  <si>
    <t>Remax PD-BT430 PRO Wireless Earbuds</t>
  </si>
  <si>
    <t>2996000078072</t>
  </si>
  <si>
    <t>https://dghyt15qon7us.cloudfront.net/images/productTheme/Inventory/small/1675302549.jpg</t>
  </si>
  <si>
    <t>6515</t>
  </si>
  <si>
    <t>6954851238393</t>
  </si>
  <si>
    <t>Remax TWS-38 Pink Wireless Earbuds</t>
  </si>
  <si>
    <t>2996000065157</t>
  </si>
  <si>
    <t>https://dghyt15qon7us.cloudfront.net/images/productTheme/Inventory/small/164704362242456225.jpg</t>
  </si>
  <si>
    <t>6514</t>
  </si>
  <si>
    <t>6954851238553</t>
  </si>
  <si>
    <t>Remax TWS-38 White Wireless Earbuds</t>
  </si>
  <si>
    <t>2996000065140</t>
  </si>
  <si>
    <t>https://dghyt15qon7us.cloudfront.net/images/productTheme/Inventory/small/164704360942456224.jpg</t>
  </si>
  <si>
    <t>6513</t>
  </si>
  <si>
    <t>6954851238379</t>
  </si>
  <si>
    <t>Remax TWS-38 Green Wireless Earbuds</t>
  </si>
  <si>
    <t>2996000065133</t>
  </si>
  <si>
    <t>https://dghyt15qon7us.cloudfront.net/images/productTheme/Inventory/small/164704359642456223.jpg</t>
  </si>
  <si>
    <t>6512</t>
  </si>
  <si>
    <t>6954851238577</t>
  </si>
  <si>
    <t>Remax TWS-38 Red Wireless Earbuds</t>
  </si>
  <si>
    <t>2996000065126</t>
  </si>
  <si>
    <t>https://dghyt15qon7us.cloudfront.net/images/productTheme/Inventory/small/164704358342456222.jpg</t>
  </si>
  <si>
    <t>11201</t>
  </si>
  <si>
    <t>112011737</t>
  </si>
  <si>
    <t>WEKOME Desktop Phone Holder</t>
  </si>
  <si>
    <t>9. Holder, Stand, Fans</t>
  </si>
  <si>
    <t>Mounts &amp; Holders</t>
  </si>
  <si>
    <t>Phone &amp; Tablet Stands</t>
  </si>
  <si>
    <t>2996000112011</t>
  </si>
  <si>
    <t>https://dghyt15qon7us.cloudfront.net/images/productTheme/Inventory/small/0.19693300%201779672189.jpg</t>
  </si>
  <si>
    <t>11139</t>
  </si>
  <si>
    <t>111391720</t>
  </si>
  <si>
    <t>Remax Selfie Stick Holder with Lights P60</t>
  </si>
  <si>
    <t>Selfie Sticks &amp; Live Stands</t>
  </si>
  <si>
    <t>6954851246763</t>
  </si>
  <si>
    <t>https://dghyt15qon7us.cloudfront.net/images/productTheme/Inventory/small/0.20316100%201776410488.jpg</t>
  </si>
  <si>
    <t>10989</t>
  </si>
  <si>
    <t>109890031574</t>
  </si>
  <si>
    <t>C141 Desktop Mobile Phone Holder</t>
  </si>
  <si>
    <t>2996000109899</t>
  </si>
  <si>
    <t>https://dghyt15qon7us.cloudfront.net/images/productTheme/Inventory/small/0.88399600%201768613375.jpg</t>
  </si>
  <si>
    <t>10924</t>
  </si>
  <si>
    <t>109241538</t>
  </si>
  <si>
    <t>Remax P10 Multifunctional Selfie Stick</t>
  </si>
  <si>
    <t>2996000109240</t>
  </si>
  <si>
    <t>https://dghyt15qon7us.cloudfront.net/images/productTheme/Inventory/small/0.24455600%201766031460.jpg</t>
  </si>
  <si>
    <t>10267</t>
  </si>
  <si>
    <t>TM8-FAN-10267</t>
  </si>
  <si>
    <t>Remax F23 Icying Series Bladeless Neckband Fan White</t>
  </si>
  <si>
    <t>Other Electronics</t>
  </si>
  <si>
    <t>Personal Fans</t>
  </si>
  <si>
    <t>6954851217725</t>
  </si>
  <si>
    <t>https://dghyt15qon7us.cloudfront.net/images/productTheme/Inventory/small/0.61476900%201745644058.jpg</t>
  </si>
  <si>
    <t>10266</t>
  </si>
  <si>
    <t>TM8-FAN-10266</t>
  </si>
  <si>
    <t>Remax Portable Mini Handheld Fan F34</t>
  </si>
  <si>
    <t>6954851217435</t>
  </si>
  <si>
    <t>https://dghyt15qon7us.cloudfront.net/images/productTheme/Inventory/small/0.58623800%201745643942.jpg</t>
  </si>
  <si>
    <t>10265</t>
  </si>
  <si>
    <t>TM8-FAN-10265</t>
  </si>
  <si>
    <t>Remax F37 USB Fan</t>
  </si>
  <si>
    <t>6954851217602</t>
  </si>
  <si>
    <t>https://dghyt15qon7us.cloudfront.net/images/productTheme/Inventory/small/0.84657200%201745643277.jpg</t>
  </si>
  <si>
    <t>10264</t>
  </si>
  <si>
    <t>TM8-MNT-10264</t>
  </si>
  <si>
    <t>Remax RM-C60 Phone Stand</t>
  </si>
  <si>
    <t>6954851221500</t>
  </si>
  <si>
    <t>https://dghyt15qon7us.cloudfront.net/images/productTheme/Inventory/small/0.08108500%201745642078.jpg</t>
  </si>
  <si>
    <t>8867</t>
  </si>
  <si>
    <t>367353</t>
  </si>
  <si>
    <t>2M Stand 8809</t>
  </si>
  <si>
    <t>2996000088675</t>
  </si>
  <si>
    <t>https://dghyt15qon7us.cloudfront.net/images/productTheme/Inventory/small/170322304242458586.jpg</t>
  </si>
  <si>
    <t>6553</t>
  </si>
  <si>
    <t>6954851240969</t>
  </si>
  <si>
    <t>Remax P12 Multifunctional Selfie Stick</t>
  </si>
  <si>
    <t>2996000065539</t>
  </si>
  <si>
    <t>https://dghyt15qon7us.cloudfront.net/images/productTheme/Inventory/small/1648875330.jpg</t>
  </si>
  <si>
    <t>6181</t>
  </si>
  <si>
    <t>6954851223115</t>
  </si>
  <si>
    <t>Remax Alien Series Phone Holder Green</t>
  </si>
  <si>
    <t>2996000061814</t>
  </si>
  <si>
    <t>https://dghyt15qon7us.cloudfront.net/images/productTheme/Inventory/small/1642231607.jpg</t>
  </si>
  <si>
    <t>6031</t>
  </si>
  <si>
    <t>603148</t>
  </si>
  <si>
    <t>Stander</t>
  </si>
  <si>
    <t>2996000060312</t>
  </si>
  <si>
    <t>https://dghyt15qon7us.cloudfront.net/images/productTheme/Inventory/small/163219650442455741.jpg</t>
  </si>
  <si>
    <t>Current SKU</t>
  </si>
  <si>
    <t>Current Product Name</t>
  </si>
  <si>
    <t>Current Cost</t>
  </si>
  <si>
    <t>Current Retail</t>
  </si>
  <si>
    <t>Current Image URL</t>
  </si>
  <si>
    <t>11072</t>
  </si>
  <si>
    <t>110721643</t>
  </si>
  <si>
    <t>Remax - Cozybuds W29 Clip-On Bluetooth Wireless Earbuds - Black</t>
  </si>
  <si>
    <t>https://fwlronvmgqzkleofriis.supabase.co/storage/v1/object/public/product-images/product-details/remax-cozybuds-w29-clip-on-bluetooth-wireless-earbuds-black/1779116625647-b41e67db.webp</t>
  </si>
  <si>
    <t>10251</t>
  </si>
  <si>
    <t>10251174</t>
  </si>
  <si>
    <t>WK V04 Wireless Earbuds</t>
  </si>
  <si>
    <t>https://fwlronvmgqzkleofriis.supabase.co/storage/v1/object/public/product-images/product-details/wk-v04-wireless-earbuds/1779116878140-43cddbcb.webp</t>
  </si>
  <si>
    <t>9019</t>
  </si>
  <si>
    <t>6972174155067</t>
  </si>
  <si>
    <t>Remax G6 Wireless Gaming Earbuds</t>
  </si>
  <si>
    <t>https://fwlronvmgqzkleofriis.supabase.co/storage/v1/object/public/product-images/product-details/remax-g6-wireless-gamebubs/1779116676372-2f97f69d.webp</t>
  </si>
  <si>
    <t>7806</t>
  </si>
  <si>
    <t>6971278727808</t>
  </si>
  <si>
    <t>Remax PD BT230/BT260 Wireless Earbuds</t>
  </si>
  <si>
    <t>https://fwlronvmgqzkleofriis.supabase.co/storage/v1/object/public/product-images/product-details/remax-pd-bt230-bt260-wireless-earbuds/1779116824800-985becc2.webp</t>
  </si>
  <si>
    <t>7805</t>
  </si>
  <si>
    <t>6971278727807</t>
  </si>
  <si>
    <t>Remax PD-BT533N PRO Wireless Earbuds</t>
  </si>
  <si>
    <t>https://fwlronvmgqzkleofriis.supabase.co/storage/v1/object/public/product-images/product-details/remax-pd-bt533n-pro-wireless-earbuds/1779116755629-07744262.webp</t>
  </si>
  <si>
    <t>6511</t>
  </si>
  <si>
    <t>6954851256618</t>
  </si>
  <si>
    <t>Remax TWS-43 Wireless Earbuds</t>
  </si>
  <si>
    <t>https://fwlronvmgqzkleofriis.supabase.co/storage/v1/object/public/product-images/product-details/remax-tws-43-wireless-earbuds/1779116718488-08109b63.webp</t>
  </si>
  <si>
    <t>Record Type</t>
  </si>
  <si>
    <t>POS Category</t>
  </si>
  <si>
    <t>Final Cost (INPUT)</t>
  </si>
  <si>
    <t>Retail Price</t>
  </si>
  <si>
    <t>Notes</t>
  </si>
  <si>
    <t>Existing</t>
  </si>
  <si>
    <t>Audio &gt; Wireless Earbuds &amp; Headphones</t>
  </si>
  <si>
    <t>Already in POS; cost is currently 0.</t>
  </si>
  <si>
    <t>8482</t>
  </si>
  <si>
    <t>Remax 3.5mm Headphones Rw-106 White</t>
  </si>
  <si>
    <t>New - waiting</t>
  </si>
  <si>
    <t>Audio &gt; Wired Earphones &amp; Headphones</t>
  </si>
  <si>
    <t>https://dghyt15qon7us.cloudfront.net/images/productTheme/Inventory/small/1691122383.jpg</t>
  </si>
  <si>
    <t>Will be imported after a valid cost is supplied.</t>
  </si>
  <si>
    <t>8481</t>
  </si>
  <si>
    <t>https://dghyt15qon7us.cloudfront.net/images/productTheme/Inventory/small/1691122293.jpg</t>
  </si>
  <si>
    <t>6704</t>
  </si>
  <si>
    <t>Remax RB-700HB Wireless Headphones White</t>
  </si>
  <si>
    <t>https://dghyt15qon7us.cloudfront.net/images/productTheme/Inventory/small/1652226495.jpg</t>
  </si>
  <si>
    <t>6703</t>
  </si>
  <si>
    <t>https://dghyt15qon7us.cloudfront.net/images/productTheme/Inventory/small/1652226458.jpg</t>
  </si>
  <si>
    <t>9368</t>
  </si>
  <si>
    <t>2M Stand Selfie Live Stream Stand</t>
  </si>
  <si>
    <t>Mounts &amp; Holders &gt; Selfie Sticks &amp; Live Stands</t>
  </si>
  <si>
    <t>https://dghyt15qon7us.cloudfront.net/images/productTheme/Inventory/small/0.32986500%201727412751.jpg</t>
  </si>
  <si>
    <t>6771</t>
  </si>
  <si>
    <t>Black Aluminium Adjustable Laptop Stand</t>
  </si>
  <si>
    <t>Mounts &amp; Holders &gt; Laptop Stands</t>
  </si>
  <si>
    <t>https://dghyt15qon7us.cloudfront.net/images/productTheme/Inventory/small/1656118347.jpg</t>
  </si>
  <si>
    <t>6770</t>
  </si>
  <si>
    <t>Silver Aluminium Adjustable Laptop Stand</t>
  </si>
  <si>
    <t>https://dghyt15qon7us.cloudfront.net/images/productTheme/Inventory/small/1656118274.jpg</t>
  </si>
  <si>
    <t>Remax RB-700HB Wireless Headphones Black</t>
    <phoneticPr fontId="7" type="noConversion"/>
  </si>
  <si>
    <t>Remax 3.5mm Headphones Rw-106 Black</t>
    <phoneticPr fontId="7" type="noConversion"/>
  </si>
  <si>
    <t>Remax G6 Wireless Gaming Earbuds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</si>
</sst>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$#,##0.00"/>
  </numFmts>
  <fonts count="8">
    <font>
      <sz val="11"/>
      <name val="Carlito"/>
    </font>
    <font>
      <b/>
      <sz val="18"/>
      <color rgb="FFFFFFFF"/>
      <name val="Aptos Display"/>
      <family val="2"/>
    </font>
    <font>
      <b/>
      <sz val="10"/>
      <color rgb="FF24343A"/>
      <name val="Aptos"/>
      <family val="2"/>
    </font>
    <font>
      <sz val="10"/>
      <color rgb="FF24343A"/>
      <name val="Aptos"/>
      <family val="2"/>
    </font>
    <font>
      <b/>
      <sz val="10"/>
      <color rgb="FFFFFFFF"/>
      <name val="Aptos"/>
      <family val="2"/>
    </font>
    <font>
      <b/>
      <sz val="10"/>
      <color rgb="FF7A4B00"/>
      <name val="Aptos"/>
      <family val="2"/>
    </font>
    <font>
      <sz val="11"/>
      <name val="Carlito"/>
    </font>
    <font>
      <sz val="9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087F68"/>
      </patternFill>
    </fill>
    <fill>
      <patternFill patternType="solid">
        <fgColor rgb="FFDDF3EC"/>
      </patternFill>
    </fill>
    <fill>
      <patternFill patternType="solid">
        <fgColor rgb="FFF5F8F8"/>
      </patternFill>
    </fill>
    <fill>
      <patternFill patternType="solid">
        <fgColor rgb="FFFFF2CC"/>
      </patternFill>
    </fill>
  </fills>
  <borders count="15">
    <border>
      <left/>
      <right/>
      <top/>
      <bottom/>
      <diagonal/>
    </border>
    <border>
      <left style="thin">
        <color rgb="FFC9D7D5"/>
      </left>
      <right/>
      <top style="thin">
        <color rgb="FFC9D7D5"/>
      </top>
      <bottom/>
      <diagonal/>
    </border>
    <border>
      <left/>
      <right style="thin">
        <color rgb="FFC9D7D5"/>
      </right>
      <top style="thin">
        <color rgb="FFC9D7D5"/>
      </top>
      <bottom/>
      <diagonal/>
    </border>
    <border>
      <left style="thin">
        <color rgb="FFC9D7D5"/>
      </left>
      <right/>
      <top/>
      <bottom/>
      <diagonal/>
    </border>
    <border>
      <left/>
      <right style="thin">
        <color rgb="FFC9D7D5"/>
      </right>
      <top/>
      <bottom/>
      <diagonal/>
    </border>
    <border>
      <left style="thin">
        <color rgb="FFC9D7D5"/>
      </left>
      <right/>
      <top/>
      <bottom style="thin">
        <color rgb="FFC9D7D5"/>
      </bottom>
      <diagonal/>
    </border>
    <border>
      <left/>
      <right style="thin">
        <color rgb="FFC9D7D5"/>
      </right>
      <top/>
      <bottom style="thin">
        <color rgb="FFC9D7D5"/>
      </bottom>
      <diagonal/>
    </border>
    <border>
      <left style="thin">
        <color rgb="FFD5DFDD"/>
      </left>
      <right/>
      <top style="thin">
        <color rgb="FFD5DFDD"/>
      </top>
      <bottom/>
      <diagonal/>
    </border>
    <border>
      <left/>
      <right/>
      <top style="thin">
        <color rgb="FFD5DFDD"/>
      </top>
      <bottom/>
      <diagonal/>
    </border>
    <border>
      <left/>
      <right style="thin">
        <color rgb="FFD5DFDD"/>
      </right>
      <top style="thin">
        <color rgb="FFD5DFDD"/>
      </top>
      <bottom/>
      <diagonal/>
    </border>
    <border>
      <left style="thin">
        <color rgb="FFD5DFDD"/>
      </left>
      <right/>
      <top/>
      <bottom/>
      <diagonal/>
    </border>
    <border>
      <left/>
      <right style="thin">
        <color rgb="FFD5DFDD"/>
      </right>
      <top/>
      <bottom/>
      <diagonal/>
    </border>
    <border>
      <left style="thin">
        <color rgb="FFD5DFDD"/>
      </left>
      <right/>
      <top/>
      <bottom style="thin">
        <color rgb="FFD5DFDD"/>
      </bottom>
      <diagonal/>
    </border>
    <border>
      <left/>
      <right/>
      <top/>
      <bottom style="thin">
        <color rgb="FFD5DFDD"/>
      </bottom>
      <diagonal/>
    </border>
    <border>
      <left/>
      <right style="thin">
        <color rgb="FFD5DFDD"/>
      </right>
      <top/>
      <bottom style="thin">
        <color rgb="FFD5DFDD"/>
      </bottom>
      <diagonal/>
    </border>
  </borders>
  <cellStyleXfs count="2">
    <xf numFmtId="0" fontId="0" fillId="0" borderId="0"/>
    <xf numFmtId="0" fontId="6" fillId="0" borderId="0"/>
  </cellStyleXfs>
  <cellXfs count="26">
    <xf numFmtId="0" fontId="0" fillId="0" borderId="0" xfId="0"/>
    <xf numFmtId="0" fontId="3" fillId="0" borderId="0" xfId="1" applyFont="1"/>
    <xf numFmtId="0" fontId="2" fillId="2" borderId="1" xfId="1" applyFont="1" applyFill="1" applyBorder="1" applyAlignment="1">
      <alignment vertical="center" wrapText="1"/>
    </xf>
    <xf numFmtId="0" fontId="2" fillId="2" borderId="2" xfId="1" applyFont="1" applyFill="1" applyBorder="1" applyAlignment="1">
      <alignment vertical="center" wrapText="1"/>
    </xf>
    <xf numFmtId="0" fontId="2" fillId="0" borderId="3" xfId="1" applyFont="1" applyBorder="1"/>
    <xf numFmtId="3" fontId="3" fillId="0" borderId="4" xfId="1" applyNumberFormat="1" applyFont="1" applyBorder="1"/>
    <xf numFmtId="0" fontId="2" fillId="0" borderId="5" xfId="1" applyFont="1" applyBorder="1"/>
    <xf numFmtId="3" fontId="3" fillId="0" borderId="6" xfId="1" applyNumberFormat="1" applyFont="1" applyBorder="1"/>
    <xf numFmtId="0" fontId="3" fillId="0" borderId="0" xfId="1" applyFont="1" applyAlignment="1">
      <alignment vertical="center"/>
    </xf>
    <xf numFmtId="0" fontId="4" fillId="2" borderId="0" xfId="1" applyFont="1" applyFill="1" applyAlignment="1">
      <alignment vertical="center" wrapText="1"/>
    </xf>
    <xf numFmtId="176" fontId="3" fillId="0" borderId="0" xfId="1" applyNumberFormat="1" applyFont="1" applyAlignment="1">
      <alignment vertical="center"/>
    </xf>
    <xf numFmtId="0" fontId="4" fillId="2" borderId="7" xfId="1" applyFont="1" applyFill="1" applyBorder="1" applyAlignment="1">
      <alignment vertical="center" wrapText="1"/>
    </xf>
    <xf numFmtId="0" fontId="4" fillId="2" borderId="8" xfId="1" applyFont="1" applyFill="1" applyBorder="1" applyAlignment="1">
      <alignment vertical="center" wrapText="1"/>
    </xf>
    <xf numFmtId="0" fontId="4" fillId="2" borderId="9" xfId="1" applyFont="1" applyFill="1" applyBorder="1" applyAlignment="1">
      <alignment vertical="center" wrapText="1"/>
    </xf>
    <xf numFmtId="0" fontId="3" fillId="0" borderId="10" xfId="1" applyFont="1" applyBorder="1" applyAlignment="1">
      <alignment vertical="center"/>
    </xf>
    <xf numFmtId="0" fontId="3" fillId="0" borderId="11" xfId="1" applyFont="1" applyBorder="1" applyAlignment="1">
      <alignment vertical="center"/>
    </xf>
    <xf numFmtId="0" fontId="3" fillId="0" borderId="12" xfId="1" applyFont="1" applyBorder="1" applyAlignment="1">
      <alignment vertical="center"/>
    </xf>
    <xf numFmtId="0" fontId="3" fillId="0" borderId="13" xfId="1" applyFont="1" applyBorder="1" applyAlignment="1">
      <alignment vertical="center"/>
    </xf>
    <xf numFmtId="176" fontId="3" fillId="0" borderId="13" xfId="1" applyNumberFormat="1" applyFont="1" applyBorder="1" applyAlignment="1">
      <alignment vertical="center"/>
    </xf>
    <xf numFmtId="0" fontId="3" fillId="0" borderId="14" xfId="1" applyFont="1" applyBorder="1" applyAlignment="1">
      <alignment vertical="center"/>
    </xf>
    <xf numFmtId="0" fontId="3" fillId="0" borderId="0" xfId="1" applyFont="1" applyAlignment="1">
      <alignment vertical="center" wrapText="1"/>
    </xf>
    <xf numFmtId="176" fontId="3" fillId="0" borderId="0" xfId="1" applyNumberFormat="1" applyFont="1" applyAlignment="1">
      <alignment vertical="center" wrapText="1"/>
    </xf>
    <xf numFmtId="176" fontId="5" fillId="5" borderId="0" xfId="1" applyNumberFormat="1" applyFont="1" applyFill="1" applyAlignment="1">
      <alignment vertical="center" wrapText="1"/>
    </xf>
    <xf numFmtId="0" fontId="1" fillId="2" borderId="0" xfId="1" applyFont="1" applyFill="1" applyAlignment="1">
      <alignment vertical="center"/>
    </xf>
    <xf numFmtId="0" fontId="2" fillId="3" borderId="0" xfId="1" applyFont="1" applyFill="1"/>
    <xf numFmtId="0" fontId="3" fillId="4" borderId="0" xfId="1" applyFont="1" applyFill="1" applyAlignment="1">
      <alignment wrapText="1"/>
    </xf>
  </cellXfs>
  <cellStyles count="2">
    <cellStyle name="Normal" xfId="1" xr:uid="{00000000-0005-0000-0000-000000000000}"/>
    <cellStyle name="常规" xfId="0" builtinId="0"/>
  </cellStyles>
  <dxfs count="1">
    <dxf>
      <font>
        <b/>
        <color rgb="FFB42318"/>
      </font>
      <fill>
        <patternFill patternType="solid">
          <bgColor rgb="FFFDE9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adyAudioHolderProducts" displayName="ReadyAudioHolderProducts" ref="A1:K37" totalsRowShown="0">
  <tableColumns count="11">
    <tableColumn id="1" xr3:uid="{00000000-0010-0000-0000-000001000000}" name="Item ID"/>
    <tableColumn id="2" xr3:uid="{00000000-0010-0000-0000-000002000000}" name="POS SKU"/>
    <tableColumn id="3" xr3:uid="{00000000-0010-0000-0000-000003000000}" name="Product Name"/>
    <tableColumn id="4" xr3:uid="{00000000-0010-0000-0000-000004000000}" name="Brand"/>
    <tableColumn id="5" xr3:uid="{00000000-0010-0000-0000-000005000000}" name="Source Category"/>
    <tableColumn id="6" xr3:uid="{00000000-0010-0000-0000-000006000000}" name="POS Main Category"/>
    <tableColumn id="7" xr3:uid="{00000000-0010-0000-0000-000007000000}" name="POS Subcategory"/>
    <tableColumn id="8" xr3:uid="{00000000-0010-0000-0000-000008000000}" name="Cost"/>
    <tableColumn id="9" xr3:uid="{00000000-0010-0000-0000-000009000000}" name="Retail"/>
    <tableColumn id="10" xr3:uid="{00000000-0010-0000-0000-00000A000000}" name="Barcode"/>
    <tableColumn id="11" xr3:uid="{00000000-0010-0000-0000-00000B000000}" name="Image URL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xistingAudioProducts" displayName="ExistingAudioProducts" ref="A1:H7" totalsRowShown="0">
  <tableColumns count="8">
    <tableColumn id="1" xr3:uid="{00000000-0010-0000-0100-000001000000}" name="Item ID"/>
    <tableColumn id="2" xr3:uid="{00000000-0010-0000-0100-000002000000}" name="Current SKU"/>
    <tableColumn id="3" xr3:uid="{00000000-0010-0000-0100-000003000000}" name="Current Product Name"/>
    <tableColumn id="4" xr3:uid="{00000000-0010-0000-0100-000004000000}" name="Current Cost"/>
    <tableColumn id="5" xr3:uid="{00000000-0010-0000-0100-000005000000}" name="Current Retail"/>
    <tableColumn id="6" xr3:uid="{00000000-0010-0000-0100-000006000000}" name="POS Main Category"/>
    <tableColumn id="7" xr3:uid="{00000000-0010-0000-0100-000007000000}" name="POS Subcategory"/>
    <tableColumn id="8" xr3:uid="{00000000-0010-0000-0100-000008000000}" name="Current Image URL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udioHolderCostReview" displayName="AudioHolderCostReview" ref="A1:J9" totalsRowShown="0">
  <tableColumns count="10">
    <tableColumn id="1" xr3:uid="{00000000-0010-0000-0200-000001000000}" name="Item ID"/>
    <tableColumn id="2" xr3:uid="{00000000-0010-0000-0200-000002000000}" name="Product Name"/>
    <tableColumn id="3" xr3:uid="{00000000-0010-0000-0200-000003000000}" name="Record Type"/>
    <tableColumn id="4" xr3:uid="{00000000-0010-0000-0200-000004000000}" name="Source Category"/>
    <tableColumn id="5" xr3:uid="{00000000-0010-0000-0200-000005000000}" name="POS Category"/>
    <tableColumn id="6" xr3:uid="{00000000-0010-0000-0200-000006000000}" name="Current Cost"/>
    <tableColumn id="7" xr3:uid="{00000000-0010-0000-0200-000007000000}" name="Final Cost (INPUT)"/>
    <tableColumn id="8" xr3:uid="{00000000-0010-0000-0200-000008000000}" name="Retail Price"/>
    <tableColumn id="9" xr3:uid="{00000000-0010-0000-0200-000009000000}" name="Image URL"/>
    <tableColumn id="10" xr3:uid="{00000000-0010-0000-0200-00000A000000}" name="Note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showGridLines="0" workbookViewId="0">
      <selection sqref="A1:H1"/>
    </sheetView>
  </sheetViews>
  <sheetFormatPr defaultRowHeight="14.25"/>
  <cols>
    <col min="1" max="1" width="38" customWidth="1"/>
    <col min="2" max="2" width="16" customWidth="1"/>
    <col min="3" max="8" width="12" customWidth="1"/>
  </cols>
  <sheetData>
    <row r="1" spans="1:8" ht="44.1" customHeight="1">
      <c r="A1" s="23" t="s">
        <v>0</v>
      </c>
      <c r="B1" s="23"/>
      <c r="C1" s="23"/>
      <c r="D1" s="23"/>
      <c r="E1" s="23"/>
      <c r="F1" s="23"/>
      <c r="G1" s="23"/>
      <c r="H1" s="23"/>
    </row>
    <row r="2" spans="1:8" ht="15">
      <c r="A2" s="1"/>
      <c r="B2" s="1"/>
      <c r="C2" s="1"/>
      <c r="D2" s="1"/>
      <c r="E2" s="1"/>
      <c r="F2" s="1"/>
      <c r="G2" s="1"/>
      <c r="H2" s="1"/>
    </row>
    <row r="3" spans="1:8" ht="30" customHeight="1">
      <c r="A3" s="2" t="s">
        <v>1</v>
      </c>
      <c r="B3" s="3" t="s">
        <v>2</v>
      </c>
      <c r="C3" s="1"/>
      <c r="D3" s="1"/>
      <c r="E3" s="1"/>
      <c r="F3" s="1"/>
      <c r="G3" s="1"/>
      <c r="H3" s="1"/>
    </row>
    <row r="4" spans="1:8" ht="15">
      <c r="A4" s="4" t="s">
        <v>3</v>
      </c>
      <c r="B4" s="5">
        <f>COUNTA('Ready Products'!A2:A37)+COUNTA('Existing Products'!A2:A7)+COUNTA('Cost Required'!A2:A9)-COUNTIF('Cost Required'!C2:C9,"Existing")</f>
        <v>49</v>
      </c>
      <c r="C4" s="1"/>
      <c r="D4" s="1"/>
      <c r="E4" s="1"/>
      <c r="F4" s="1"/>
      <c r="G4" s="1"/>
      <c r="H4" s="1"/>
    </row>
    <row r="5" spans="1:8" ht="15">
      <c r="A5" s="4" t="s">
        <v>4</v>
      </c>
      <c r="B5" s="5">
        <f>COUNTA('Ready Products'!A2:A37)</f>
        <v>36</v>
      </c>
      <c r="C5" s="1"/>
      <c r="D5" s="1"/>
      <c r="E5" s="1"/>
      <c r="F5" s="1"/>
      <c r="G5" s="1"/>
      <c r="H5" s="1"/>
    </row>
    <row r="6" spans="1:8" ht="15">
      <c r="A6" s="4" t="s">
        <v>5</v>
      </c>
      <c r="B6" s="5">
        <f>COUNTA('Existing Products'!A2:A7)</f>
        <v>6</v>
      </c>
      <c r="C6" s="1"/>
      <c r="D6" s="1"/>
      <c r="E6" s="1"/>
      <c r="F6" s="1"/>
      <c r="G6" s="1"/>
      <c r="H6" s="1"/>
    </row>
    <row r="7" spans="1:8" ht="15">
      <c r="A7" s="4" t="s">
        <v>6</v>
      </c>
      <c r="B7" s="5">
        <f>COUNTA('Cost Required'!A2:A9)</f>
        <v>8</v>
      </c>
      <c r="C7" s="1"/>
      <c r="D7" s="1"/>
      <c r="E7" s="1"/>
      <c r="F7" s="1"/>
      <c r="G7" s="1"/>
      <c r="H7" s="1"/>
    </row>
    <row r="8" spans="1:8" ht="15">
      <c r="A8" s="6" t="s">
        <v>7</v>
      </c>
      <c r="B8" s="7">
        <f>B4</f>
        <v>49</v>
      </c>
      <c r="C8" s="1"/>
      <c r="D8" s="1"/>
      <c r="E8" s="1"/>
      <c r="F8" s="1"/>
      <c r="G8" s="1"/>
      <c r="H8" s="1"/>
    </row>
    <row r="9" spans="1:8" ht="15">
      <c r="A9" s="1"/>
      <c r="B9" s="1"/>
      <c r="C9" s="1"/>
      <c r="D9" s="1"/>
      <c r="E9" s="1"/>
      <c r="F9" s="1"/>
      <c r="G9" s="1"/>
      <c r="H9" s="1"/>
    </row>
    <row r="10" spans="1:8" ht="15">
      <c r="A10" s="24" t="s">
        <v>8</v>
      </c>
      <c r="B10" s="24"/>
      <c r="C10" s="24"/>
      <c r="D10" s="24"/>
      <c r="E10" s="24"/>
      <c r="F10" s="24"/>
      <c r="G10" s="24"/>
      <c r="H10" s="24"/>
    </row>
    <row r="11" spans="1:8" ht="15">
      <c r="A11" s="25" t="s">
        <v>9</v>
      </c>
      <c r="B11" s="25"/>
      <c r="C11" s="25"/>
      <c r="D11" s="25"/>
      <c r="E11" s="25"/>
      <c r="F11" s="25"/>
      <c r="G11" s="25"/>
      <c r="H11" s="25"/>
    </row>
    <row r="12" spans="1:8" ht="15">
      <c r="A12" s="25" t="s">
        <v>10</v>
      </c>
      <c r="B12" s="25"/>
      <c r="C12" s="25"/>
      <c r="D12" s="25"/>
      <c r="E12" s="25"/>
      <c r="F12" s="25"/>
      <c r="G12" s="25"/>
      <c r="H12" s="25"/>
    </row>
    <row r="13" spans="1:8" ht="15">
      <c r="A13" s="25" t="s">
        <v>11</v>
      </c>
      <c r="B13" s="25"/>
      <c r="C13" s="25"/>
      <c r="D13" s="25"/>
      <c r="E13" s="25"/>
      <c r="F13" s="25"/>
      <c r="G13" s="25"/>
      <c r="H13" s="25"/>
    </row>
    <row r="14" spans="1:8" ht="15">
      <c r="A14" s="25" t="s">
        <v>12</v>
      </c>
      <c r="B14" s="25"/>
      <c r="C14" s="25"/>
      <c r="D14" s="25"/>
      <c r="E14" s="25"/>
      <c r="F14" s="25"/>
      <c r="G14" s="25"/>
      <c r="H14" s="25"/>
    </row>
    <row r="15" spans="1:8" ht="15">
      <c r="A15" s="25" t="s">
        <v>13</v>
      </c>
      <c r="B15" s="25"/>
      <c r="C15" s="25"/>
      <c r="D15" s="25"/>
      <c r="E15" s="25"/>
      <c r="F15" s="25"/>
      <c r="G15" s="25"/>
      <c r="H15" s="25"/>
    </row>
  </sheetData>
  <mergeCells count="7">
    <mergeCell ref="A14:H14"/>
    <mergeCell ref="A15:H15"/>
    <mergeCell ref="A1:H1"/>
    <mergeCell ref="A10:H10"/>
    <mergeCell ref="A11:H11"/>
    <mergeCell ref="A12:H12"/>
    <mergeCell ref="A13:H13"/>
  </mergeCells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7"/>
  <sheetViews>
    <sheetView showGridLines="0" zoomScale="115" zoomScaleNormal="115" workbookViewId="0">
      <selection activeCell="H42" sqref="H42"/>
    </sheetView>
  </sheetViews>
  <sheetFormatPr defaultRowHeight="14.25"/>
  <cols>
    <col min="1" max="1" width="11" customWidth="1"/>
    <col min="2" max="2" width="20" customWidth="1"/>
    <col min="3" max="3" width="44" customWidth="1"/>
    <col min="4" max="4" width="14" customWidth="1"/>
    <col min="5" max="7" width="27" customWidth="1"/>
    <col min="8" max="10" width="14" customWidth="1"/>
    <col min="11" max="11" width="58" customWidth="1"/>
  </cols>
  <sheetData>
    <row r="1" spans="1:11" ht="30" customHeight="1">
      <c r="A1" s="11" t="s">
        <v>14</v>
      </c>
      <c r="B1" s="12" t="s">
        <v>15</v>
      </c>
      <c r="C1" s="12" t="s">
        <v>16</v>
      </c>
      <c r="D1" s="12" t="s">
        <v>17</v>
      </c>
      <c r="E1" s="12" t="s">
        <v>18</v>
      </c>
      <c r="F1" s="12" t="s">
        <v>19</v>
      </c>
      <c r="G1" s="12" t="s">
        <v>20</v>
      </c>
      <c r="H1" s="12" t="s">
        <v>21</v>
      </c>
      <c r="I1" s="12" t="s">
        <v>22</v>
      </c>
      <c r="J1" s="12" t="s">
        <v>23</v>
      </c>
      <c r="K1" s="13" t="s">
        <v>24</v>
      </c>
    </row>
    <row r="2" spans="1:11">
      <c r="A2" s="14" t="s">
        <v>25</v>
      </c>
      <c r="B2" s="8" t="s">
        <v>26</v>
      </c>
      <c r="C2" s="8" t="s">
        <v>27</v>
      </c>
      <c r="D2" s="8" t="s">
        <v>28</v>
      </c>
      <c r="E2" s="8" t="s">
        <v>29</v>
      </c>
      <c r="F2" s="8" t="s">
        <v>30</v>
      </c>
      <c r="G2" s="8" t="s">
        <v>31</v>
      </c>
      <c r="H2" s="10">
        <v>1.9</v>
      </c>
      <c r="I2" s="10">
        <v>19.95</v>
      </c>
      <c r="J2" s="8" t="s">
        <v>32</v>
      </c>
      <c r="K2" s="15" t="s">
        <v>33</v>
      </c>
    </row>
    <row r="3" spans="1:11">
      <c r="A3" s="14" t="s">
        <v>34</v>
      </c>
      <c r="B3" s="8" t="s">
        <v>35</v>
      </c>
      <c r="C3" s="8" t="s">
        <v>36</v>
      </c>
      <c r="D3" s="8" t="s">
        <v>37</v>
      </c>
      <c r="E3" s="8" t="s">
        <v>38</v>
      </c>
      <c r="F3" s="8" t="s">
        <v>39</v>
      </c>
      <c r="G3" s="8" t="s">
        <v>40</v>
      </c>
      <c r="H3" s="10">
        <v>1</v>
      </c>
      <c r="I3" s="10">
        <v>19.95</v>
      </c>
      <c r="J3" s="8" t="s">
        <v>41</v>
      </c>
      <c r="K3" s="15" t="s">
        <v>42</v>
      </c>
    </row>
    <row r="4" spans="1:11">
      <c r="A4" s="14" t="s">
        <v>43</v>
      </c>
      <c r="B4" s="8" t="s">
        <v>44</v>
      </c>
      <c r="C4" s="8" t="s">
        <v>45</v>
      </c>
      <c r="D4" s="8" t="s">
        <v>37</v>
      </c>
      <c r="E4" s="8" t="s">
        <v>38</v>
      </c>
      <c r="F4" s="8" t="s">
        <v>39</v>
      </c>
      <c r="G4" s="8" t="s">
        <v>40</v>
      </c>
      <c r="H4" s="10">
        <v>1.5</v>
      </c>
      <c r="I4" s="10">
        <v>34.950000000000003</v>
      </c>
      <c r="J4" s="8" t="s">
        <v>46</v>
      </c>
      <c r="K4" s="15" t="s">
        <v>47</v>
      </c>
    </row>
    <row r="5" spans="1:11">
      <c r="A5" s="14" t="s">
        <v>48</v>
      </c>
      <c r="B5" s="8" t="s">
        <v>49</v>
      </c>
      <c r="C5" s="8" t="s">
        <v>50</v>
      </c>
      <c r="D5" s="8" t="s">
        <v>37</v>
      </c>
      <c r="E5" s="8" t="s">
        <v>38</v>
      </c>
      <c r="F5" s="8" t="s">
        <v>39</v>
      </c>
      <c r="G5" s="8" t="s">
        <v>40</v>
      </c>
      <c r="H5" s="10">
        <v>2.5</v>
      </c>
      <c r="I5" s="10">
        <v>29.95</v>
      </c>
      <c r="J5" s="8" t="s">
        <v>51</v>
      </c>
      <c r="K5" s="15" t="s">
        <v>52</v>
      </c>
    </row>
    <row r="6" spans="1:11">
      <c r="A6" s="14" t="s">
        <v>53</v>
      </c>
      <c r="B6" s="8" t="s">
        <v>54</v>
      </c>
      <c r="C6" s="8" t="s">
        <v>55</v>
      </c>
      <c r="D6" s="8" t="s">
        <v>37</v>
      </c>
      <c r="E6" s="8" t="s">
        <v>38</v>
      </c>
      <c r="F6" s="8" t="s">
        <v>39</v>
      </c>
      <c r="G6" s="8" t="s">
        <v>40</v>
      </c>
      <c r="H6" s="10">
        <v>2.5</v>
      </c>
      <c r="I6" s="10">
        <v>29.95</v>
      </c>
      <c r="J6" s="8" t="s">
        <v>56</v>
      </c>
      <c r="K6" s="15" t="s">
        <v>57</v>
      </c>
    </row>
    <row r="7" spans="1:11">
      <c r="A7" s="14" t="s">
        <v>58</v>
      </c>
      <c r="B7" s="8" t="s">
        <v>59</v>
      </c>
      <c r="C7" s="8" t="s">
        <v>60</v>
      </c>
      <c r="D7" s="8" t="s">
        <v>37</v>
      </c>
      <c r="E7" s="8" t="s">
        <v>29</v>
      </c>
      <c r="F7" s="8" t="s">
        <v>30</v>
      </c>
      <c r="G7" s="8" t="s">
        <v>31</v>
      </c>
      <c r="H7" s="10">
        <v>0.8</v>
      </c>
      <c r="I7" s="10">
        <v>15</v>
      </c>
      <c r="J7" s="8" t="s">
        <v>61</v>
      </c>
      <c r="K7" s="15" t="s">
        <v>62</v>
      </c>
    </row>
    <row r="8" spans="1:11">
      <c r="A8" s="14" t="s">
        <v>63</v>
      </c>
      <c r="B8" s="8" t="s">
        <v>64</v>
      </c>
      <c r="C8" s="8" t="s">
        <v>65</v>
      </c>
      <c r="D8" s="8" t="s">
        <v>37</v>
      </c>
      <c r="E8" s="8" t="s">
        <v>29</v>
      </c>
      <c r="F8" s="8" t="s">
        <v>30</v>
      </c>
      <c r="G8" s="8" t="s">
        <v>31</v>
      </c>
      <c r="H8" s="10">
        <v>0.8</v>
      </c>
      <c r="I8" s="10">
        <v>15</v>
      </c>
      <c r="J8" s="8" t="s">
        <v>66</v>
      </c>
      <c r="K8" s="15" t="s">
        <v>67</v>
      </c>
    </row>
    <row r="9" spans="1:11">
      <c r="A9" s="14" t="s">
        <v>68</v>
      </c>
      <c r="B9" s="8" t="s">
        <v>69</v>
      </c>
      <c r="C9" s="8" t="s">
        <v>70</v>
      </c>
      <c r="D9" s="8" t="s">
        <v>37</v>
      </c>
      <c r="E9" s="8" t="s">
        <v>29</v>
      </c>
      <c r="F9" s="8" t="s">
        <v>30</v>
      </c>
      <c r="G9" s="8" t="s">
        <v>31</v>
      </c>
      <c r="H9" s="10">
        <v>0.5</v>
      </c>
      <c r="I9" s="10">
        <v>15</v>
      </c>
      <c r="J9" s="8" t="s">
        <v>71</v>
      </c>
      <c r="K9" s="15" t="s">
        <v>72</v>
      </c>
    </row>
    <row r="10" spans="1:11">
      <c r="A10" s="14" t="s">
        <v>73</v>
      </c>
      <c r="B10" s="8" t="s">
        <v>74</v>
      </c>
      <c r="C10" s="8" t="s">
        <v>75</v>
      </c>
      <c r="D10" s="8" t="s">
        <v>76</v>
      </c>
      <c r="E10" s="8" t="s">
        <v>38</v>
      </c>
      <c r="F10" s="8" t="s">
        <v>39</v>
      </c>
      <c r="G10" s="8" t="s">
        <v>40</v>
      </c>
      <c r="H10" s="10">
        <v>6</v>
      </c>
      <c r="I10" s="10">
        <v>29.95</v>
      </c>
      <c r="J10" s="8" t="s">
        <v>77</v>
      </c>
      <c r="K10" s="15" t="s">
        <v>78</v>
      </c>
    </row>
    <row r="11" spans="1:11">
      <c r="A11" s="14" t="s">
        <v>79</v>
      </c>
      <c r="B11" s="8" t="s">
        <v>80</v>
      </c>
      <c r="C11" s="8" t="s">
        <v>81</v>
      </c>
      <c r="D11" s="8" t="s">
        <v>76</v>
      </c>
      <c r="E11" s="8" t="s">
        <v>38</v>
      </c>
      <c r="F11" s="8" t="s">
        <v>39</v>
      </c>
      <c r="G11" s="8" t="s">
        <v>40</v>
      </c>
      <c r="H11" s="10">
        <v>6</v>
      </c>
      <c r="I11" s="10">
        <v>29.95</v>
      </c>
      <c r="J11" s="8" t="s">
        <v>82</v>
      </c>
      <c r="K11" s="15" t="s">
        <v>83</v>
      </c>
    </row>
    <row r="12" spans="1:11">
      <c r="A12" s="14" t="s">
        <v>84</v>
      </c>
      <c r="B12" s="8" t="s">
        <v>85</v>
      </c>
      <c r="C12" s="8" t="s">
        <v>86</v>
      </c>
      <c r="D12" s="8" t="s">
        <v>76</v>
      </c>
      <c r="E12" s="8" t="s">
        <v>38</v>
      </c>
      <c r="F12" s="8" t="s">
        <v>39</v>
      </c>
      <c r="G12" s="8" t="s">
        <v>40</v>
      </c>
      <c r="H12" s="10">
        <v>3</v>
      </c>
      <c r="I12" s="10">
        <v>15</v>
      </c>
      <c r="J12" s="8" t="s">
        <v>87</v>
      </c>
      <c r="K12" s="15" t="s">
        <v>88</v>
      </c>
    </row>
    <row r="13" spans="1:11">
      <c r="A13" s="14" t="s">
        <v>89</v>
      </c>
      <c r="B13" s="8" t="s">
        <v>90</v>
      </c>
      <c r="C13" s="8" t="s">
        <v>91</v>
      </c>
      <c r="D13" s="8" t="s">
        <v>76</v>
      </c>
      <c r="E13" s="8" t="s">
        <v>38</v>
      </c>
      <c r="F13" s="8" t="s">
        <v>39</v>
      </c>
      <c r="G13" s="8" t="s">
        <v>40</v>
      </c>
      <c r="H13" s="10">
        <v>3</v>
      </c>
      <c r="I13" s="10">
        <v>29.95</v>
      </c>
      <c r="J13" s="8" t="s">
        <v>92</v>
      </c>
      <c r="K13" s="15" t="s">
        <v>93</v>
      </c>
    </row>
    <row r="14" spans="1:11">
      <c r="A14" s="14" t="s">
        <v>94</v>
      </c>
      <c r="B14" s="8" t="s">
        <v>95</v>
      </c>
      <c r="C14" s="8" t="s">
        <v>96</v>
      </c>
      <c r="D14" s="8" t="s">
        <v>76</v>
      </c>
      <c r="E14" s="8" t="s">
        <v>38</v>
      </c>
      <c r="F14" s="8" t="s">
        <v>39</v>
      </c>
      <c r="G14" s="8" t="s">
        <v>40</v>
      </c>
      <c r="H14" s="10">
        <v>3</v>
      </c>
      <c r="I14" s="10">
        <v>15</v>
      </c>
      <c r="J14" s="8" t="s">
        <v>97</v>
      </c>
      <c r="K14" s="15" t="s">
        <v>98</v>
      </c>
    </row>
    <row r="15" spans="1:11">
      <c r="A15" s="14" t="s">
        <v>99</v>
      </c>
      <c r="B15" s="8" t="s">
        <v>100</v>
      </c>
      <c r="C15" s="8" t="s">
        <v>101</v>
      </c>
      <c r="D15" s="8" t="s">
        <v>76</v>
      </c>
      <c r="E15" s="8" t="s">
        <v>38</v>
      </c>
      <c r="F15" s="8" t="s">
        <v>39</v>
      </c>
      <c r="G15" s="8" t="s">
        <v>40</v>
      </c>
      <c r="H15" s="10">
        <v>3</v>
      </c>
      <c r="I15" s="10">
        <v>29.95</v>
      </c>
      <c r="J15" s="8" t="s">
        <v>102</v>
      </c>
      <c r="K15" s="15" t="s">
        <v>103</v>
      </c>
    </row>
    <row r="16" spans="1:11">
      <c r="A16" s="14" t="s">
        <v>104</v>
      </c>
      <c r="B16" s="8" t="s">
        <v>105</v>
      </c>
      <c r="C16" s="8" t="s">
        <v>106</v>
      </c>
      <c r="D16" s="8" t="s">
        <v>28</v>
      </c>
      <c r="E16" s="8" t="s">
        <v>38</v>
      </c>
      <c r="F16" s="8" t="s">
        <v>39</v>
      </c>
      <c r="G16" s="8" t="s">
        <v>40</v>
      </c>
      <c r="H16" s="10">
        <v>3.5</v>
      </c>
      <c r="I16" s="10">
        <v>16.95</v>
      </c>
      <c r="J16" s="8" t="s">
        <v>107</v>
      </c>
      <c r="K16" s="15" t="s">
        <v>108</v>
      </c>
    </row>
    <row r="17" spans="1:11">
      <c r="A17" s="14" t="s">
        <v>109</v>
      </c>
      <c r="B17" s="8" t="s">
        <v>110</v>
      </c>
      <c r="C17" s="8" t="s">
        <v>111</v>
      </c>
      <c r="D17" s="8" t="s">
        <v>28</v>
      </c>
      <c r="E17" s="8" t="s">
        <v>38</v>
      </c>
      <c r="F17" s="8" t="s">
        <v>39</v>
      </c>
      <c r="G17" s="8" t="s">
        <v>40</v>
      </c>
      <c r="H17" s="10">
        <v>3</v>
      </c>
      <c r="I17" s="10">
        <v>16.95</v>
      </c>
      <c r="J17" s="8" t="s">
        <v>112</v>
      </c>
      <c r="K17" s="15" t="s">
        <v>113</v>
      </c>
    </row>
    <row r="18" spans="1:11">
      <c r="A18" s="14" t="s">
        <v>114</v>
      </c>
      <c r="B18" s="8" t="s">
        <v>115</v>
      </c>
      <c r="C18" s="8" t="s">
        <v>116</v>
      </c>
      <c r="D18" s="8" t="s">
        <v>37</v>
      </c>
      <c r="E18" s="8" t="s">
        <v>29</v>
      </c>
      <c r="F18" s="8" t="s">
        <v>30</v>
      </c>
      <c r="G18" s="8" t="s">
        <v>31</v>
      </c>
      <c r="H18" s="10">
        <v>5.5</v>
      </c>
      <c r="I18" s="10">
        <v>15</v>
      </c>
      <c r="J18" s="8" t="s">
        <v>117</v>
      </c>
      <c r="K18" s="15" t="s">
        <v>118</v>
      </c>
    </row>
    <row r="19" spans="1:11">
      <c r="A19" s="14" t="s">
        <v>119</v>
      </c>
      <c r="B19" s="8" t="s">
        <v>120</v>
      </c>
      <c r="C19" s="8" t="s">
        <v>121</v>
      </c>
      <c r="D19" s="8" t="s">
        <v>122</v>
      </c>
      <c r="E19" s="8" t="s">
        <v>38</v>
      </c>
      <c r="F19" s="8" t="s">
        <v>39</v>
      </c>
      <c r="G19" s="8" t="s">
        <v>40</v>
      </c>
      <c r="H19" s="10">
        <v>8</v>
      </c>
      <c r="I19" s="10">
        <v>29.95</v>
      </c>
      <c r="J19" s="8" t="s">
        <v>123</v>
      </c>
      <c r="K19" s="15" t="s">
        <v>124</v>
      </c>
    </row>
    <row r="20" spans="1:11">
      <c r="A20" s="14" t="s">
        <v>125</v>
      </c>
      <c r="B20" s="8" t="s">
        <v>126</v>
      </c>
      <c r="C20" s="8" t="s">
        <v>127</v>
      </c>
      <c r="D20" s="8" t="s">
        <v>28</v>
      </c>
      <c r="E20" s="8" t="s">
        <v>128</v>
      </c>
      <c r="F20" s="8" t="s">
        <v>39</v>
      </c>
      <c r="G20" s="8" t="s">
        <v>129</v>
      </c>
      <c r="H20" s="10">
        <v>15</v>
      </c>
      <c r="I20" s="10">
        <v>99</v>
      </c>
      <c r="J20" s="8" t="s">
        <v>130</v>
      </c>
      <c r="K20" s="15" t="s">
        <v>131</v>
      </c>
    </row>
    <row r="21" spans="1:11">
      <c r="A21" s="14" t="s">
        <v>132</v>
      </c>
      <c r="B21" s="8" t="s">
        <v>133</v>
      </c>
      <c r="C21" s="8" t="s">
        <v>134</v>
      </c>
      <c r="D21" s="8" t="s">
        <v>28</v>
      </c>
      <c r="E21" s="8" t="s">
        <v>128</v>
      </c>
      <c r="F21" s="8" t="s">
        <v>39</v>
      </c>
      <c r="G21" s="8" t="s">
        <v>129</v>
      </c>
      <c r="H21" s="10">
        <v>12</v>
      </c>
      <c r="I21" s="10">
        <v>139</v>
      </c>
      <c r="J21" s="8" t="s">
        <v>135</v>
      </c>
      <c r="K21" s="15" t="s">
        <v>136</v>
      </c>
    </row>
    <row r="22" spans="1:11">
      <c r="A22" s="14" t="s">
        <v>137</v>
      </c>
      <c r="B22" s="8" t="s">
        <v>138</v>
      </c>
      <c r="C22" s="8" t="s">
        <v>139</v>
      </c>
      <c r="D22" s="8" t="s">
        <v>28</v>
      </c>
      <c r="E22" s="8" t="s">
        <v>128</v>
      </c>
      <c r="F22" s="8" t="s">
        <v>39</v>
      </c>
      <c r="G22" s="8" t="s">
        <v>129</v>
      </c>
      <c r="H22" s="10">
        <v>40</v>
      </c>
      <c r="I22" s="10">
        <v>129</v>
      </c>
      <c r="J22" s="8" t="s">
        <v>140</v>
      </c>
      <c r="K22" s="15" t="s">
        <v>141</v>
      </c>
    </row>
    <row r="23" spans="1:11">
      <c r="A23" s="14" t="s">
        <v>142</v>
      </c>
      <c r="B23" s="8" t="s">
        <v>143</v>
      </c>
      <c r="C23" s="8" t="s">
        <v>144</v>
      </c>
      <c r="D23" s="8" t="s">
        <v>28</v>
      </c>
      <c r="E23" s="8" t="s">
        <v>128</v>
      </c>
      <c r="F23" s="8" t="s">
        <v>39</v>
      </c>
      <c r="G23" s="8" t="s">
        <v>129</v>
      </c>
      <c r="H23" s="10">
        <v>40</v>
      </c>
      <c r="I23" s="10">
        <v>129</v>
      </c>
      <c r="J23" s="8" t="s">
        <v>145</v>
      </c>
      <c r="K23" s="15" t="s">
        <v>146</v>
      </c>
    </row>
    <row r="24" spans="1:11">
      <c r="A24" s="14" t="s">
        <v>147</v>
      </c>
      <c r="B24" s="8" t="s">
        <v>148</v>
      </c>
      <c r="C24" s="8" t="s">
        <v>149</v>
      </c>
      <c r="D24" s="8" t="s">
        <v>28</v>
      </c>
      <c r="E24" s="8" t="s">
        <v>128</v>
      </c>
      <c r="F24" s="8" t="s">
        <v>39</v>
      </c>
      <c r="G24" s="8" t="s">
        <v>129</v>
      </c>
      <c r="H24" s="10">
        <v>40</v>
      </c>
      <c r="I24" s="10">
        <v>129</v>
      </c>
      <c r="J24" s="8" t="s">
        <v>150</v>
      </c>
      <c r="K24" s="15" t="s">
        <v>151</v>
      </c>
    </row>
    <row r="25" spans="1:11">
      <c r="A25" s="14" t="s">
        <v>152</v>
      </c>
      <c r="B25" s="8" t="s">
        <v>153</v>
      </c>
      <c r="C25" s="8" t="s">
        <v>154</v>
      </c>
      <c r="D25" s="8" t="s">
        <v>28</v>
      </c>
      <c r="E25" s="8" t="s">
        <v>128</v>
      </c>
      <c r="F25" s="8" t="s">
        <v>39</v>
      </c>
      <c r="G25" s="8" t="s">
        <v>129</v>
      </c>
      <c r="H25" s="10">
        <v>40</v>
      </c>
      <c r="I25" s="10">
        <v>129</v>
      </c>
      <c r="J25" s="8" t="s">
        <v>155</v>
      </c>
      <c r="K25" s="15" t="s">
        <v>156</v>
      </c>
    </row>
    <row r="26" spans="1:11">
      <c r="A26" s="14" t="s">
        <v>157</v>
      </c>
      <c r="B26" s="8" t="s">
        <v>158</v>
      </c>
      <c r="C26" s="8" t="s">
        <v>159</v>
      </c>
      <c r="D26" s="8" t="s">
        <v>76</v>
      </c>
      <c r="E26" s="8" t="s">
        <v>160</v>
      </c>
      <c r="F26" s="8" t="s">
        <v>161</v>
      </c>
      <c r="G26" s="8" t="s">
        <v>162</v>
      </c>
      <c r="H26" s="10">
        <v>3</v>
      </c>
      <c r="I26" s="10">
        <v>29</v>
      </c>
      <c r="J26" s="8" t="s">
        <v>163</v>
      </c>
      <c r="K26" s="15" t="s">
        <v>164</v>
      </c>
    </row>
    <row r="27" spans="1:11">
      <c r="A27" s="14" t="s">
        <v>165</v>
      </c>
      <c r="B27" s="8" t="s">
        <v>166</v>
      </c>
      <c r="C27" s="8" t="s">
        <v>167</v>
      </c>
      <c r="D27" s="8" t="s">
        <v>28</v>
      </c>
      <c r="E27" s="8" t="s">
        <v>160</v>
      </c>
      <c r="F27" s="8" t="s">
        <v>161</v>
      </c>
      <c r="G27" s="8" t="s">
        <v>168</v>
      </c>
      <c r="H27" s="10">
        <v>9.5</v>
      </c>
      <c r="I27" s="10">
        <v>79</v>
      </c>
      <c r="J27" s="8" t="s">
        <v>169</v>
      </c>
      <c r="K27" s="15" t="s">
        <v>170</v>
      </c>
    </row>
    <row r="28" spans="1:11">
      <c r="A28" s="14" t="s">
        <v>171</v>
      </c>
      <c r="B28" s="8" t="s">
        <v>172</v>
      </c>
      <c r="C28" s="8" t="s">
        <v>173</v>
      </c>
      <c r="D28" s="8" t="s">
        <v>37</v>
      </c>
      <c r="E28" s="8" t="s">
        <v>160</v>
      </c>
      <c r="F28" s="8" t="s">
        <v>161</v>
      </c>
      <c r="G28" s="8" t="s">
        <v>162</v>
      </c>
      <c r="H28" s="10">
        <v>1</v>
      </c>
      <c r="I28" s="10">
        <v>25</v>
      </c>
      <c r="J28" s="8" t="s">
        <v>174</v>
      </c>
      <c r="K28" s="15" t="s">
        <v>175</v>
      </c>
    </row>
    <row r="29" spans="1:11">
      <c r="A29" s="14" t="s">
        <v>176</v>
      </c>
      <c r="B29" s="8" t="s">
        <v>177</v>
      </c>
      <c r="C29" s="8" t="s">
        <v>178</v>
      </c>
      <c r="D29" s="8" t="s">
        <v>28</v>
      </c>
      <c r="E29" s="8" t="s">
        <v>160</v>
      </c>
      <c r="F29" s="8" t="s">
        <v>161</v>
      </c>
      <c r="G29" s="8" t="s">
        <v>168</v>
      </c>
      <c r="H29" s="10">
        <v>18</v>
      </c>
      <c r="I29" s="10">
        <v>89</v>
      </c>
      <c r="J29" s="8" t="s">
        <v>179</v>
      </c>
      <c r="K29" s="15" t="s">
        <v>180</v>
      </c>
    </row>
    <row r="30" spans="1:11">
      <c r="A30" s="14" t="s">
        <v>181</v>
      </c>
      <c r="B30" s="8" t="s">
        <v>182</v>
      </c>
      <c r="C30" s="8" t="s">
        <v>183</v>
      </c>
      <c r="D30" s="8" t="s">
        <v>28</v>
      </c>
      <c r="E30" s="8" t="s">
        <v>160</v>
      </c>
      <c r="F30" s="8" t="s">
        <v>184</v>
      </c>
      <c r="G30" s="8" t="s">
        <v>185</v>
      </c>
      <c r="H30" s="10">
        <v>13</v>
      </c>
      <c r="I30" s="10">
        <v>49.95</v>
      </c>
      <c r="J30" s="8" t="s">
        <v>186</v>
      </c>
      <c r="K30" s="15" t="s">
        <v>187</v>
      </c>
    </row>
    <row r="31" spans="1:11">
      <c r="A31" s="14" t="s">
        <v>188</v>
      </c>
      <c r="B31" s="8" t="s">
        <v>189</v>
      </c>
      <c r="C31" s="8" t="s">
        <v>190</v>
      </c>
      <c r="D31" s="8" t="s">
        <v>28</v>
      </c>
      <c r="E31" s="8" t="s">
        <v>160</v>
      </c>
      <c r="F31" s="8" t="s">
        <v>184</v>
      </c>
      <c r="G31" s="8" t="s">
        <v>185</v>
      </c>
      <c r="H31" s="10">
        <v>6</v>
      </c>
      <c r="I31" s="10">
        <v>39</v>
      </c>
      <c r="J31" s="8" t="s">
        <v>191</v>
      </c>
      <c r="K31" s="15" t="s">
        <v>192</v>
      </c>
    </row>
    <row r="32" spans="1:11">
      <c r="A32" s="14" t="s">
        <v>193</v>
      </c>
      <c r="B32" s="8" t="s">
        <v>194</v>
      </c>
      <c r="C32" s="8" t="s">
        <v>195</v>
      </c>
      <c r="D32" s="8" t="s">
        <v>28</v>
      </c>
      <c r="E32" s="8" t="s">
        <v>160</v>
      </c>
      <c r="F32" s="8" t="s">
        <v>184</v>
      </c>
      <c r="G32" s="8" t="s">
        <v>185</v>
      </c>
      <c r="H32" s="10">
        <v>7</v>
      </c>
      <c r="I32" s="10">
        <v>39</v>
      </c>
      <c r="J32" s="8" t="s">
        <v>196</v>
      </c>
      <c r="K32" s="15" t="s">
        <v>197</v>
      </c>
    </row>
    <row r="33" spans="1:11">
      <c r="A33" s="14" t="s">
        <v>198</v>
      </c>
      <c r="B33" s="8" t="s">
        <v>199</v>
      </c>
      <c r="C33" s="8" t="s">
        <v>200</v>
      </c>
      <c r="D33" s="8" t="s">
        <v>28</v>
      </c>
      <c r="E33" s="8" t="s">
        <v>160</v>
      </c>
      <c r="F33" s="8" t="s">
        <v>161</v>
      </c>
      <c r="G33" s="8" t="s">
        <v>162</v>
      </c>
      <c r="H33" s="10">
        <v>6</v>
      </c>
      <c r="I33" s="10">
        <v>39</v>
      </c>
      <c r="J33" s="8" t="s">
        <v>201</v>
      </c>
      <c r="K33" s="15" t="s">
        <v>202</v>
      </c>
    </row>
    <row r="34" spans="1:11">
      <c r="A34" s="14" t="s">
        <v>203</v>
      </c>
      <c r="B34" s="8" t="s">
        <v>204</v>
      </c>
      <c r="C34" s="8" t="s">
        <v>205</v>
      </c>
      <c r="D34" s="8" t="s">
        <v>37</v>
      </c>
      <c r="E34" s="8" t="s">
        <v>160</v>
      </c>
      <c r="F34" s="8" t="s">
        <v>161</v>
      </c>
      <c r="G34" s="8" t="s">
        <v>168</v>
      </c>
      <c r="H34" s="10">
        <v>20</v>
      </c>
      <c r="I34" s="10">
        <v>55</v>
      </c>
      <c r="J34" s="8" t="s">
        <v>206</v>
      </c>
      <c r="K34" s="15" t="s">
        <v>207</v>
      </c>
    </row>
    <row r="35" spans="1:11">
      <c r="A35" s="14" t="s">
        <v>208</v>
      </c>
      <c r="B35" s="8" t="s">
        <v>209</v>
      </c>
      <c r="C35" s="8" t="s">
        <v>210</v>
      </c>
      <c r="D35" s="8" t="s">
        <v>28</v>
      </c>
      <c r="E35" s="8" t="s">
        <v>160</v>
      </c>
      <c r="F35" s="8" t="s">
        <v>161</v>
      </c>
      <c r="G35" s="8" t="s">
        <v>168</v>
      </c>
      <c r="H35" s="10">
        <v>10</v>
      </c>
      <c r="I35" s="10">
        <v>79</v>
      </c>
      <c r="J35" s="8" t="s">
        <v>211</v>
      </c>
      <c r="K35" s="15" t="s">
        <v>212</v>
      </c>
    </row>
    <row r="36" spans="1:11">
      <c r="A36" s="14" t="s">
        <v>213</v>
      </c>
      <c r="B36" s="8" t="s">
        <v>214</v>
      </c>
      <c r="C36" s="8" t="s">
        <v>215</v>
      </c>
      <c r="D36" s="8" t="s">
        <v>28</v>
      </c>
      <c r="E36" s="8" t="s">
        <v>160</v>
      </c>
      <c r="F36" s="8" t="s">
        <v>161</v>
      </c>
      <c r="G36" s="8" t="s">
        <v>162</v>
      </c>
      <c r="H36" s="10">
        <v>16</v>
      </c>
      <c r="I36" s="10">
        <v>45</v>
      </c>
      <c r="J36" s="8" t="s">
        <v>216</v>
      </c>
      <c r="K36" s="15" t="s">
        <v>217</v>
      </c>
    </row>
    <row r="37" spans="1:11">
      <c r="A37" s="16" t="s">
        <v>218</v>
      </c>
      <c r="B37" s="17" t="s">
        <v>219</v>
      </c>
      <c r="C37" s="17" t="s">
        <v>220</v>
      </c>
      <c r="D37" s="17" t="s">
        <v>37</v>
      </c>
      <c r="E37" s="17" t="s">
        <v>160</v>
      </c>
      <c r="F37" s="17" t="s">
        <v>161</v>
      </c>
      <c r="G37" s="17" t="s">
        <v>162</v>
      </c>
      <c r="H37" s="18">
        <v>10</v>
      </c>
      <c r="I37" s="18">
        <v>45</v>
      </c>
      <c r="J37" s="17" t="s">
        <v>221</v>
      </c>
      <c r="K37" s="19" t="s">
        <v>222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"/>
  <sheetViews>
    <sheetView showGridLines="0" zoomScale="130" zoomScaleNormal="130" workbookViewId="0">
      <selection activeCell="E2" sqref="E2"/>
    </sheetView>
  </sheetViews>
  <sheetFormatPr defaultRowHeight="14.25"/>
  <cols>
    <col min="1" max="1" width="11" customWidth="1"/>
    <col min="2" max="2" width="20" customWidth="1"/>
    <col min="3" max="3" width="46" customWidth="1"/>
    <col min="4" max="5" width="15" customWidth="1"/>
    <col min="6" max="7" width="28" customWidth="1"/>
    <col min="8" max="8" width="58" customWidth="1"/>
  </cols>
  <sheetData>
    <row r="1" spans="1:8" ht="30" customHeight="1">
      <c r="A1" s="9" t="s">
        <v>14</v>
      </c>
      <c r="B1" s="9" t="s">
        <v>223</v>
      </c>
      <c r="C1" s="9" t="s">
        <v>224</v>
      </c>
      <c r="D1" s="9" t="s">
        <v>225</v>
      </c>
      <c r="E1" s="9" t="s">
        <v>226</v>
      </c>
      <c r="F1" s="9" t="s">
        <v>19</v>
      </c>
      <c r="G1" s="9" t="s">
        <v>20</v>
      </c>
      <c r="H1" s="9" t="s">
        <v>227</v>
      </c>
    </row>
    <row r="2" spans="1:8">
      <c r="A2" s="8" t="s">
        <v>228</v>
      </c>
      <c r="B2" s="8" t="s">
        <v>229</v>
      </c>
      <c r="C2" s="8" t="s">
        <v>230</v>
      </c>
      <c r="D2" s="10">
        <v>16</v>
      </c>
      <c r="E2" s="10">
        <v>99</v>
      </c>
      <c r="F2" s="8" t="s">
        <v>39</v>
      </c>
      <c r="G2" s="8" t="s">
        <v>129</v>
      </c>
      <c r="H2" s="8" t="s">
        <v>231</v>
      </c>
    </row>
    <row r="3" spans="1:8">
      <c r="A3" s="8" t="s">
        <v>232</v>
      </c>
      <c r="B3" s="8" t="s">
        <v>233</v>
      </c>
      <c r="C3" s="8" t="s">
        <v>234</v>
      </c>
      <c r="D3" s="10">
        <v>10</v>
      </c>
      <c r="E3" s="10">
        <v>129</v>
      </c>
      <c r="F3" s="8" t="s">
        <v>39</v>
      </c>
      <c r="G3" s="8" t="s">
        <v>129</v>
      </c>
      <c r="H3" s="8" t="s">
        <v>235</v>
      </c>
    </row>
    <row r="4" spans="1:8">
      <c r="A4" s="8" t="s">
        <v>236</v>
      </c>
      <c r="B4" s="8" t="s">
        <v>237</v>
      </c>
      <c r="C4" s="8" t="s">
        <v>238</v>
      </c>
      <c r="D4" s="10">
        <v>0</v>
      </c>
      <c r="E4" s="10">
        <v>129</v>
      </c>
      <c r="F4" s="8" t="s">
        <v>39</v>
      </c>
      <c r="G4" s="8" t="s">
        <v>129</v>
      </c>
      <c r="H4" s="8" t="s">
        <v>239</v>
      </c>
    </row>
    <row r="5" spans="1:8">
      <c r="A5" s="8" t="s">
        <v>240</v>
      </c>
      <c r="B5" s="8" t="s">
        <v>241</v>
      </c>
      <c r="C5" s="8" t="s">
        <v>242</v>
      </c>
      <c r="D5" s="10">
        <v>10</v>
      </c>
      <c r="E5" s="10">
        <v>89</v>
      </c>
      <c r="F5" s="8" t="s">
        <v>39</v>
      </c>
      <c r="G5" s="8" t="s">
        <v>129</v>
      </c>
      <c r="H5" s="8" t="s">
        <v>243</v>
      </c>
    </row>
    <row r="6" spans="1:8">
      <c r="A6" s="8" t="s">
        <v>244</v>
      </c>
      <c r="B6" s="8" t="s">
        <v>245</v>
      </c>
      <c r="C6" s="8" t="s">
        <v>246</v>
      </c>
      <c r="D6" s="10">
        <v>13</v>
      </c>
      <c r="E6" s="10">
        <v>199</v>
      </c>
      <c r="F6" s="8" t="s">
        <v>39</v>
      </c>
      <c r="G6" s="8" t="s">
        <v>129</v>
      </c>
      <c r="H6" s="8" t="s">
        <v>247</v>
      </c>
    </row>
    <row r="7" spans="1:8">
      <c r="A7" s="8" t="s">
        <v>248</v>
      </c>
      <c r="B7" s="8" t="s">
        <v>249</v>
      </c>
      <c r="C7" s="8" t="s">
        <v>250</v>
      </c>
      <c r="D7" s="10">
        <v>15</v>
      </c>
      <c r="E7" s="10">
        <v>79</v>
      </c>
      <c r="F7" s="8" t="s">
        <v>39</v>
      </c>
      <c r="G7" s="8" t="s">
        <v>129</v>
      </c>
      <c r="H7" s="8" t="s">
        <v>251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9"/>
  <sheetViews>
    <sheetView showGridLines="0" tabSelected="1" workbookViewId="0">
      <selection activeCell="H13" sqref="H13"/>
    </sheetView>
  </sheetViews>
  <sheetFormatPr defaultRowHeight="14.25"/>
  <cols>
    <col min="1" max="1" width="11" customWidth="1"/>
    <col min="2" max="2" width="44" customWidth="1"/>
    <col min="3" max="3" width="18" customWidth="1"/>
    <col min="4" max="5" width="34" customWidth="1"/>
    <col min="6" max="8" width="17" customWidth="1"/>
    <col min="9" max="9" width="58" customWidth="1"/>
    <col min="10" max="10" width="42" customWidth="1"/>
  </cols>
  <sheetData>
    <row r="1" spans="1:10" ht="30" customHeight="1">
      <c r="A1" s="9" t="s">
        <v>14</v>
      </c>
      <c r="B1" s="9" t="s">
        <v>16</v>
      </c>
      <c r="C1" s="9" t="s">
        <v>252</v>
      </c>
      <c r="D1" s="9" t="s">
        <v>18</v>
      </c>
      <c r="E1" s="9" t="s">
        <v>253</v>
      </c>
      <c r="F1" s="9" t="s">
        <v>225</v>
      </c>
      <c r="G1" s="9" t="s">
        <v>254</v>
      </c>
      <c r="H1" s="9" t="s">
        <v>255</v>
      </c>
      <c r="I1" s="9" t="s">
        <v>24</v>
      </c>
      <c r="J1" s="9" t="s">
        <v>256</v>
      </c>
    </row>
    <row r="2" spans="1:10" ht="40.5">
      <c r="A2" s="20" t="s">
        <v>236</v>
      </c>
      <c r="B2" s="20" t="s">
        <v>286</v>
      </c>
      <c r="C2" s="20" t="s">
        <v>257</v>
      </c>
      <c r="D2" s="20" t="s">
        <v>128</v>
      </c>
      <c r="E2" s="20" t="s">
        <v>258</v>
      </c>
      <c r="F2" s="21">
        <v>0</v>
      </c>
      <c r="G2" s="22">
        <v>20</v>
      </c>
      <c r="H2" s="21">
        <v>129</v>
      </c>
      <c r="I2" s="20" t="s">
        <v>239</v>
      </c>
      <c r="J2" s="20" t="s">
        <v>259</v>
      </c>
    </row>
    <row r="3" spans="1:10" ht="27">
      <c r="A3" s="20" t="s">
        <v>260</v>
      </c>
      <c r="B3" s="20" t="s">
        <v>261</v>
      </c>
      <c r="C3" s="20" t="s">
        <v>262</v>
      </c>
      <c r="D3" s="20" t="s">
        <v>38</v>
      </c>
      <c r="E3" s="20" t="s">
        <v>263</v>
      </c>
      <c r="F3" s="21">
        <v>0</v>
      </c>
      <c r="G3" s="22">
        <v>3</v>
      </c>
      <c r="H3" s="21">
        <v>15</v>
      </c>
      <c r="I3" s="20" t="s">
        <v>264</v>
      </c>
      <c r="J3" s="20" t="s">
        <v>265</v>
      </c>
    </row>
    <row r="4" spans="1:10" ht="27">
      <c r="A4" s="20" t="s">
        <v>266</v>
      </c>
      <c r="B4" s="20" t="s">
        <v>285</v>
      </c>
      <c r="C4" s="20" t="s">
        <v>262</v>
      </c>
      <c r="D4" s="20" t="s">
        <v>38</v>
      </c>
      <c r="E4" s="20" t="s">
        <v>263</v>
      </c>
      <c r="F4" s="21">
        <v>0</v>
      </c>
      <c r="G4" s="22">
        <v>3</v>
      </c>
      <c r="H4" s="21">
        <v>15</v>
      </c>
      <c r="I4" s="20" t="s">
        <v>267</v>
      </c>
      <c r="J4" s="20" t="s">
        <v>265</v>
      </c>
    </row>
    <row r="5" spans="1:10" ht="27">
      <c r="A5" s="20" t="s">
        <v>268</v>
      </c>
      <c r="B5" s="20" t="s">
        <v>269</v>
      </c>
      <c r="C5" s="20" t="s">
        <v>262</v>
      </c>
      <c r="D5" s="20" t="s">
        <v>128</v>
      </c>
      <c r="E5" s="20" t="s">
        <v>258</v>
      </c>
      <c r="F5" s="21">
        <v>0</v>
      </c>
      <c r="G5" s="22">
        <v>20</v>
      </c>
      <c r="H5" s="21">
        <v>109</v>
      </c>
      <c r="I5" s="20" t="s">
        <v>270</v>
      </c>
      <c r="J5" s="20" t="s">
        <v>265</v>
      </c>
    </row>
    <row r="6" spans="1:10" ht="27">
      <c r="A6" s="20" t="s">
        <v>271</v>
      </c>
      <c r="B6" s="20" t="s">
        <v>284</v>
      </c>
      <c r="C6" s="20" t="s">
        <v>262</v>
      </c>
      <c r="D6" s="20" t="s">
        <v>128</v>
      </c>
      <c r="E6" s="20" t="s">
        <v>258</v>
      </c>
      <c r="F6" s="21">
        <v>0</v>
      </c>
      <c r="G6" s="22">
        <v>20</v>
      </c>
      <c r="H6" s="21">
        <v>109</v>
      </c>
      <c r="I6" s="20" t="s">
        <v>272</v>
      </c>
      <c r="J6" s="20" t="s">
        <v>265</v>
      </c>
    </row>
    <row r="7" spans="1:10" ht="27">
      <c r="A7" s="20" t="s">
        <v>273</v>
      </c>
      <c r="B7" s="20" t="s">
        <v>274</v>
      </c>
      <c r="C7" s="20" t="s">
        <v>262</v>
      </c>
      <c r="D7" s="20" t="s">
        <v>160</v>
      </c>
      <c r="E7" s="20" t="s">
        <v>275</v>
      </c>
      <c r="F7" s="21">
        <v>0</v>
      </c>
      <c r="G7" s="22">
        <v>20</v>
      </c>
      <c r="H7" s="21">
        <v>129</v>
      </c>
      <c r="I7" s="20" t="s">
        <v>276</v>
      </c>
      <c r="J7" s="20" t="s">
        <v>265</v>
      </c>
    </row>
    <row r="8" spans="1:10" ht="27">
      <c r="A8" s="20" t="s">
        <v>277</v>
      </c>
      <c r="B8" s="20" t="s">
        <v>278</v>
      </c>
      <c r="C8" s="20" t="s">
        <v>262</v>
      </c>
      <c r="D8" s="20" t="s">
        <v>160</v>
      </c>
      <c r="E8" s="20" t="s">
        <v>279</v>
      </c>
      <c r="F8" s="21">
        <v>0</v>
      </c>
      <c r="G8" s="22">
        <v>8</v>
      </c>
      <c r="H8" s="21">
        <v>39</v>
      </c>
      <c r="I8" s="20" t="s">
        <v>280</v>
      </c>
      <c r="J8" s="20" t="s">
        <v>265</v>
      </c>
    </row>
    <row r="9" spans="1:10" ht="27">
      <c r="A9" s="20" t="s">
        <v>281</v>
      </c>
      <c r="B9" s="20" t="s">
        <v>282</v>
      </c>
      <c r="C9" s="20" t="s">
        <v>262</v>
      </c>
      <c r="D9" s="20" t="s">
        <v>160</v>
      </c>
      <c r="E9" s="20" t="s">
        <v>279</v>
      </c>
      <c r="F9" s="21">
        <v>0</v>
      </c>
      <c r="G9" s="22">
        <v>8</v>
      </c>
      <c r="H9" s="21">
        <v>39</v>
      </c>
      <c r="I9" s="20" t="s">
        <v>283</v>
      </c>
      <c r="J9" s="20" t="s">
        <v>265</v>
      </c>
    </row>
  </sheetData>
  <phoneticPr fontId="7" type="noConversion"/>
  <conditionalFormatting sqref="G2:G9">
    <cfRule type="cellIs" dxfId="0" priority="1" operator="lessThanOrEqual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Import Summary</vt:lpstr>
      <vt:lpstr>Ready Products</vt:lpstr>
      <vt:lpstr>Existing Products</vt:lpstr>
      <vt:lpstr>Cost Required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Bevan Miao</cp:lastModifiedBy>
  <dcterms:modified xsi:type="dcterms:W3CDTF">2026-08-12T14:15:14Z</dcterms:modified>
</cp:coreProperties>
</file>