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\TECHM8 PRICE LIST\outputs\product-28-catalog-review-20260813\"/>
    </mc:Choice>
  </mc:AlternateContent>
  <xr:revisionPtr revIDLastSave="0" documentId="13_ncr:1_{CCCFA30E-7F4F-4462-8332-C2749D9C443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ummary" sheetId="1" r:id="rId1"/>
    <sheet name="Product Re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5" i="2" l="1"/>
  <c r="N35" i="2"/>
  <c r="V35" i="2" s="1"/>
  <c r="V34" i="2"/>
  <c r="Q34" i="2"/>
  <c r="N34" i="2"/>
  <c r="Q33" i="2"/>
  <c r="N33" i="2"/>
  <c r="V33" i="2" s="1"/>
  <c r="V32" i="2"/>
  <c r="Q32" i="2"/>
  <c r="N32" i="2"/>
  <c r="Q31" i="2"/>
  <c r="N31" i="2"/>
  <c r="V31" i="2" s="1"/>
  <c r="Q30" i="2"/>
  <c r="N30" i="2"/>
  <c r="V30" i="2" s="1"/>
  <c r="V29" i="2"/>
  <c r="Q29" i="2"/>
  <c r="N29" i="2"/>
  <c r="Q28" i="2"/>
  <c r="N28" i="2"/>
  <c r="V28" i="2" s="1"/>
  <c r="Q27" i="2"/>
  <c r="N27" i="2"/>
  <c r="V27" i="2" s="1"/>
  <c r="Q26" i="2"/>
  <c r="N26" i="2"/>
  <c r="V26" i="2" s="1"/>
  <c r="Q25" i="2"/>
  <c r="N25" i="2"/>
  <c r="Q24" i="2"/>
  <c r="N24" i="2"/>
  <c r="V24" i="2" s="1"/>
  <c r="Q23" i="2"/>
  <c r="N23" i="2"/>
  <c r="V23" i="2" s="1"/>
  <c r="Q22" i="2"/>
  <c r="N22" i="2"/>
  <c r="Q21" i="2"/>
  <c r="N21" i="2"/>
  <c r="V21" i="2" s="1"/>
  <c r="Q20" i="2"/>
  <c r="N20" i="2"/>
  <c r="V20" i="2" s="1"/>
  <c r="Q19" i="2"/>
  <c r="N19" i="2"/>
  <c r="V19" i="2" s="1"/>
  <c r="Q18" i="2"/>
  <c r="N18" i="2"/>
  <c r="V18" i="2" s="1"/>
  <c r="Q17" i="2"/>
  <c r="N17" i="2"/>
  <c r="V16" i="2"/>
  <c r="Q16" i="2"/>
  <c r="N16" i="2"/>
  <c r="V15" i="2"/>
  <c r="Q15" i="2"/>
  <c r="N15" i="2"/>
  <c r="V14" i="2"/>
  <c r="Q14" i="2"/>
  <c r="N14" i="2"/>
  <c r="V13" i="2"/>
  <c r="Q13" i="2"/>
  <c r="N13" i="2"/>
  <c r="Q12" i="2"/>
  <c r="N12" i="2"/>
  <c r="V12" i="2" s="1"/>
  <c r="V11" i="2"/>
  <c r="Q11" i="2"/>
  <c r="N11" i="2"/>
  <c r="Q10" i="2"/>
  <c r="N10" i="2"/>
  <c r="V10" i="2" s="1"/>
  <c r="Q9" i="2"/>
  <c r="N9" i="2"/>
  <c r="V9" i="2" s="1"/>
  <c r="Q8" i="2"/>
  <c r="N8" i="2"/>
  <c r="V8" i="2" s="1"/>
  <c r="Q7" i="2"/>
  <c r="N7" i="2"/>
  <c r="V7" i="2" s="1"/>
  <c r="Q6" i="2"/>
  <c r="N6" i="2"/>
  <c r="V6" i="2" s="1"/>
  <c r="Q5" i="2"/>
  <c r="N5" i="2"/>
  <c r="V5" i="2" s="1"/>
  <c r="V4" i="2"/>
  <c r="Q4" i="2"/>
  <c r="N4" i="2"/>
  <c r="Q3" i="2"/>
  <c r="V3" i="2" s="1"/>
  <c r="N3" i="2"/>
  <c r="Q2" i="2"/>
  <c r="N2" i="2"/>
  <c r="V2" i="2" s="1"/>
  <c r="B10" i="1"/>
  <c r="B9" i="1"/>
  <c r="B8" i="1"/>
  <c r="B7" i="1"/>
  <c r="B6" i="1"/>
  <c r="B5" i="1"/>
  <c r="V25" i="2" l="1"/>
  <c r="V22" i="2"/>
  <c r="V17" i="2"/>
</calcChain>
</file>

<file path=xl/sharedStrings.xml><?xml version="1.0" encoding="utf-8"?>
<sst xmlns="http://schemas.openxmlformats.org/spreadsheetml/2006/main" count="554" uniqueCount="273">
  <si>
    <t>TECHM8 Products (28) - Pre-Import Review</t>
  </si>
  <si>
    <t>Review only. Nothing in this workbook has been imported into Supabase or the POS.</t>
  </si>
  <si>
    <t>Review metric</t>
  </si>
  <si>
    <t>Count</t>
  </si>
  <si>
    <t>Classification rule</t>
  </si>
  <si>
    <t>How it is applied</t>
  </si>
  <si>
    <t>Source products</t>
  </si>
  <si>
    <t>Classify by product essence</t>
  </si>
  <si>
    <t>Use what the item is, not where it was previously stored in RepairDesk.</t>
  </si>
  <si>
    <t>Recommended for import</t>
  </si>
  <si>
    <t>Use existing POS hierarchy</t>
  </si>
  <si>
    <t>Do not create new categories for this batch. Use existing second-level categories.</t>
  </si>
  <si>
    <t>Clarification required</t>
  </si>
  <si>
    <t>Group styles, preserve sellable variants</t>
  </si>
  <si>
    <t>One card per style; colours remain independent SKU/stock rows.</t>
  </si>
  <si>
    <t>Recommended exclusion</t>
  </si>
  <si>
    <t>Exclude non-merchandise</t>
  </si>
  <si>
    <t>Packaging, shop credit and generic Special/Misc placeholders do not belong in product inventory.</t>
  </si>
  <si>
    <t>Missing cost</t>
  </si>
  <si>
    <t>Block incomplete items</t>
  </si>
  <si>
    <t>Unknown product identity, missing cost or suspicious cost=retail must be confirmed before import.</t>
  </si>
  <si>
    <t>Cost and retail both require verification</t>
  </si>
  <si>
    <t>Immediate owner action</t>
  </si>
  <si>
    <t>Affected products</t>
  </si>
  <si>
    <t>Required input</t>
  </si>
  <si>
    <t>Enter missing costs</t>
  </si>
  <si>
    <t>13 clear import products plus 4 unclear products</t>
  </si>
  <si>
    <t>Fill Owner Cost in Product Review.</t>
  </si>
  <si>
    <t>Verify suspicious prices</t>
  </si>
  <si>
    <t>RGB Digital Clock; Music-Reactive RGB Light</t>
  </si>
  <si>
    <t>Confirm both cost and retail because each currently has zero margin.</t>
  </si>
  <si>
    <t>Resolve ambiguous products</t>
  </si>
  <si>
    <t>CTF MagSafe stand; Card Strap Holder; Drone Map; Phone Tag; $2 SIM</t>
  </si>
  <si>
    <t>Confirm image/function and exact name/category.</t>
  </si>
  <si>
    <t>Resolve duplicate SKU</t>
  </si>
  <si>
    <t>CTF Earbuds Pouch and CTF MagSafe stand both use 1032168</t>
  </si>
  <si>
    <t>Create separate internal SKUs before import.</t>
  </si>
  <si>
    <t>Exclude non-products</t>
  </si>
  <si>
    <t>TechM8 bags; Special Order; Shop Credit; Special; Miscellaneous &amp; Other Products</t>
  </si>
  <si>
    <t>Keep outside the sellable product catalogue.</t>
  </si>
  <si>
    <t>Source Row</t>
  </si>
  <si>
    <t>Item ID</t>
  </si>
  <si>
    <t>Recommendation</t>
  </si>
  <si>
    <t>Original Category</t>
  </si>
  <si>
    <t>Original Name</t>
  </si>
  <si>
    <t>Proposed Name</t>
  </si>
  <si>
    <t>POS Main Category</t>
  </si>
  <si>
    <t>POS Subcategory</t>
  </si>
  <si>
    <t>Product Group</t>
  </si>
  <si>
    <t>Original SKU</t>
  </si>
  <si>
    <t>SKU Action</t>
  </si>
  <si>
    <t>Original Cost</t>
  </si>
  <si>
    <t>Owner Cost</t>
  </si>
  <si>
    <t>Final Cost</t>
  </si>
  <si>
    <t>Original Retail</t>
  </si>
  <si>
    <t>Owner Retail</t>
  </si>
  <si>
    <t>Final Retail</t>
  </si>
  <si>
    <t>Price Status</t>
  </si>
  <si>
    <t>Required Modification</t>
  </si>
  <si>
    <t>Classification Reason</t>
  </si>
  <si>
    <t>Image Check</t>
  </si>
  <si>
    <t>Review Status</t>
  </si>
  <si>
    <t>Owner Approval</t>
  </si>
  <si>
    <t>Owner Notes</t>
  </si>
  <si>
    <t>10888</t>
  </si>
  <si>
    <t>Import</t>
  </si>
  <si>
    <t>Card Holder &amp; Pop Scoket &gt; Magsafe Card Holder</t>
  </si>
  <si>
    <t>Magsafe Card Holder Stand-Wallet Black</t>
  </si>
  <si>
    <t>MagSafe Stand Wallet - Black</t>
  </si>
  <si>
    <t>Mounts &amp; Holders</t>
  </si>
  <si>
    <t>Wallets, Card Holders &amp; Grips</t>
  </si>
  <si>
    <t>MagSafe Stand Wallet</t>
  </si>
  <si>
    <t>108881499</t>
  </si>
  <si>
    <t>Keep source SKU</t>
  </si>
  <si>
    <t>Ready</t>
  </si>
  <si>
    <t>Standardize MagSafe spelling and product name; group by style and colour.</t>
  </si>
  <si>
    <t>A phone-attached wallet/stand is a wallet and grip accessory.</t>
  </si>
  <si>
    <t>Not included in export; retrieve/verify in RepairDesk before import</t>
  </si>
  <si>
    <t>Pending</t>
  </si>
  <si>
    <t>10857</t>
  </si>
  <si>
    <t>Card Holder &amp; Pop Scoket &gt; Magsafe Pop Scoket</t>
  </si>
  <si>
    <t>Magsafe Silicone Phone Holder Purple</t>
  </si>
  <si>
    <t>MagSafe Silicone Phone Grip - Purple</t>
  </si>
  <si>
    <t>MagSafe Silicone Phone Grip</t>
  </si>
  <si>
    <t>108571484</t>
  </si>
  <si>
    <t>Rename from Phone Holder to Phone Grip; group all colours.</t>
  </si>
  <si>
    <t>A MagSafe pop socket/grip belongs with phone grips, not vehicle mounts.</t>
  </si>
  <si>
    <t>10856</t>
  </si>
  <si>
    <t>Magsafe Silicone Phone Holder Pink</t>
  </si>
  <si>
    <t>MagSafe Silicone Phone Grip - Pink</t>
  </si>
  <si>
    <t>108561483</t>
  </si>
  <si>
    <t>10855</t>
  </si>
  <si>
    <t>Magsafe Silicone Phone Holder Sky Blue</t>
  </si>
  <si>
    <t>MagSafe Silicone Phone Grip - Sky Blue</t>
  </si>
  <si>
    <t>108551482</t>
  </si>
  <si>
    <t>10854</t>
  </si>
  <si>
    <t>Magsafe Silicone Phone Holder Black</t>
  </si>
  <si>
    <t>MagSafe Silicone Phone Grip - Black</t>
  </si>
  <si>
    <t>108541481</t>
  </si>
  <si>
    <t>10853</t>
  </si>
  <si>
    <t>Magsafe Card Holder Muti-Wallet Brown</t>
  </si>
  <si>
    <t>MagSafe Multi-Wallet - Brown</t>
  </si>
  <si>
    <t>MagSafe Multi-Wallet</t>
  </si>
  <si>
    <t>108531480</t>
  </si>
  <si>
    <t>Correct Muti-Wallet to Multi-Wallet; group all colours.</t>
  </si>
  <si>
    <t>This is a phone wallet accessory.</t>
  </si>
  <si>
    <t>10852</t>
  </si>
  <si>
    <t>Magsafe Card Holder Muti-Wallet Black</t>
  </si>
  <si>
    <t>MagSafe Multi-Wallet - Black</t>
  </si>
  <si>
    <t>108521479</t>
  </si>
  <si>
    <t>10851</t>
  </si>
  <si>
    <t>Magsafe Card Holder Muti-Wallet Gray</t>
  </si>
  <si>
    <t>MagSafe Multi-Wallet - Grey</t>
  </si>
  <si>
    <t>108511478</t>
  </si>
  <si>
    <t>Correct Muti-Wallet to Multi-Wallet and Gray to Grey; group all colours.</t>
  </si>
  <si>
    <t>10322</t>
  </si>
  <si>
    <t>Card Holder &amp; Pop Scoket</t>
  </si>
  <si>
    <t>CTF EARBUDS POUCH</t>
  </si>
  <si>
    <t>CTF Earbuds Pouch</t>
  </si>
  <si>
    <t>Other Electronics</t>
  </si>
  <si>
    <t>Earbud Cases</t>
  </si>
  <si>
    <t>1032168</t>
  </si>
  <si>
    <t>Create new SKU; source SKU is duplicated</t>
  </si>
  <si>
    <t>Enter cost and replace duplicated SKU 1032168.</t>
  </si>
  <si>
    <t>A protective pouch for earbuds belongs with earbud cases.</t>
  </si>
  <si>
    <t>10321</t>
  </si>
  <si>
    <t>Clarify</t>
  </si>
  <si>
    <t>CTF CARHOLDER &amp; GRIP MAGSAFE STAND</t>
  </si>
  <si>
    <t>CTF MagSafe Car Holder / Phone Grip Stand</t>
  </si>
  <si>
    <t>CTF MagSafe Stand</t>
  </si>
  <si>
    <t>Confirm from the image whether this is a vehicle mount or a phone grip/stand, then select the category; replace duplicated SKU 1032168.</t>
  </si>
  <si>
    <t>The current name describes both a car holder and a grip, which map to different POS categories.</t>
  </si>
  <si>
    <t>8974</t>
  </si>
  <si>
    <t>Uncategorized</t>
  </si>
  <si>
    <t>Card Strap Holder</t>
  </si>
  <si>
    <t>Phone Strap Accessories</t>
  </si>
  <si>
    <t>8974626</t>
  </si>
  <si>
    <t>Confirm product image and exact name, then enter cost.</t>
  </si>
  <si>
    <t>Likely a phone strap insert/card, but the current name is not specific enough.</t>
  </si>
  <si>
    <t>8633</t>
  </si>
  <si>
    <t>Exclude</t>
  </si>
  <si>
    <t>Techm8 Small Bag</t>
  </si>
  <si>
    <t>TechM8 Small Bag</t>
  </si>
  <si>
    <t>8633797</t>
  </si>
  <si>
    <t>Keep internal reference only</t>
  </si>
  <si>
    <t>Not applicable</t>
  </si>
  <si>
    <t>Keep as internal packaging/consumable, not a sellable POS product.</t>
  </si>
  <si>
    <t>A zero-price store bag is packaging rather than catalogue merchandise.</t>
  </si>
  <si>
    <t>Not required</t>
  </si>
  <si>
    <t>8632</t>
  </si>
  <si>
    <t>Techm8 Big Bag</t>
  </si>
  <si>
    <t>TechM8 Big Bag</t>
  </si>
  <si>
    <t>8632796</t>
  </si>
  <si>
    <t>8483</t>
  </si>
  <si>
    <t>Drone</t>
  </si>
  <si>
    <t>Drone Map</t>
  </si>
  <si>
    <t>Drone Landing Mat (confirm)</t>
  </si>
  <si>
    <t>Drones &amp; Accessories</t>
  </si>
  <si>
    <t>Drone Accessories</t>
  </si>
  <si>
    <t>8483784</t>
  </si>
  <si>
    <t>Confirm whether Drone Map is a typo for Drone Mat/Landing Pad; provide image and cost.</t>
  </si>
  <si>
    <t>The source name does not identify the physical product reliably.</t>
  </si>
  <si>
    <t>8416</t>
  </si>
  <si>
    <t>Special Order</t>
  </si>
  <si>
    <t>8416553</t>
  </si>
  <si>
    <t>Do not create product SKU</t>
  </si>
  <si>
    <t>Use the existing Special Products workflow instead of a permanent product.</t>
  </si>
  <si>
    <t>This is a transaction placeholder, not merchandise.</t>
  </si>
  <si>
    <t>8412</t>
  </si>
  <si>
    <t>Phone Strap Gasket</t>
  </si>
  <si>
    <t>Phone Strap Adapter Patch</t>
  </si>
  <si>
    <t>8412763</t>
  </si>
  <si>
    <t>Rename Gasket to Adapter Patch and enter cost; confirm whether $1 retail remains correct.</t>
  </si>
  <si>
    <t>This is the insert used to attach a strap to a phone case.</t>
  </si>
  <si>
    <t>8411</t>
  </si>
  <si>
    <t>Phone Strap</t>
  </si>
  <si>
    <t>Phone Lanyard Strap</t>
  </si>
  <si>
    <t>8411762</t>
  </si>
  <si>
    <t>Use a customer-readable name and enter cost.</t>
  </si>
  <si>
    <t>A phone carry strap is grouped with grips and card holders.</t>
  </si>
  <si>
    <t>8263</t>
  </si>
  <si>
    <t>FIMI X8 MINI V2</t>
  </si>
  <si>
    <t>FIMI X8 Mini V2 Drone</t>
  </si>
  <si>
    <t>8263681</t>
  </si>
  <si>
    <t>Add Drone to the name and enter the purchase cost before import.</t>
  </si>
  <si>
    <t>The product itself is a drone.</t>
  </si>
  <si>
    <t>8041</t>
  </si>
  <si>
    <t>Magsafe Card Holder Navy</t>
  </si>
  <si>
    <t>MagSafe Card Wallet - Navy</t>
  </si>
  <si>
    <t>MagSafe Card Wallet</t>
  </si>
  <si>
    <t>8041585</t>
  </si>
  <si>
    <t>Standardize name, enter cost and group all colours.</t>
  </si>
  <si>
    <t>This is a phone wallet/card holder.</t>
  </si>
  <si>
    <t>8040</t>
  </si>
  <si>
    <t>Magsafe Card Holder Orange</t>
  </si>
  <si>
    <t>MagSafe Card Wallet - Orange</t>
  </si>
  <si>
    <t>8040584</t>
  </si>
  <si>
    <t>8039</t>
  </si>
  <si>
    <t>Magsafe Card Holder Red</t>
  </si>
  <si>
    <t>MagSafe Card Wallet - Red</t>
  </si>
  <si>
    <t>8039583</t>
  </si>
  <si>
    <t>8038</t>
  </si>
  <si>
    <t>Magsafe Card Holder Green</t>
  </si>
  <si>
    <t>MagSafe Card Wallet - Green</t>
  </si>
  <si>
    <t>8038582</t>
  </si>
  <si>
    <t>8036</t>
  </si>
  <si>
    <t>Magsafe Card Holder Brown</t>
  </si>
  <si>
    <t>MagSafe Card Wallet - Brown</t>
  </si>
  <si>
    <t>8036580</t>
  </si>
  <si>
    <t>7763</t>
  </si>
  <si>
    <t>Phone tag</t>
  </si>
  <si>
    <t>Phone Tag (exact product required)</t>
  </si>
  <si>
    <t>Phone Tag</t>
  </si>
  <si>
    <t>776330</t>
  </si>
  <si>
    <t>Provide the product image/function and cost; current name is too broad to classify confidently.</t>
  </si>
  <si>
    <t>Phone Tag could mean an NFC tag, label, tracker accessory or another item.</t>
  </si>
  <si>
    <t>7148</t>
  </si>
  <si>
    <t>Card Holder &amp; Pop Scoket &gt; Sticker Card Holder</t>
  </si>
  <si>
    <t>Silicone Card Holder Black</t>
  </si>
  <si>
    <t>Adhesive Silicone Card Holder - Black</t>
  </si>
  <si>
    <t>Adhesive Silicone Card Holder</t>
  </si>
  <si>
    <t>7148331</t>
  </si>
  <si>
    <t>Add Adhesive to distinguish it from MagSafe wallets; enter cost and group colours.</t>
  </si>
  <si>
    <t>A stick-on phone card holder belongs with phone wallets and grips.</t>
  </si>
  <si>
    <t>7147</t>
  </si>
  <si>
    <t>Silicone Card Holder Green</t>
  </si>
  <si>
    <t>Adhesive Silicone Card Holder - Green</t>
  </si>
  <si>
    <t>7147330</t>
  </si>
  <si>
    <t>7146</t>
  </si>
  <si>
    <t>Silicone Card Holder Yellow</t>
  </si>
  <si>
    <t>Adhesive Silicone Card Holder - Yellow</t>
  </si>
  <si>
    <t>7146329</t>
  </si>
  <si>
    <t>6769</t>
  </si>
  <si>
    <t>Shop Credit</t>
  </si>
  <si>
    <t>676992</t>
  </si>
  <si>
    <t>Handle as store credit/payment logic, not as inventory merchandise.</t>
  </si>
  <si>
    <t>Shop credit is a financial balance, not a physical product.</t>
  </si>
  <si>
    <t>6062</t>
  </si>
  <si>
    <t>RGB Digital Clock</t>
  </si>
  <si>
    <t>Lighting &amp; Clocks</t>
  </si>
  <si>
    <t>606257</t>
  </si>
  <si>
    <t>Verify cost and retail</t>
  </si>
  <si>
    <t>Cost and retail are both $179. Confirm the true cost and whether $179 is the correct sale price.</t>
  </si>
  <si>
    <t>A digital RGB clock belongs with lighting and clocks.</t>
  </si>
  <si>
    <t>6061</t>
  </si>
  <si>
    <t>Music Reactive RGB Light</t>
  </si>
  <si>
    <t>Music-Reactive RGB Light</t>
  </si>
  <si>
    <t>606156</t>
  </si>
  <si>
    <t>Cost and retail are both $79. Confirm the true cost and whether $79 is the correct sale price.</t>
  </si>
  <si>
    <t>This is decorative lighting.</t>
  </si>
  <si>
    <t>6021</t>
  </si>
  <si>
    <t>Special</t>
  </si>
  <si>
    <t>595728</t>
  </si>
  <si>
    <t>Duplicate SKU is irrelevant because product is excluded</t>
  </si>
  <si>
    <t>Use Special Products; do not migrate this placeholder.</t>
  </si>
  <si>
    <t>This is a generic transaction placeholder.</t>
  </si>
  <si>
    <t>5995</t>
  </si>
  <si>
    <t>Stylus Paragon Pen</t>
  </si>
  <si>
    <t>Paragon Stylus Pen</t>
  </si>
  <si>
    <t>597334</t>
  </si>
  <si>
    <t>Standardize word order and enter cost.</t>
  </si>
  <si>
    <t>A general tablet/phone stylus has no more specific current POS category.</t>
  </si>
  <si>
    <t>5957</t>
  </si>
  <si>
    <t>MIS &amp; Other Products</t>
  </si>
  <si>
    <t>Miscellaneous &amp; Other Products</t>
  </si>
  <si>
    <t>Use Special Products; do not migrate this generic placeholder.</t>
  </si>
  <si>
    <t>5934</t>
  </si>
  <si>
    <t>$2 SIM</t>
  </si>
  <si>
    <t>$2 SIM Starter Pack (carrier required)</t>
  </si>
  <si>
    <t>SIM Starter Pack</t>
  </si>
  <si>
    <t>593419</t>
  </si>
  <si>
    <t>Confirm carrier, exact product name, image and whether zero cost is genuine.</t>
  </si>
  <si>
    <t>A carrier SIM can be a sellable product, but the current name is incomplete.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</si>
</sst>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29434D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7333B"/>
      </patternFill>
    </fill>
    <fill>
      <patternFill patternType="solid">
        <fgColor rgb="FF07896F"/>
      </patternFill>
    </fill>
    <fill>
      <patternFill patternType="solid">
        <fgColor rgb="FFE7F7F3"/>
      </patternFill>
    </fill>
    <fill>
      <patternFill patternType="solid">
        <fgColor rgb="FFFFF4D8"/>
      </patternFill>
    </fill>
    <fill>
      <patternFill patternType="solid">
        <fgColor rgb="FFFFFBEA"/>
      </patternFill>
    </fill>
  </fills>
  <borders count="12">
    <border>
      <left/>
      <right/>
      <top/>
      <bottom/>
      <diagonal/>
    </border>
    <border>
      <left style="thin">
        <color rgb="FFC9D8D5"/>
      </left>
      <right/>
      <top style="thin">
        <color rgb="FFC9D8D5"/>
      </top>
      <bottom/>
      <diagonal/>
    </border>
    <border>
      <left/>
      <right style="thin">
        <color rgb="FFC9D8D5"/>
      </right>
      <top style="thin">
        <color rgb="FFC9D8D5"/>
      </top>
      <bottom/>
      <diagonal/>
    </border>
    <border>
      <left style="thin">
        <color rgb="FFC9D8D5"/>
      </left>
      <right/>
      <top/>
      <bottom style="thin">
        <color rgb="FFDCE6E4"/>
      </bottom>
      <diagonal/>
    </border>
    <border>
      <left/>
      <right/>
      <top/>
      <bottom style="thin">
        <color rgb="FFDCE6E4"/>
      </bottom>
      <diagonal/>
    </border>
    <border>
      <left style="thin">
        <color rgb="FFC9D8D5"/>
      </left>
      <right/>
      <top style="thin">
        <color rgb="FFDCE6E4"/>
      </top>
      <bottom style="thin">
        <color rgb="FFDCE6E4"/>
      </bottom>
      <diagonal/>
    </border>
    <border>
      <left/>
      <right/>
      <top style="thin">
        <color rgb="FFDCE6E4"/>
      </top>
      <bottom style="thin">
        <color rgb="FFDCE6E4"/>
      </bottom>
      <diagonal/>
    </border>
    <border>
      <left style="thin">
        <color rgb="FFC9D8D5"/>
      </left>
      <right/>
      <top style="thin">
        <color rgb="FFDCE6E4"/>
      </top>
      <bottom/>
      <diagonal/>
    </border>
    <border>
      <left/>
      <right/>
      <top style="thin">
        <color rgb="FFDCE6E4"/>
      </top>
      <bottom/>
      <diagonal/>
    </border>
    <border>
      <left/>
      <right/>
      <top/>
      <bottom style="thin">
        <color rgb="FFE2E9E8"/>
      </bottom>
      <diagonal/>
    </border>
    <border>
      <left/>
      <right/>
      <top style="thin">
        <color rgb="FFE2E9E8"/>
      </top>
      <bottom style="thin">
        <color rgb="FFE2E9E8"/>
      </bottom>
      <diagonal/>
    </border>
    <border>
      <left/>
      <right/>
      <top style="thin">
        <color rgb="FFE2E9E8"/>
      </top>
      <bottom/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1" fillId="3" borderId="0" xfId="1" applyFont="1" applyFill="1" applyAlignment="1">
      <alignment vertical="center" wrapText="1"/>
    </xf>
    <xf numFmtId="0" fontId="0" fillId="0" borderId="9" xfId="1" applyFont="1" applyBorder="1" applyAlignment="1">
      <alignment vertical="top"/>
    </xf>
    <xf numFmtId="176" fontId="0" fillId="0" borderId="9" xfId="1" applyNumberFormat="1" applyFont="1" applyBorder="1" applyAlignment="1">
      <alignment vertical="top"/>
    </xf>
    <xf numFmtId="176" fontId="0" fillId="5" borderId="9" xfId="1" applyNumberFormat="1" applyFont="1" applyFill="1" applyBorder="1" applyAlignment="1">
      <alignment vertical="top"/>
    </xf>
    <xf numFmtId="0" fontId="0" fillId="0" borderId="10" xfId="1" applyFont="1" applyBorder="1" applyAlignment="1">
      <alignment vertical="top"/>
    </xf>
    <xf numFmtId="176" fontId="0" fillId="0" borderId="10" xfId="1" applyNumberFormat="1" applyFont="1" applyBorder="1" applyAlignment="1">
      <alignment vertical="top"/>
    </xf>
    <xf numFmtId="176" fontId="0" fillId="5" borderId="10" xfId="1" applyNumberFormat="1" applyFont="1" applyFill="1" applyBorder="1" applyAlignment="1">
      <alignment vertical="top"/>
    </xf>
    <xf numFmtId="0" fontId="0" fillId="0" borderId="11" xfId="1" applyFont="1" applyBorder="1" applyAlignment="1">
      <alignment vertical="top"/>
    </xf>
    <xf numFmtId="176" fontId="0" fillId="0" borderId="11" xfId="1" applyNumberFormat="1" applyFont="1" applyBorder="1" applyAlignment="1">
      <alignment vertical="top"/>
    </xf>
    <xf numFmtId="176" fontId="0" fillId="5" borderId="11" xfId="1" applyNumberFormat="1" applyFont="1" applyFill="1" applyBorder="1" applyAlignment="1">
      <alignment vertical="top"/>
    </xf>
    <xf numFmtId="0" fontId="0" fillId="0" borderId="9" xfId="1" applyFont="1" applyBorder="1" applyAlignment="1">
      <alignment vertical="top" wrapText="1"/>
    </xf>
    <xf numFmtId="0" fontId="0" fillId="0" borderId="10" xfId="1" applyFont="1" applyBorder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0" fillId="6" borderId="9" xfId="1" applyFont="1" applyFill="1" applyBorder="1" applyAlignment="1">
      <alignment vertical="top" wrapText="1"/>
    </xf>
    <xf numFmtId="0" fontId="0" fillId="6" borderId="10" xfId="1" applyFont="1" applyFill="1" applyBorder="1" applyAlignment="1">
      <alignment vertical="top" wrapText="1"/>
    </xf>
    <xf numFmtId="0" fontId="0" fillId="6" borderId="11" xfId="1" applyFont="1" applyFill="1" applyBorder="1" applyAlignment="1">
      <alignment vertical="top" wrapText="1"/>
    </xf>
    <xf numFmtId="0" fontId="1" fillId="3" borderId="1" xfId="1" applyFont="1" applyFill="1" applyBorder="1" applyAlignment="1">
      <alignment vertical="top" wrapText="1"/>
    </xf>
    <xf numFmtId="0" fontId="1" fillId="3" borderId="2" xfId="1" applyFont="1" applyFill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1" fillId="2" borderId="0" xfId="1" applyFont="1" applyFill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vertical="center"/>
    </xf>
    <xf numFmtId="0" fontId="1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6">
    <dxf>
      <font>
        <b/>
        <color rgb="FFA32929"/>
      </font>
      <fill>
        <patternFill patternType="solid">
          <bgColor rgb="FFFDE7E7"/>
        </patternFill>
      </fill>
    </dxf>
    <dxf>
      <font>
        <b/>
        <color rgb="FF8A5A00"/>
      </font>
      <fill>
        <patternFill patternType="solid">
          <bgColor rgb="FFFFF1CC"/>
        </patternFill>
      </fill>
    </dxf>
    <dxf>
      <font>
        <b/>
        <color rgb="FF146C43"/>
      </font>
      <fill>
        <patternFill patternType="solid">
          <bgColor rgb="FFE5F5EE"/>
        </patternFill>
      </fill>
    </dxf>
    <dxf>
      <font>
        <b/>
        <color rgb="FFA32929"/>
      </font>
      <fill>
        <patternFill patternType="solid">
          <bgColor rgb="FFFDE7E7"/>
        </patternFill>
      </fill>
    </dxf>
    <dxf>
      <font>
        <b/>
        <color rgb="FF8A5A00"/>
      </font>
      <fill>
        <patternFill patternType="solid">
          <bgColor rgb="FFFFF1CC"/>
        </patternFill>
      </fill>
    </dxf>
    <dxf>
      <font>
        <b/>
        <color rgb="FF146C43"/>
      </font>
      <fill>
        <patternFill patternType="solid">
          <bgColor rgb="FFE5F5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ReviewTable" displayName="ProductReviewTable" ref="A1:X35" totalsRowShown="0">
  <tableColumns count="24">
    <tableColumn id="1" xr3:uid="{00000000-0010-0000-0000-000001000000}" name="Source Row"/>
    <tableColumn id="2" xr3:uid="{00000000-0010-0000-0000-000002000000}" name="Item ID"/>
    <tableColumn id="3" xr3:uid="{00000000-0010-0000-0000-000003000000}" name="Recommendation"/>
    <tableColumn id="4" xr3:uid="{00000000-0010-0000-0000-000004000000}" name="Original Category"/>
    <tableColumn id="5" xr3:uid="{00000000-0010-0000-0000-000005000000}" name="Original Name"/>
    <tableColumn id="6" xr3:uid="{00000000-0010-0000-0000-000006000000}" name="Proposed Name"/>
    <tableColumn id="7" xr3:uid="{00000000-0010-0000-0000-000007000000}" name="POS Main Category"/>
    <tableColumn id="8" xr3:uid="{00000000-0010-0000-0000-000008000000}" name="POS Subcategory"/>
    <tableColumn id="9" xr3:uid="{00000000-0010-0000-0000-000009000000}" name="Product Group"/>
    <tableColumn id="10" xr3:uid="{00000000-0010-0000-0000-00000A000000}" name="Original SKU"/>
    <tableColumn id="11" xr3:uid="{00000000-0010-0000-0000-00000B000000}" name="SKU Action"/>
    <tableColumn id="12" xr3:uid="{00000000-0010-0000-0000-00000C000000}" name="Original Cost"/>
    <tableColumn id="13" xr3:uid="{00000000-0010-0000-0000-00000D000000}" name="Owner Cost"/>
    <tableColumn id="14" xr3:uid="{00000000-0010-0000-0000-00000E000000}" name="Final Cost"/>
    <tableColumn id="15" xr3:uid="{00000000-0010-0000-0000-00000F000000}" name="Original Retail"/>
    <tableColumn id="16" xr3:uid="{00000000-0010-0000-0000-000010000000}" name="Owner Retail"/>
    <tableColumn id="17" xr3:uid="{00000000-0010-0000-0000-000011000000}" name="Final Retail"/>
    <tableColumn id="18" xr3:uid="{00000000-0010-0000-0000-000012000000}" name="Price Status"/>
    <tableColumn id="19" xr3:uid="{00000000-0010-0000-0000-000013000000}" name="Required Modification"/>
    <tableColumn id="20" xr3:uid="{00000000-0010-0000-0000-000014000000}" name="Classification Reason"/>
    <tableColumn id="21" xr3:uid="{00000000-0010-0000-0000-000015000000}" name="Image Check"/>
    <tableColumn id="22" xr3:uid="{00000000-0010-0000-0000-000016000000}" name="Review Status"/>
    <tableColumn id="23" xr3:uid="{00000000-0010-0000-0000-000017000000}" name="Owner Approval"/>
    <tableColumn id="24" xr3:uid="{00000000-0010-0000-0000-000018000000}" name="Own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opLeftCell="A10" workbookViewId="0">
      <selection sqref="A1:H1"/>
    </sheetView>
  </sheetViews>
  <sheetFormatPr defaultRowHeight="14.25"/>
  <cols>
    <col min="1" max="1" width="27" customWidth="1"/>
    <col min="2" max="2" width="18" customWidth="1"/>
    <col min="3" max="3" width="23" customWidth="1"/>
    <col min="4" max="4" width="28" customWidth="1"/>
    <col min="5" max="8" width="18" customWidth="1"/>
  </cols>
  <sheetData>
    <row r="1" spans="1:8" ht="33.950000000000003" customHeight="1">
      <c r="A1" s="30" t="s">
        <v>0</v>
      </c>
      <c r="B1" s="30"/>
      <c r="C1" s="30"/>
      <c r="D1" s="30"/>
      <c r="E1" s="30"/>
      <c r="F1" s="30"/>
      <c r="G1" s="30"/>
      <c r="H1" s="30"/>
    </row>
    <row r="2" spans="1:8" ht="27.95" customHeight="1">
      <c r="A2" s="31" t="s">
        <v>1</v>
      </c>
      <c r="B2" s="31"/>
      <c r="C2" s="31"/>
      <c r="D2" s="31"/>
      <c r="E2" s="31"/>
      <c r="F2" s="31"/>
      <c r="G2" s="31"/>
      <c r="H2" s="31"/>
    </row>
    <row r="4" spans="1:8" ht="26.45" customHeight="1">
      <c r="A4" s="17" t="s">
        <v>2</v>
      </c>
      <c r="B4" s="18" t="s">
        <v>3</v>
      </c>
      <c r="C4" s="19"/>
      <c r="D4" s="32" t="s">
        <v>4</v>
      </c>
      <c r="E4" s="32" t="s">
        <v>5</v>
      </c>
      <c r="F4" s="32"/>
      <c r="G4" s="32"/>
      <c r="H4" s="32"/>
    </row>
    <row r="5" spans="1:8" ht="39.6" customHeight="1">
      <c r="A5" s="20" t="s">
        <v>6</v>
      </c>
      <c r="B5" s="21">
        <f>COUNTA('Product Review'!B2:B35)</f>
        <v>34</v>
      </c>
      <c r="C5" s="19"/>
      <c r="D5" s="21" t="s">
        <v>7</v>
      </c>
      <c r="E5" s="29" t="s">
        <v>8</v>
      </c>
      <c r="F5" s="29"/>
      <c r="G5" s="29"/>
      <c r="H5" s="29"/>
    </row>
    <row r="6" spans="1:8" ht="52.7" customHeight="1">
      <c r="A6" s="22" t="s">
        <v>9</v>
      </c>
      <c r="B6" s="23">
        <f>COUNTIF('Product Review'!C2:C35,"Import")</f>
        <v>23</v>
      </c>
      <c r="C6" s="19"/>
      <c r="D6" s="23" t="s">
        <v>10</v>
      </c>
      <c r="E6" s="27" t="s">
        <v>11</v>
      </c>
      <c r="F6" s="27"/>
      <c r="G6" s="27"/>
      <c r="H6" s="27"/>
    </row>
    <row r="7" spans="1:8" ht="66" customHeight="1">
      <c r="A7" s="22" t="s">
        <v>12</v>
      </c>
      <c r="B7" s="23">
        <f>COUNTIF('Product Review'!C2:C35,"Clarify")</f>
        <v>5</v>
      </c>
      <c r="C7" s="19"/>
      <c r="D7" s="23" t="s">
        <v>13</v>
      </c>
      <c r="E7" s="27" t="s">
        <v>14</v>
      </c>
      <c r="F7" s="27"/>
      <c r="G7" s="27"/>
      <c r="H7" s="27"/>
    </row>
    <row r="8" spans="1:8" ht="39.6" customHeight="1">
      <c r="A8" s="22" t="s">
        <v>15</v>
      </c>
      <c r="B8" s="23">
        <f>COUNTIF('Product Review'!C2:C35,"Exclude")</f>
        <v>6</v>
      </c>
      <c r="C8" s="19"/>
      <c r="D8" s="23" t="s">
        <v>16</v>
      </c>
      <c r="E8" s="27" t="s">
        <v>17</v>
      </c>
      <c r="F8" s="27"/>
      <c r="G8" s="27"/>
      <c r="H8" s="27"/>
    </row>
    <row r="9" spans="1:8" ht="39.6" customHeight="1">
      <c r="A9" s="22" t="s">
        <v>18</v>
      </c>
      <c r="B9" s="23">
        <f>COUNTIF('Product Review'!R2:R35,"Missing cost")</f>
        <v>17</v>
      </c>
      <c r="C9" s="19"/>
      <c r="D9" s="24" t="s">
        <v>19</v>
      </c>
      <c r="E9" s="28" t="s">
        <v>20</v>
      </c>
      <c r="F9" s="28"/>
      <c r="G9" s="28"/>
      <c r="H9" s="28"/>
    </row>
    <row r="10" spans="1:8" ht="66" customHeight="1">
      <c r="A10" s="25" t="s">
        <v>21</v>
      </c>
      <c r="B10" s="24">
        <f>COUNTIF('Product Review'!R2:R35,"Verify cost and retail")</f>
        <v>2</v>
      </c>
      <c r="C10" s="19"/>
      <c r="D10" s="19"/>
      <c r="E10" s="19"/>
      <c r="F10" s="19"/>
      <c r="G10" s="19"/>
      <c r="H10" s="19"/>
    </row>
    <row r="11" spans="1:8" ht="15" customHeight="1">
      <c r="A11" s="19"/>
      <c r="B11" s="19"/>
      <c r="C11" s="19"/>
      <c r="D11" s="19"/>
      <c r="E11" s="19"/>
      <c r="F11" s="19"/>
      <c r="G11" s="19"/>
      <c r="H11" s="19"/>
    </row>
    <row r="12" spans="1:8" ht="15" customHeight="1">
      <c r="A12" s="19"/>
      <c r="B12" s="19"/>
      <c r="C12" s="19"/>
      <c r="D12" s="19"/>
      <c r="E12" s="19"/>
      <c r="F12" s="19"/>
      <c r="G12" s="19"/>
      <c r="H12" s="19"/>
    </row>
    <row r="13" spans="1:8" ht="39.6" customHeight="1">
      <c r="A13" s="26" t="s">
        <v>22</v>
      </c>
      <c r="B13" s="26" t="s">
        <v>23</v>
      </c>
      <c r="C13" s="26" t="s">
        <v>24</v>
      </c>
      <c r="D13" s="26"/>
      <c r="E13" s="26"/>
      <c r="F13" s="26"/>
      <c r="G13" s="26"/>
      <c r="H13" s="26"/>
    </row>
    <row r="14" spans="1:8" ht="79.150000000000006" customHeight="1">
      <c r="A14" s="21" t="s">
        <v>25</v>
      </c>
      <c r="B14" s="21" t="s">
        <v>26</v>
      </c>
      <c r="C14" s="29" t="s">
        <v>27</v>
      </c>
      <c r="D14" s="29"/>
      <c r="E14" s="29"/>
      <c r="F14" s="29"/>
      <c r="G14" s="29"/>
      <c r="H14" s="29"/>
    </row>
    <row r="15" spans="1:8" ht="79.150000000000006" customHeight="1">
      <c r="A15" s="23" t="s">
        <v>28</v>
      </c>
      <c r="B15" s="23" t="s">
        <v>29</v>
      </c>
      <c r="C15" s="27" t="s">
        <v>30</v>
      </c>
      <c r="D15" s="27"/>
      <c r="E15" s="27"/>
      <c r="F15" s="27"/>
      <c r="G15" s="27"/>
      <c r="H15" s="27"/>
    </row>
    <row r="16" spans="1:8" ht="132" customHeight="1">
      <c r="A16" s="23" t="s">
        <v>31</v>
      </c>
      <c r="B16" s="23" t="s">
        <v>32</v>
      </c>
      <c r="C16" s="27" t="s">
        <v>33</v>
      </c>
      <c r="D16" s="27"/>
      <c r="E16" s="27"/>
      <c r="F16" s="27"/>
      <c r="G16" s="27"/>
      <c r="H16" s="27"/>
    </row>
    <row r="17" spans="1:8" ht="105.6" customHeight="1">
      <c r="A17" s="23" t="s">
        <v>34</v>
      </c>
      <c r="B17" s="23" t="s">
        <v>35</v>
      </c>
      <c r="C17" s="27" t="s">
        <v>36</v>
      </c>
      <c r="D17" s="27"/>
      <c r="E17" s="27"/>
      <c r="F17" s="27"/>
      <c r="G17" s="27"/>
      <c r="H17" s="27"/>
    </row>
    <row r="18" spans="1:8" ht="145.15" customHeight="1">
      <c r="A18" s="24" t="s">
        <v>37</v>
      </c>
      <c r="B18" s="24" t="s">
        <v>38</v>
      </c>
      <c r="C18" s="28" t="s">
        <v>39</v>
      </c>
      <c r="D18" s="28"/>
      <c r="E18" s="28"/>
      <c r="F18" s="28"/>
      <c r="G18" s="28"/>
      <c r="H18" s="28"/>
    </row>
  </sheetData>
  <mergeCells count="13">
    <mergeCell ref="A1:H1"/>
    <mergeCell ref="A2:H2"/>
    <mergeCell ref="D4:H4"/>
    <mergeCell ref="E5:H5"/>
    <mergeCell ref="E6:H6"/>
    <mergeCell ref="C16:H16"/>
    <mergeCell ref="C17:H17"/>
    <mergeCell ref="C18:H18"/>
    <mergeCell ref="E7:H7"/>
    <mergeCell ref="E8:H8"/>
    <mergeCell ref="E9:H9"/>
    <mergeCell ref="C14:H14"/>
    <mergeCell ref="C15:H1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showGridLines="0" tabSelected="1" topLeftCell="A8" workbookViewId="0">
      <selection activeCell="M35" sqref="M35"/>
    </sheetView>
  </sheetViews>
  <sheetFormatPr defaultRowHeight="14.25"/>
  <cols>
    <col min="1" max="1" width="10" customWidth="1"/>
    <col min="2" max="2" width="12" customWidth="1"/>
    <col min="3" max="3" width="14" customWidth="1"/>
    <col min="4" max="4" width="28" customWidth="1"/>
    <col min="5" max="5" width="34" customWidth="1"/>
    <col min="6" max="6" width="24" customWidth="1"/>
    <col min="7" max="7" width="22" customWidth="1"/>
    <col min="8" max="8" width="30" customWidth="1"/>
    <col min="9" max="9" width="28" customWidth="1"/>
    <col min="10" max="10" width="16" customWidth="1"/>
    <col min="11" max="11" width="28" customWidth="1"/>
    <col min="12" max="17" width="13" customWidth="1"/>
    <col min="18" max="18" width="22" customWidth="1"/>
    <col min="19" max="19" width="52" customWidth="1"/>
    <col min="20" max="20" width="48" customWidth="1"/>
    <col min="21" max="21" width="42" customWidth="1"/>
    <col min="22" max="23" width="14" customWidth="1"/>
    <col min="24" max="24" width="36" customWidth="1"/>
  </cols>
  <sheetData>
    <row r="1" spans="1:24" ht="42" customHeigh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</row>
    <row r="2" spans="1:24" ht="26.45" customHeight="1">
      <c r="A2" s="2">
        <v>3</v>
      </c>
      <c r="B2" s="2" t="s">
        <v>64</v>
      </c>
      <c r="C2" s="11" t="s">
        <v>65</v>
      </c>
      <c r="D2" s="11" t="s">
        <v>66</v>
      </c>
      <c r="E2" s="11" t="s">
        <v>67</v>
      </c>
      <c r="F2" s="11" t="s">
        <v>68</v>
      </c>
      <c r="G2" s="11" t="s">
        <v>69</v>
      </c>
      <c r="H2" s="11" t="s">
        <v>70</v>
      </c>
      <c r="I2" s="11" t="s">
        <v>71</v>
      </c>
      <c r="J2" s="11" t="s">
        <v>72</v>
      </c>
      <c r="K2" s="11" t="s">
        <v>73</v>
      </c>
      <c r="L2" s="3">
        <v>3</v>
      </c>
      <c r="M2" s="4"/>
      <c r="N2" s="3">
        <f t="shared" ref="N2:N35" si="0">IF(M2&lt;&gt;"",M2,L2)</f>
        <v>3</v>
      </c>
      <c r="O2" s="3">
        <v>35</v>
      </c>
      <c r="P2" s="4"/>
      <c r="Q2" s="3">
        <f t="shared" ref="Q2:Q35" si="1">IF(P2&lt;&gt;"",P2,O2)</f>
        <v>35</v>
      </c>
      <c r="R2" s="11" t="s">
        <v>74</v>
      </c>
      <c r="S2" s="11" t="s">
        <v>75</v>
      </c>
      <c r="T2" s="11" t="s">
        <v>76</v>
      </c>
      <c r="U2" s="11" t="s">
        <v>77</v>
      </c>
      <c r="V2" s="11" t="str">
        <f t="shared" ref="V2:V35" si="2">IF(C2="Exclude","EXCLUDE",IF(OR(C2="Clarify",N2&lt;=0,Q2&lt;=0,R2="Verify cost and retail"),"REVIEW","READY"))</f>
        <v>READY</v>
      </c>
      <c r="W2" s="14" t="s">
        <v>78</v>
      </c>
      <c r="X2" s="14"/>
    </row>
    <row r="3" spans="1:24" ht="26.45" customHeight="1">
      <c r="A3" s="5">
        <v>4</v>
      </c>
      <c r="B3" s="5" t="s">
        <v>79</v>
      </c>
      <c r="C3" s="12" t="s">
        <v>65</v>
      </c>
      <c r="D3" s="12" t="s">
        <v>80</v>
      </c>
      <c r="E3" s="12" t="s">
        <v>81</v>
      </c>
      <c r="F3" s="12" t="s">
        <v>82</v>
      </c>
      <c r="G3" s="12" t="s">
        <v>69</v>
      </c>
      <c r="H3" s="12" t="s">
        <v>70</v>
      </c>
      <c r="I3" s="12" t="s">
        <v>83</v>
      </c>
      <c r="J3" s="12" t="s">
        <v>84</v>
      </c>
      <c r="K3" s="12" t="s">
        <v>73</v>
      </c>
      <c r="L3" s="6">
        <v>2</v>
      </c>
      <c r="M3" s="7"/>
      <c r="N3" s="6">
        <f t="shared" si="0"/>
        <v>2</v>
      </c>
      <c r="O3" s="6">
        <v>29</v>
      </c>
      <c r="P3" s="7"/>
      <c r="Q3" s="6">
        <f t="shared" si="1"/>
        <v>29</v>
      </c>
      <c r="R3" s="12" t="s">
        <v>74</v>
      </c>
      <c r="S3" s="12" t="s">
        <v>85</v>
      </c>
      <c r="T3" s="12" t="s">
        <v>86</v>
      </c>
      <c r="U3" s="12" t="s">
        <v>77</v>
      </c>
      <c r="V3" s="12" t="str">
        <f t="shared" si="2"/>
        <v>READY</v>
      </c>
      <c r="W3" s="15" t="s">
        <v>78</v>
      </c>
      <c r="X3" s="15"/>
    </row>
    <row r="4" spans="1:24" ht="26.45" customHeight="1">
      <c r="A4" s="5">
        <v>5</v>
      </c>
      <c r="B4" s="5" t="s">
        <v>87</v>
      </c>
      <c r="C4" s="12" t="s">
        <v>65</v>
      </c>
      <c r="D4" s="12" t="s">
        <v>80</v>
      </c>
      <c r="E4" s="12" t="s">
        <v>88</v>
      </c>
      <c r="F4" s="12" t="s">
        <v>89</v>
      </c>
      <c r="G4" s="12" t="s">
        <v>69</v>
      </c>
      <c r="H4" s="12" t="s">
        <v>70</v>
      </c>
      <c r="I4" s="12" t="s">
        <v>83</v>
      </c>
      <c r="J4" s="12" t="s">
        <v>90</v>
      </c>
      <c r="K4" s="12" t="s">
        <v>73</v>
      </c>
      <c r="L4" s="6">
        <v>2</v>
      </c>
      <c r="M4" s="7"/>
      <c r="N4" s="6">
        <f t="shared" si="0"/>
        <v>2</v>
      </c>
      <c r="O4" s="6">
        <v>29</v>
      </c>
      <c r="P4" s="7"/>
      <c r="Q4" s="6">
        <f t="shared" si="1"/>
        <v>29</v>
      </c>
      <c r="R4" s="12" t="s">
        <v>74</v>
      </c>
      <c r="S4" s="12" t="s">
        <v>85</v>
      </c>
      <c r="T4" s="12" t="s">
        <v>86</v>
      </c>
      <c r="U4" s="12" t="s">
        <v>77</v>
      </c>
      <c r="V4" s="12" t="str">
        <f t="shared" si="2"/>
        <v>READY</v>
      </c>
      <c r="W4" s="15" t="s">
        <v>78</v>
      </c>
      <c r="X4" s="15"/>
    </row>
    <row r="5" spans="1:24" ht="26.45" customHeight="1">
      <c r="A5" s="5">
        <v>6</v>
      </c>
      <c r="B5" s="5" t="s">
        <v>91</v>
      </c>
      <c r="C5" s="12" t="s">
        <v>65</v>
      </c>
      <c r="D5" s="12" t="s">
        <v>80</v>
      </c>
      <c r="E5" s="12" t="s">
        <v>92</v>
      </c>
      <c r="F5" s="12" t="s">
        <v>93</v>
      </c>
      <c r="G5" s="12" t="s">
        <v>69</v>
      </c>
      <c r="H5" s="12" t="s">
        <v>70</v>
      </c>
      <c r="I5" s="12" t="s">
        <v>83</v>
      </c>
      <c r="J5" s="12" t="s">
        <v>94</v>
      </c>
      <c r="K5" s="12" t="s">
        <v>73</v>
      </c>
      <c r="L5" s="6">
        <v>2</v>
      </c>
      <c r="M5" s="7"/>
      <c r="N5" s="6">
        <f t="shared" si="0"/>
        <v>2</v>
      </c>
      <c r="O5" s="6">
        <v>29</v>
      </c>
      <c r="P5" s="7"/>
      <c r="Q5" s="6">
        <f t="shared" si="1"/>
        <v>29</v>
      </c>
      <c r="R5" s="12" t="s">
        <v>74</v>
      </c>
      <c r="S5" s="12" t="s">
        <v>85</v>
      </c>
      <c r="T5" s="12" t="s">
        <v>86</v>
      </c>
      <c r="U5" s="12" t="s">
        <v>77</v>
      </c>
      <c r="V5" s="12" t="str">
        <f t="shared" si="2"/>
        <v>READY</v>
      </c>
      <c r="W5" s="15" t="s">
        <v>78</v>
      </c>
      <c r="X5" s="15"/>
    </row>
    <row r="6" spans="1:24" ht="26.45" customHeight="1">
      <c r="A6" s="5">
        <v>7</v>
      </c>
      <c r="B6" s="5" t="s">
        <v>95</v>
      </c>
      <c r="C6" s="12" t="s">
        <v>65</v>
      </c>
      <c r="D6" s="12" t="s">
        <v>80</v>
      </c>
      <c r="E6" s="12" t="s">
        <v>96</v>
      </c>
      <c r="F6" s="12" t="s">
        <v>97</v>
      </c>
      <c r="G6" s="12" t="s">
        <v>69</v>
      </c>
      <c r="H6" s="12" t="s">
        <v>70</v>
      </c>
      <c r="I6" s="12" t="s">
        <v>83</v>
      </c>
      <c r="J6" s="12" t="s">
        <v>98</v>
      </c>
      <c r="K6" s="12" t="s">
        <v>73</v>
      </c>
      <c r="L6" s="6">
        <v>2</v>
      </c>
      <c r="M6" s="7"/>
      <c r="N6" s="6">
        <f t="shared" si="0"/>
        <v>2</v>
      </c>
      <c r="O6" s="6">
        <v>29</v>
      </c>
      <c r="P6" s="7"/>
      <c r="Q6" s="6">
        <f t="shared" si="1"/>
        <v>29</v>
      </c>
      <c r="R6" s="12" t="s">
        <v>74</v>
      </c>
      <c r="S6" s="12" t="s">
        <v>85</v>
      </c>
      <c r="T6" s="12" t="s">
        <v>86</v>
      </c>
      <c r="U6" s="12" t="s">
        <v>77</v>
      </c>
      <c r="V6" s="12" t="str">
        <f t="shared" si="2"/>
        <v>READY</v>
      </c>
      <c r="W6" s="15" t="s">
        <v>78</v>
      </c>
      <c r="X6" s="15"/>
    </row>
    <row r="7" spans="1:24" ht="26.45" customHeight="1">
      <c r="A7" s="5">
        <v>8</v>
      </c>
      <c r="B7" s="5" t="s">
        <v>99</v>
      </c>
      <c r="C7" s="12" t="s">
        <v>65</v>
      </c>
      <c r="D7" s="12" t="s">
        <v>66</v>
      </c>
      <c r="E7" s="12" t="s">
        <v>100</v>
      </c>
      <c r="F7" s="12" t="s">
        <v>101</v>
      </c>
      <c r="G7" s="12" t="s">
        <v>69</v>
      </c>
      <c r="H7" s="12" t="s">
        <v>70</v>
      </c>
      <c r="I7" s="12" t="s">
        <v>102</v>
      </c>
      <c r="J7" s="12" t="s">
        <v>103</v>
      </c>
      <c r="K7" s="12" t="s">
        <v>73</v>
      </c>
      <c r="L7" s="6">
        <v>3</v>
      </c>
      <c r="M7" s="7"/>
      <c r="N7" s="6">
        <f t="shared" si="0"/>
        <v>3</v>
      </c>
      <c r="O7" s="6">
        <v>35</v>
      </c>
      <c r="P7" s="7"/>
      <c r="Q7" s="6">
        <f t="shared" si="1"/>
        <v>35</v>
      </c>
      <c r="R7" s="12" t="s">
        <v>74</v>
      </c>
      <c r="S7" s="12" t="s">
        <v>104</v>
      </c>
      <c r="T7" s="12" t="s">
        <v>105</v>
      </c>
      <c r="U7" s="12" t="s">
        <v>77</v>
      </c>
      <c r="V7" s="12" t="str">
        <f t="shared" si="2"/>
        <v>READY</v>
      </c>
      <c r="W7" s="15" t="s">
        <v>78</v>
      </c>
      <c r="X7" s="15"/>
    </row>
    <row r="8" spans="1:24" ht="26.45" customHeight="1">
      <c r="A8" s="5">
        <v>9</v>
      </c>
      <c r="B8" s="5" t="s">
        <v>106</v>
      </c>
      <c r="C8" s="12" t="s">
        <v>65</v>
      </c>
      <c r="D8" s="12" t="s">
        <v>66</v>
      </c>
      <c r="E8" s="12" t="s">
        <v>107</v>
      </c>
      <c r="F8" s="12" t="s">
        <v>108</v>
      </c>
      <c r="G8" s="12" t="s">
        <v>69</v>
      </c>
      <c r="H8" s="12" t="s">
        <v>70</v>
      </c>
      <c r="I8" s="12" t="s">
        <v>102</v>
      </c>
      <c r="J8" s="12" t="s">
        <v>109</v>
      </c>
      <c r="K8" s="12" t="s">
        <v>73</v>
      </c>
      <c r="L8" s="6">
        <v>3</v>
      </c>
      <c r="M8" s="7"/>
      <c r="N8" s="6">
        <f t="shared" si="0"/>
        <v>3</v>
      </c>
      <c r="O8" s="6">
        <v>35</v>
      </c>
      <c r="P8" s="7"/>
      <c r="Q8" s="6">
        <f t="shared" si="1"/>
        <v>35</v>
      </c>
      <c r="R8" s="12" t="s">
        <v>74</v>
      </c>
      <c r="S8" s="12" t="s">
        <v>104</v>
      </c>
      <c r="T8" s="12" t="s">
        <v>105</v>
      </c>
      <c r="U8" s="12" t="s">
        <v>77</v>
      </c>
      <c r="V8" s="12" t="str">
        <f t="shared" si="2"/>
        <v>READY</v>
      </c>
      <c r="W8" s="15" t="s">
        <v>78</v>
      </c>
      <c r="X8" s="15"/>
    </row>
    <row r="9" spans="1:24" ht="26.45" customHeight="1">
      <c r="A9" s="5">
        <v>10</v>
      </c>
      <c r="B9" s="5" t="s">
        <v>110</v>
      </c>
      <c r="C9" s="12" t="s">
        <v>65</v>
      </c>
      <c r="D9" s="12" t="s">
        <v>66</v>
      </c>
      <c r="E9" s="12" t="s">
        <v>111</v>
      </c>
      <c r="F9" s="12" t="s">
        <v>112</v>
      </c>
      <c r="G9" s="12" t="s">
        <v>69</v>
      </c>
      <c r="H9" s="12" t="s">
        <v>70</v>
      </c>
      <c r="I9" s="12" t="s">
        <v>102</v>
      </c>
      <c r="J9" s="12" t="s">
        <v>113</v>
      </c>
      <c r="K9" s="12" t="s">
        <v>73</v>
      </c>
      <c r="L9" s="6">
        <v>3</v>
      </c>
      <c r="M9" s="7"/>
      <c r="N9" s="6">
        <f t="shared" si="0"/>
        <v>3</v>
      </c>
      <c r="O9" s="6">
        <v>35</v>
      </c>
      <c r="P9" s="7"/>
      <c r="Q9" s="6">
        <f t="shared" si="1"/>
        <v>35</v>
      </c>
      <c r="R9" s="12" t="s">
        <v>74</v>
      </c>
      <c r="S9" s="12" t="s">
        <v>114</v>
      </c>
      <c r="T9" s="12" t="s">
        <v>105</v>
      </c>
      <c r="U9" s="12" t="s">
        <v>77</v>
      </c>
      <c r="V9" s="12" t="str">
        <f t="shared" si="2"/>
        <v>READY</v>
      </c>
      <c r="W9" s="15" t="s">
        <v>78</v>
      </c>
      <c r="X9" s="15"/>
    </row>
    <row r="10" spans="1:24" ht="26.45" customHeight="1">
      <c r="A10" s="5">
        <v>11</v>
      </c>
      <c r="B10" s="5" t="s">
        <v>115</v>
      </c>
      <c r="C10" s="12" t="s">
        <v>65</v>
      </c>
      <c r="D10" s="12" t="s">
        <v>116</v>
      </c>
      <c r="E10" s="12" t="s">
        <v>117</v>
      </c>
      <c r="F10" s="12" t="s">
        <v>118</v>
      </c>
      <c r="G10" s="12" t="s">
        <v>119</v>
      </c>
      <c r="H10" s="12" t="s">
        <v>120</v>
      </c>
      <c r="I10" s="12" t="s">
        <v>118</v>
      </c>
      <c r="J10" s="12" t="s">
        <v>121</v>
      </c>
      <c r="K10" s="12" t="s">
        <v>122</v>
      </c>
      <c r="L10" s="6">
        <v>0</v>
      </c>
      <c r="M10" s="7">
        <v>5</v>
      </c>
      <c r="N10" s="6">
        <f t="shared" si="0"/>
        <v>5</v>
      </c>
      <c r="O10" s="6">
        <v>32.99</v>
      </c>
      <c r="P10" s="7"/>
      <c r="Q10" s="6">
        <f t="shared" si="1"/>
        <v>32.99</v>
      </c>
      <c r="R10" s="12" t="s">
        <v>18</v>
      </c>
      <c r="S10" s="12" t="s">
        <v>123</v>
      </c>
      <c r="T10" s="12" t="s">
        <v>124</v>
      </c>
      <c r="U10" s="12" t="s">
        <v>77</v>
      </c>
      <c r="V10" s="12" t="str">
        <f t="shared" si="2"/>
        <v>READY</v>
      </c>
      <c r="W10" s="15" t="s">
        <v>78</v>
      </c>
      <c r="X10" s="15"/>
    </row>
    <row r="11" spans="1:24" ht="39.6" customHeight="1">
      <c r="A11" s="5">
        <v>12</v>
      </c>
      <c r="B11" s="5" t="s">
        <v>125</v>
      </c>
      <c r="C11" s="12" t="s">
        <v>126</v>
      </c>
      <c r="D11" s="12" t="s">
        <v>116</v>
      </c>
      <c r="E11" s="12" t="s">
        <v>127</v>
      </c>
      <c r="F11" s="12" t="s">
        <v>128</v>
      </c>
      <c r="G11" s="12"/>
      <c r="H11" s="12"/>
      <c r="I11" s="12" t="s">
        <v>129</v>
      </c>
      <c r="J11" s="12" t="s">
        <v>121</v>
      </c>
      <c r="K11" s="12" t="s">
        <v>122</v>
      </c>
      <c r="L11" s="6">
        <v>10</v>
      </c>
      <c r="M11" s="7"/>
      <c r="N11" s="6">
        <f t="shared" si="0"/>
        <v>10</v>
      </c>
      <c r="O11" s="6">
        <v>32.99</v>
      </c>
      <c r="P11" s="7"/>
      <c r="Q11" s="6">
        <f t="shared" si="1"/>
        <v>32.99</v>
      </c>
      <c r="R11" s="12" t="s">
        <v>74</v>
      </c>
      <c r="S11" s="12" t="s">
        <v>130</v>
      </c>
      <c r="T11" s="12" t="s">
        <v>131</v>
      </c>
      <c r="U11" s="12" t="s">
        <v>77</v>
      </c>
      <c r="V11" s="12" t="str">
        <f t="shared" si="2"/>
        <v>REVIEW</v>
      </c>
      <c r="W11" s="15" t="s">
        <v>78</v>
      </c>
      <c r="X11" s="15"/>
    </row>
    <row r="12" spans="1:24" ht="26.45" customHeight="1">
      <c r="A12" s="5">
        <v>13</v>
      </c>
      <c r="B12" s="5" t="s">
        <v>132</v>
      </c>
      <c r="C12" s="12" t="s">
        <v>126</v>
      </c>
      <c r="D12" s="12" t="s">
        <v>133</v>
      </c>
      <c r="E12" s="12" t="s">
        <v>134</v>
      </c>
      <c r="F12" s="12" t="s">
        <v>134</v>
      </c>
      <c r="G12" s="12" t="s">
        <v>69</v>
      </c>
      <c r="H12" s="12" t="s">
        <v>70</v>
      </c>
      <c r="I12" s="12" t="s">
        <v>135</v>
      </c>
      <c r="J12" s="12" t="s">
        <v>136</v>
      </c>
      <c r="K12" s="12" t="s">
        <v>73</v>
      </c>
      <c r="L12" s="6">
        <v>0</v>
      </c>
      <c r="M12" s="7">
        <v>1</v>
      </c>
      <c r="N12" s="6">
        <f t="shared" si="0"/>
        <v>1</v>
      </c>
      <c r="O12" s="6">
        <v>15</v>
      </c>
      <c r="P12" s="7"/>
      <c r="Q12" s="6">
        <f t="shared" si="1"/>
        <v>15</v>
      </c>
      <c r="R12" s="12" t="s">
        <v>18</v>
      </c>
      <c r="S12" s="12" t="s">
        <v>137</v>
      </c>
      <c r="T12" s="12" t="s">
        <v>138</v>
      </c>
      <c r="U12" s="12" t="s">
        <v>77</v>
      </c>
      <c r="V12" s="12" t="str">
        <f t="shared" si="2"/>
        <v>REVIEW</v>
      </c>
      <c r="W12" s="15" t="s">
        <v>78</v>
      </c>
      <c r="X12" s="15"/>
    </row>
    <row r="13" spans="1:24" ht="26.45" customHeight="1">
      <c r="A13" s="5">
        <v>14</v>
      </c>
      <c r="B13" s="5" t="s">
        <v>139</v>
      </c>
      <c r="C13" s="12" t="s">
        <v>140</v>
      </c>
      <c r="D13" s="12" t="s">
        <v>133</v>
      </c>
      <c r="E13" s="12" t="s">
        <v>141</v>
      </c>
      <c r="F13" s="12" t="s">
        <v>142</v>
      </c>
      <c r="G13" s="12"/>
      <c r="H13" s="12"/>
      <c r="I13" s="12"/>
      <c r="J13" s="12" t="s">
        <v>143</v>
      </c>
      <c r="K13" s="12" t="s">
        <v>144</v>
      </c>
      <c r="L13" s="6">
        <v>0</v>
      </c>
      <c r="M13" s="7">
        <v>1</v>
      </c>
      <c r="N13" s="6">
        <f t="shared" si="0"/>
        <v>1</v>
      </c>
      <c r="O13" s="6">
        <v>0</v>
      </c>
      <c r="P13" s="7"/>
      <c r="Q13" s="6">
        <f t="shared" si="1"/>
        <v>0</v>
      </c>
      <c r="R13" s="12" t="s">
        <v>145</v>
      </c>
      <c r="S13" s="12" t="s">
        <v>146</v>
      </c>
      <c r="T13" s="12" t="s">
        <v>147</v>
      </c>
      <c r="U13" s="12" t="s">
        <v>148</v>
      </c>
      <c r="V13" s="12" t="str">
        <f t="shared" si="2"/>
        <v>EXCLUDE</v>
      </c>
      <c r="W13" s="15" t="s">
        <v>78</v>
      </c>
      <c r="X13" s="15"/>
    </row>
    <row r="14" spans="1:24" ht="26.45" customHeight="1">
      <c r="A14" s="5">
        <v>15</v>
      </c>
      <c r="B14" s="5" t="s">
        <v>149</v>
      </c>
      <c r="C14" s="12" t="s">
        <v>140</v>
      </c>
      <c r="D14" s="12" t="s">
        <v>133</v>
      </c>
      <c r="E14" s="12" t="s">
        <v>150</v>
      </c>
      <c r="F14" s="12" t="s">
        <v>151</v>
      </c>
      <c r="G14" s="12"/>
      <c r="H14" s="12"/>
      <c r="I14" s="12"/>
      <c r="J14" s="12" t="s">
        <v>152</v>
      </c>
      <c r="K14" s="12" t="s">
        <v>144</v>
      </c>
      <c r="L14" s="6">
        <v>0</v>
      </c>
      <c r="M14" s="7">
        <v>1</v>
      </c>
      <c r="N14" s="6">
        <f t="shared" si="0"/>
        <v>1</v>
      </c>
      <c r="O14" s="6">
        <v>0</v>
      </c>
      <c r="P14" s="7"/>
      <c r="Q14" s="6">
        <f t="shared" si="1"/>
        <v>0</v>
      </c>
      <c r="R14" s="12" t="s">
        <v>145</v>
      </c>
      <c r="S14" s="12" t="s">
        <v>146</v>
      </c>
      <c r="T14" s="12" t="s">
        <v>147</v>
      </c>
      <c r="U14" s="12" t="s">
        <v>148</v>
      </c>
      <c r="V14" s="12" t="str">
        <f t="shared" si="2"/>
        <v>EXCLUDE</v>
      </c>
      <c r="W14" s="15" t="s">
        <v>78</v>
      </c>
      <c r="X14" s="15"/>
    </row>
    <row r="15" spans="1:24" ht="26.45" customHeight="1">
      <c r="A15" s="5">
        <v>16</v>
      </c>
      <c r="B15" s="5" t="s">
        <v>153</v>
      </c>
      <c r="C15" s="12" t="s">
        <v>126</v>
      </c>
      <c r="D15" s="12" t="s">
        <v>154</v>
      </c>
      <c r="E15" s="12" t="s">
        <v>155</v>
      </c>
      <c r="F15" s="12" t="s">
        <v>156</v>
      </c>
      <c r="G15" s="12" t="s">
        <v>119</v>
      </c>
      <c r="H15" s="12" t="s">
        <v>157</v>
      </c>
      <c r="I15" s="12" t="s">
        <v>158</v>
      </c>
      <c r="J15" s="12" t="s">
        <v>159</v>
      </c>
      <c r="K15" s="12" t="s">
        <v>73</v>
      </c>
      <c r="L15" s="6">
        <v>0</v>
      </c>
      <c r="M15" s="7">
        <v>5</v>
      </c>
      <c r="N15" s="6">
        <f t="shared" si="0"/>
        <v>5</v>
      </c>
      <c r="O15" s="6">
        <v>25</v>
      </c>
      <c r="P15" s="7"/>
      <c r="Q15" s="6">
        <f t="shared" si="1"/>
        <v>25</v>
      </c>
      <c r="R15" s="12" t="s">
        <v>18</v>
      </c>
      <c r="S15" s="12" t="s">
        <v>160</v>
      </c>
      <c r="T15" s="12" t="s">
        <v>161</v>
      </c>
      <c r="U15" s="12" t="s">
        <v>77</v>
      </c>
      <c r="V15" s="12" t="str">
        <f t="shared" si="2"/>
        <v>REVIEW</v>
      </c>
      <c r="W15" s="15" t="s">
        <v>78</v>
      </c>
      <c r="X15" s="15"/>
    </row>
    <row r="16" spans="1:24" ht="26.45" customHeight="1">
      <c r="A16" s="5">
        <v>17</v>
      </c>
      <c r="B16" s="5" t="s">
        <v>162</v>
      </c>
      <c r="C16" s="12" t="s">
        <v>140</v>
      </c>
      <c r="D16" s="12" t="s">
        <v>133</v>
      </c>
      <c r="E16" s="12" t="s">
        <v>163</v>
      </c>
      <c r="F16" s="12" t="s">
        <v>163</v>
      </c>
      <c r="G16" s="12"/>
      <c r="H16" s="12"/>
      <c r="I16" s="12"/>
      <c r="J16" s="12" t="s">
        <v>164</v>
      </c>
      <c r="K16" s="12" t="s">
        <v>165</v>
      </c>
      <c r="L16" s="6">
        <v>0</v>
      </c>
      <c r="M16" s="7"/>
      <c r="N16" s="6">
        <f t="shared" si="0"/>
        <v>0</v>
      </c>
      <c r="O16" s="6">
        <v>0</v>
      </c>
      <c r="P16" s="7"/>
      <c r="Q16" s="6">
        <f t="shared" si="1"/>
        <v>0</v>
      </c>
      <c r="R16" s="12" t="s">
        <v>145</v>
      </c>
      <c r="S16" s="12" t="s">
        <v>166</v>
      </c>
      <c r="T16" s="12" t="s">
        <v>167</v>
      </c>
      <c r="U16" s="12" t="s">
        <v>148</v>
      </c>
      <c r="V16" s="12" t="str">
        <f t="shared" si="2"/>
        <v>EXCLUDE</v>
      </c>
      <c r="W16" s="15" t="s">
        <v>78</v>
      </c>
      <c r="X16" s="15"/>
    </row>
    <row r="17" spans="1:24" ht="26.45" customHeight="1">
      <c r="A17" s="5">
        <v>18</v>
      </c>
      <c r="B17" s="5" t="s">
        <v>168</v>
      </c>
      <c r="C17" s="12" t="s">
        <v>65</v>
      </c>
      <c r="D17" s="12" t="s">
        <v>133</v>
      </c>
      <c r="E17" s="12" t="s">
        <v>169</v>
      </c>
      <c r="F17" s="12" t="s">
        <v>170</v>
      </c>
      <c r="G17" s="12" t="s">
        <v>69</v>
      </c>
      <c r="H17" s="12" t="s">
        <v>70</v>
      </c>
      <c r="I17" s="12" t="s">
        <v>135</v>
      </c>
      <c r="J17" s="12" t="s">
        <v>171</v>
      </c>
      <c r="K17" s="12" t="s">
        <v>73</v>
      </c>
      <c r="L17" s="6">
        <v>0</v>
      </c>
      <c r="M17" s="7">
        <v>0.5</v>
      </c>
      <c r="N17" s="6">
        <f t="shared" si="0"/>
        <v>0.5</v>
      </c>
      <c r="O17" s="6">
        <v>1</v>
      </c>
      <c r="P17" s="7"/>
      <c r="Q17" s="6">
        <f t="shared" si="1"/>
        <v>1</v>
      </c>
      <c r="R17" s="12" t="s">
        <v>18</v>
      </c>
      <c r="S17" s="12" t="s">
        <v>172</v>
      </c>
      <c r="T17" s="12" t="s">
        <v>173</v>
      </c>
      <c r="U17" s="12" t="s">
        <v>77</v>
      </c>
      <c r="V17" s="12" t="str">
        <f t="shared" si="2"/>
        <v>READY</v>
      </c>
      <c r="W17" s="15" t="s">
        <v>78</v>
      </c>
      <c r="X17" s="15"/>
    </row>
    <row r="18" spans="1:24" ht="26.45" customHeight="1">
      <c r="A18" s="5">
        <v>19</v>
      </c>
      <c r="B18" s="5" t="s">
        <v>174</v>
      </c>
      <c r="C18" s="12" t="s">
        <v>65</v>
      </c>
      <c r="D18" s="12" t="s">
        <v>133</v>
      </c>
      <c r="E18" s="12" t="s">
        <v>175</v>
      </c>
      <c r="F18" s="12" t="s">
        <v>176</v>
      </c>
      <c r="G18" s="12" t="s">
        <v>69</v>
      </c>
      <c r="H18" s="12" t="s">
        <v>70</v>
      </c>
      <c r="I18" s="12" t="s">
        <v>135</v>
      </c>
      <c r="J18" s="12" t="s">
        <v>177</v>
      </c>
      <c r="K18" s="12" t="s">
        <v>73</v>
      </c>
      <c r="L18" s="6">
        <v>0</v>
      </c>
      <c r="M18" s="7">
        <v>3</v>
      </c>
      <c r="N18" s="6">
        <f t="shared" si="0"/>
        <v>3</v>
      </c>
      <c r="O18" s="6">
        <v>15</v>
      </c>
      <c r="P18" s="7"/>
      <c r="Q18" s="6">
        <f t="shared" si="1"/>
        <v>15</v>
      </c>
      <c r="R18" s="12" t="s">
        <v>18</v>
      </c>
      <c r="S18" s="12" t="s">
        <v>178</v>
      </c>
      <c r="T18" s="12" t="s">
        <v>179</v>
      </c>
      <c r="U18" s="12" t="s">
        <v>77</v>
      </c>
      <c r="V18" s="12" t="str">
        <f t="shared" si="2"/>
        <v>READY</v>
      </c>
      <c r="W18" s="15" t="s">
        <v>78</v>
      </c>
      <c r="X18" s="15"/>
    </row>
    <row r="19" spans="1:24" ht="26.45" customHeight="1">
      <c r="A19" s="5">
        <v>20</v>
      </c>
      <c r="B19" s="5" t="s">
        <v>180</v>
      </c>
      <c r="C19" s="12" t="s">
        <v>65</v>
      </c>
      <c r="D19" s="12" t="s">
        <v>154</v>
      </c>
      <c r="E19" s="12" t="s">
        <v>181</v>
      </c>
      <c r="F19" s="12" t="s">
        <v>182</v>
      </c>
      <c r="G19" s="12" t="s">
        <v>119</v>
      </c>
      <c r="H19" s="12" t="s">
        <v>157</v>
      </c>
      <c r="I19" s="12" t="s">
        <v>182</v>
      </c>
      <c r="J19" s="12" t="s">
        <v>183</v>
      </c>
      <c r="K19" s="12" t="s">
        <v>73</v>
      </c>
      <c r="L19" s="6">
        <v>0</v>
      </c>
      <c r="M19" s="7">
        <v>550</v>
      </c>
      <c r="N19" s="6">
        <f t="shared" si="0"/>
        <v>550</v>
      </c>
      <c r="O19" s="6">
        <v>599</v>
      </c>
      <c r="P19" s="7"/>
      <c r="Q19" s="6">
        <f t="shared" si="1"/>
        <v>599</v>
      </c>
      <c r="R19" s="12" t="s">
        <v>18</v>
      </c>
      <c r="S19" s="12" t="s">
        <v>184</v>
      </c>
      <c r="T19" s="12" t="s">
        <v>185</v>
      </c>
      <c r="U19" s="12" t="s">
        <v>77</v>
      </c>
      <c r="V19" s="12" t="str">
        <f t="shared" si="2"/>
        <v>READY</v>
      </c>
      <c r="W19" s="15" t="s">
        <v>78</v>
      </c>
      <c r="X19" s="15"/>
    </row>
    <row r="20" spans="1:24" ht="26.45" customHeight="1">
      <c r="A20" s="5">
        <v>21</v>
      </c>
      <c r="B20" s="5" t="s">
        <v>186</v>
      </c>
      <c r="C20" s="12" t="s">
        <v>65</v>
      </c>
      <c r="D20" s="12" t="s">
        <v>66</v>
      </c>
      <c r="E20" s="12" t="s">
        <v>187</v>
      </c>
      <c r="F20" s="12" t="s">
        <v>188</v>
      </c>
      <c r="G20" s="12" t="s">
        <v>69</v>
      </c>
      <c r="H20" s="12" t="s">
        <v>70</v>
      </c>
      <c r="I20" s="12" t="s">
        <v>189</v>
      </c>
      <c r="J20" s="12" t="s">
        <v>190</v>
      </c>
      <c r="K20" s="12" t="s">
        <v>73</v>
      </c>
      <c r="L20" s="6">
        <v>0</v>
      </c>
      <c r="M20" s="7">
        <v>10</v>
      </c>
      <c r="N20" s="6">
        <f t="shared" si="0"/>
        <v>10</v>
      </c>
      <c r="O20" s="6">
        <v>39.950000000000003</v>
      </c>
      <c r="P20" s="7"/>
      <c r="Q20" s="6">
        <f t="shared" si="1"/>
        <v>39.950000000000003</v>
      </c>
      <c r="R20" s="12" t="s">
        <v>18</v>
      </c>
      <c r="S20" s="12" t="s">
        <v>191</v>
      </c>
      <c r="T20" s="12" t="s">
        <v>192</v>
      </c>
      <c r="U20" s="12" t="s">
        <v>77</v>
      </c>
      <c r="V20" s="12" t="str">
        <f t="shared" si="2"/>
        <v>READY</v>
      </c>
      <c r="W20" s="15" t="s">
        <v>78</v>
      </c>
      <c r="X20" s="15"/>
    </row>
    <row r="21" spans="1:24" ht="26.45" customHeight="1">
      <c r="A21" s="5">
        <v>22</v>
      </c>
      <c r="B21" s="5" t="s">
        <v>193</v>
      </c>
      <c r="C21" s="12" t="s">
        <v>65</v>
      </c>
      <c r="D21" s="12" t="s">
        <v>66</v>
      </c>
      <c r="E21" s="12" t="s">
        <v>194</v>
      </c>
      <c r="F21" s="12" t="s">
        <v>195</v>
      </c>
      <c r="G21" s="12" t="s">
        <v>69</v>
      </c>
      <c r="H21" s="12" t="s">
        <v>70</v>
      </c>
      <c r="I21" s="12" t="s">
        <v>189</v>
      </c>
      <c r="J21" s="12" t="s">
        <v>196</v>
      </c>
      <c r="K21" s="12" t="s">
        <v>73</v>
      </c>
      <c r="L21" s="6">
        <v>0</v>
      </c>
      <c r="M21" s="7">
        <v>10</v>
      </c>
      <c r="N21" s="6">
        <f t="shared" si="0"/>
        <v>10</v>
      </c>
      <c r="O21" s="6">
        <v>39.950000000000003</v>
      </c>
      <c r="P21" s="7"/>
      <c r="Q21" s="6">
        <f t="shared" si="1"/>
        <v>39.950000000000003</v>
      </c>
      <c r="R21" s="12" t="s">
        <v>18</v>
      </c>
      <c r="S21" s="12" t="s">
        <v>191</v>
      </c>
      <c r="T21" s="12" t="s">
        <v>192</v>
      </c>
      <c r="U21" s="12" t="s">
        <v>77</v>
      </c>
      <c r="V21" s="12" t="str">
        <f t="shared" si="2"/>
        <v>READY</v>
      </c>
      <c r="W21" s="15" t="s">
        <v>78</v>
      </c>
      <c r="X21" s="15"/>
    </row>
    <row r="22" spans="1:24" ht="26.45" customHeight="1">
      <c r="A22" s="5">
        <v>23</v>
      </c>
      <c r="B22" s="5" t="s">
        <v>197</v>
      </c>
      <c r="C22" s="12" t="s">
        <v>65</v>
      </c>
      <c r="D22" s="12" t="s">
        <v>66</v>
      </c>
      <c r="E22" s="12" t="s">
        <v>198</v>
      </c>
      <c r="F22" s="12" t="s">
        <v>199</v>
      </c>
      <c r="G22" s="12" t="s">
        <v>69</v>
      </c>
      <c r="H22" s="12" t="s">
        <v>70</v>
      </c>
      <c r="I22" s="12" t="s">
        <v>189</v>
      </c>
      <c r="J22" s="12" t="s">
        <v>200</v>
      </c>
      <c r="K22" s="12" t="s">
        <v>73</v>
      </c>
      <c r="L22" s="6">
        <v>0</v>
      </c>
      <c r="M22" s="7">
        <v>10</v>
      </c>
      <c r="N22" s="6">
        <f t="shared" si="0"/>
        <v>10</v>
      </c>
      <c r="O22" s="6">
        <v>39.950000000000003</v>
      </c>
      <c r="P22" s="7"/>
      <c r="Q22" s="6">
        <f t="shared" si="1"/>
        <v>39.950000000000003</v>
      </c>
      <c r="R22" s="12" t="s">
        <v>18</v>
      </c>
      <c r="S22" s="12" t="s">
        <v>191</v>
      </c>
      <c r="T22" s="12" t="s">
        <v>192</v>
      </c>
      <c r="U22" s="12" t="s">
        <v>77</v>
      </c>
      <c r="V22" s="12" t="str">
        <f t="shared" si="2"/>
        <v>READY</v>
      </c>
      <c r="W22" s="15" t="s">
        <v>78</v>
      </c>
      <c r="X22" s="15"/>
    </row>
    <row r="23" spans="1:24" ht="26.45" customHeight="1">
      <c r="A23" s="5">
        <v>24</v>
      </c>
      <c r="B23" s="5" t="s">
        <v>201</v>
      </c>
      <c r="C23" s="12" t="s">
        <v>65</v>
      </c>
      <c r="D23" s="12" t="s">
        <v>66</v>
      </c>
      <c r="E23" s="12" t="s">
        <v>202</v>
      </c>
      <c r="F23" s="12" t="s">
        <v>203</v>
      </c>
      <c r="G23" s="12" t="s">
        <v>69</v>
      </c>
      <c r="H23" s="12" t="s">
        <v>70</v>
      </c>
      <c r="I23" s="12" t="s">
        <v>189</v>
      </c>
      <c r="J23" s="12" t="s">
        <v>204</v>
      </c>
      <c r="K23" s="12" t="s">
        <v>73</v>
      </c>
      <c r="L23" s="6">
        <v>0</v>
      </c>
      <c r="M23" s="7">
        <v>10</v>
      </c>
      <c r="N23" s="6">
        <f t="shared" si="0"/>
        <v>10</v>
      </c>
      <c r="O23" s="6">
        <v>39.950000000000003</v>
      </c>
      <c r="P23" s="7"/>
      <c r="Q23" s="6">
        <f t="shared" si="1"/>
        <v>39.950000000000003</v>
      </c>
      <c r="R23" s="12" t="s">
        <v>18</v>
      </c>
      <c r="S23" s="12" t="s">
        <v>191</v>
      </c>
      <c r="T23" s="12" t="s">
        <v>192</v>
      </c>
      <c r="U23" s="12" t="s">
        <v>77</v>
      </c>
      <c r="V23" s="12" t="str">
        <f t="shared" si="2"/>
        <v>READY</v>
      </c>
      <c r="W23" s="15" t="s">
        <v>78</v>
      </c>
      <c r="X23" s="15"/>
    </row>
    <row r="24" spans="1:24" ht="26.45" customHeight="1">
      <c r="A24" s="5">
        <v>25</v>
      </c>
      <c r="B24" s="5" t="s">
        <v>205</v>
      </c>
      <c r="C24" s="12" t="s">
        <v>65</v>
      </c>
      <c r="D24" s="12" t="s">
        <v>66</v>
      </c>
      <c r="E24" s="12" t="s">
        <v>206</v>
      </c>
      <c r="F24" s="12" t="s">
        <v>207</v>
      </c>
      <c r="G24" s="12" t="s">
        <v>69</v>
      </c>
      <c r="H24" s="12" t="s">
        <v>70</v>
      </c>
      <c r="I24" s="12" t="s">
        <v>189</v>
      </c>
      <c r="J24" s="12" t="s">
        <v>208</v>
      </c>
      <c r="K24" s="12" t="s">
        <v>73</v>
      </c>
      <c r="L24" s="6">
        <v>0</v>
      </c>
      <c r="M24" s="7">
        <v>10</v>
      </c>
      <c r="N24" s="6">
        <f t="shared" si="0"/>
        <v>10</v>
      </c>
      <c r="O24" s="6">
        <v>39.950000000000003</v>
      </c>
      <c r="P24" s="7"/>
      <c r="Q24" s="6">
        <f t="shared" si="1"/>
        <v>39.950000000000003</v>
      </c>
      <c r="R24" s="12" t="s">
        <v>18</v>
      </c>
      <c r="S24" s="12" t="s">
        <v>191</v>
      </c>
      <c r="T24" s="12" t="s">
        <v>192</v>
      </c>
      <c r="U24" s="12" t="s">
        <v>77</v>
      </c>
      <c r="V24" s="12" t="str">
        <f t="shared" si="2"/>
        <v>READY</v>
      </c>
      <c r="W24" s="15" t="s">
        <v>78</v>
      </c>
      <c r="X24" s="15"/>
    </row>
    <row r="25" spans="1:24" ht="26.45" customHeight="1">
      <c r="A25" s="5">
        <v>26</v>
      </c>
      <c r="B25" s="5" t="s">
        <v>209</v>
      </c>
      <c r="C25" s="12" t="s">
        <v>126</v>
      </c>
      <c r="D25" s="12" t="s">
        <v>133</v>
      </c>
      <c r="E25" s="12" t="s">
        <v>210</v>
      </c>
      <c r="F25" s="12" t="s">
        <v>211</v>
      </c>
      <c r="G25" s="12" t="s">
        <v>119</v>
      </c>
      <c r="H25" s="12" t="s">
        <v>119</v>
      </c>
      <c r="I25" s="12" t="s">
        <v>212</v>
      </c>
      <c r="J25" s="12" t="s">
        <v>213</v>
      </c>
      <c r="K25" s="12" t="s">
        <v>73</v>
      </c>
      <c r="L25" s="6">
        <v>0</v>
      </c>
      <c r="M25" s="7">
        <v>2</v>
      </c>
      <c r="N25" s="6">
        <f t="shared" si="0"/>
        <v>2</v>
      </c>
      <c r="O25" s="6">
        <v>5</v>
      </c>
      <c r="P25" s="7"/>
      <c r="Q25" s="6">
        <f t="shared" si="1"/>
        <v>5</v>
      </c>
      <c r="R25" s="12" t="s">
        <v>18</v>
      </c>
      <c r="S25" s="12" t="s">
        <v>214</v>
      </c>
      <c r="T25" s="12" t="s">
        <v>215</v>
      </c>
      <c r="U25" s="12" t="s">
        <v>77</v>
      </c>
      <c r="V25" s="12" t="str">
        <f t="shared" si="2"/>
        <v>REVIEW</v>
      </c>
      <c r="W25" s="15" t="s">
        <v>78</v>
      </c>
      <c r="X25" s="15"/>
    </row>
    <row r="26" spans="1:24" ht="26.45" customHeight="1">
      <c r="A26" s="5">
        <v>27</v>
      </c>
      <c r="B26" s="5" t="s">
        <v>216</v>
      </c>
      <c r="C26" s="12" t="s">
        <v>65</v>
      </c>
      <c r="D26" s="12" t="s">
        <v>217</v>
      </c>
      <c r="E26" s="12" t="s">
        <v>218</v>
      </c>
      <c r="F26" s="12" t="s">
        <v>219</v>
      </c>
      <c r="G26" s="12" t="s">
        <v>69</v>
      </c>
      <c r="H26" s="12" t="s">
        <v>70</v>
      </c>
      <c r="I26" s="12" t="s">
        <v>220</v>
      </c>
      <c r="J26" s="12" t="s">
        <v>221</v>
      </c>
      <c r="K26" s="12" t="s">
        <v>73</v>
      </c>
      <c r="L26" s="6">
        <v>0</v>
      </c>
      <c r="M26" s="7">
        <v>2</v>
      </c>
      <c r="N26" s="6">
        <f t="shared" si="0"/>
        <v>2</v>
      </c>
      <c r="O26" s="6">
        <v>10</v>
      </c>
      <c r="P26" s="7"/>
      <c r="Q26" s="6">
        <f t="shared" si="1"/>
        <v>10</v>
      </c>
      <c r="R26" s="12" t="s">
        <v>18</v>
      </c>
      <c r="S26" s="12" t="s">
        <v>222</v>
      </c>
      <c r="T26" s="12" t="s">
        <v>223</v>
      </c>
      <c r="U26" s="12" t="s">
        <v>77</v>
      </c>
      <c r="V26" s="12" t="str">
        <f t="shared" si="2"/>
        <v>READY</v>
      </c>
      <c r="W26" s="15" t="s">
        <v>78</v>
      </c>
      <c r="X26" s="15"/>
    </row>
    <row r="27" spans="1:24" ht="26.45" customHeight="1">
      <c r="A27" s="5">
        <v>28</v>
      </c>
      <c r="B27" s="5" t="s">
        <v>224</v>
      </c>
      <c r="C27" s="12" t="s">
        <v>65</v>
      </c>
      <c r="D27" s="12" t="s">
        <v>217</v>
      </c>
      <c r="E27" s="12" t="s">
        <v>225</v>
      </c>
      <c r="F27" s="12" t="s">
        <v>226</v>
      </c>
      <c r="G27" s="12" t="s">
        <v>69</v>
      </c>
      <c r="H27" s="12" t="s">
        <v>70</v>
      </c>
      <c r="I27" s="12" t="s">
        <v>220</v>
      </c>
      <c r="J27" s="12" t="s">
        <v>227</v>
      </c>
      <c r="K27" s="12" t="s">
        <v>73</v>
      </c>
      <c r="L27" s="6">
        <v>0</v>
      </c>
      <c r="M27" s="7">
        <v>2</v>
      </c>
      <c r="N27" s="6">
        <f t="shared" si="0"/>
        <v>2</v>
      </c>
      <c r="O27" s="6">
        <v>10</v>
      </c>
      <c r="P27" s="7"/>
      <c r="Q27" s="6">
        <f t="shared" si="1"/>
        <v>10</v>
      </c>
      <c r="R27" s="12" t="s">
        <v>18</v>
      </c>
      <c r="S27" s="12" t="s">
        <v>222</v>
      </c>
      <c r="T27" s="12" t="s">
        <v>223</v>
      </c>
      <c r="U27" s="12" t="s">
        <v>77</v>
      </c>
      <c r="V27" s="12" t="str">
        <f t="shared" si="2"/>
        <v>READY</v>
      </c>
      <c r="W27" s="15" t="s">
        <v>78</v>
      </c>
      <c r="X27" s="15"/>
    </row>
    <row r="28" spans="1:24" ht="26.45" customHeight="1">
      <c r="A28" s="5">
        <v>29</v>
      </c>
      <c r="B28" s="5" t="s">
        <v>228</v>
      </c>
      <c r="C28" s="12" t="s">
        <v>65</v>
      </c>
      <c r="D28" s="12" t="s">
        <v>217</v>
      </c>
      <c r="E28" s="12" t="s">
        <v>229</v>
      </c>
      <c r="F28" s="12" t="s">
        <v>230</v>
      </c>
      <c r="G28" s="12" t="s">
        <v>69</v>
      </c>
      <c r="H28" s="12" t="s">
        <v>70</v>
      </c>
      <c r="I28" s="12" t="s">
        <v>220</v>
      </c>
      <c r="J28" s="12" t="s">
        <v>231</v>
      </c>
      <c r="K28" s="12" t="s">
        <v>73</v>
      </c>
      <c r="L28" s="6">
        <v>0</v>
      </c>
      <c r="M28" s="7">
        <v>2</v>
      </c>
      <c r="N28" s="6">
        <f t="shared" si="0"/>
        <v>2</v>
      </c>
      <c r="O28" s="6">
        <v>10</v>
      </c>
      <c r="P28" s="7"/>
      <c r="Q28" s="6">
        <f t="shared" si="1"/>
        <v>10</v>
      </c>
      <c r="R28" s="12" t="s">
        <v>18</v>
      </c>
      <c r="S28" s="12" t="s">
        <v>222</v>
      </c>
      <c r="T28" s="12" t="s">
        <v>223</v>
      </c>
      <c r="U28" s="12" t="s">
        <v>77</v>
      </c>
      <c r="V28" s="12" t="str">
        <f t="shared" si="2"/>
        <v>READY</v>
      </c>
      <c r="W28" s="15" t="s">
        <v>78</v>
      </c>
      <c r="X28" s="15"/>
    </row>
    <row r="29" spans="1:24" ht="15" customHeight="1">
      <c r="A29" s="5">
        <v>30</v>
      </c>
      <c r="B29" s="5" t="s">
        <v>232</v>
      </c>
      <c r="C29" s="12" t="s">
        <v>140</v>
      </c>
      <c r="D29" s="12" t="s">
        <v>133</v>
      </c>
      <c r="E29" s="12" t="s">
        <v>233</v>
      </c>
      <c r="F29" s="12" t="s">
        <v>233</v>
      </c>
      <c r="G29" s="12"/>
      <c r="H29" s="12"/>
      <c r="I29" s="12"/>
      <c r="J29" s="12" t="s">
        <v>234</v>
      </c>
      <c r="K29" s="12" t="s">
        <v>165</v>
      </c>
      <c r="L29" s="6">
        <v>0</v>
      </c>
      <c r="M29" s="7"/>
      <c r="N29" s="6">
        <f t="shared" si="0"/>
        <v>0</v>
      </c>
      <c r="O29" s="6">
        <v>0</v>
      </c>
      <c r="P29" s="7"/>
      <c r="Q29" s="6">
        <f t="shared" si="1"/>
        <v>0</v>
      </c>
      <c r="R29" s="12" t="s">
        <v>145</v>
      </c>
      <c r="S29" s="12" t="s">
        <v>235</v>
      </c>
      <c r="T29" s="12" t="s">
        <v>236</v>
      </c>
      <c r="U29" s="12" t="s">
        <v>148</v>
      </c>
      <c r="V29" s="12" t="str">
        <f t="shared" si="2"/>
        <v>EXCLUDE</v>
      </c>
      <c r="W29" s="15" t="s">
        <v>78</v>
      </c>
      <c r="X29" s="15"/>
    </row>
    <row r="30" spans="1:24" ht="26.45" customHeight="1">
      <c r="A30" s="5">
        <v>31</v>
      </c>
      <c r="B30" s="5" t="s">
        <v>237</v>
      </c>
      <c r="C30" s="12" t="s">
        <v>65</v>
      </c>
      <c r="D30" s="12" t="s">
        <v>133</v>
      </c>
      <c r="E30" s="12" t="s">
        <v>238</v>
      </c>
      <c r="F30" s="12" t="s">
        <v>238</v>
      </c>
      <c r="G30" s="12" t="s">
        <v>119</v>
      </c>
      <c r="H30" s="12" t="s">
        <v>239</v>
      </c>
      <c r="I30" s="12" t="s">
        <v>238</v>
      </c>
      <c r="J30" s="12" t="s">
        <v>240</v>
      </c>
      <c r="K30" s="12" t="s">
        <v>73</v>
      </c>
      <c r="L30" s="6">
        <v>179</v>
      </c>
      <c r="M30" s="7">
        <v>100</v>
      </c>
      <c r="N30" s="6">
        <f t="shared" si="0"/>
        <v>100</v>
      </c>
      <c r="O30" s="6">
        <v>179</v>
      </c>
      <c r="P30" s="7"/>
      <c r="Q30" s="6">
        <f t="shared" si="1"/>
        <v>179</v>
      </c>
      <c r="R30" s="12" t="s">
        <v>241</v>
      </c>
      <c r="S30" s="12" t="s">
        <v>242</v>
      </c>
      <c r="T30" s="12" t="s">
        <v>243</v>
      </c>
      <c r="U30" s="12" t="s">
        <v>77</v>
      </c>
      <c r="V30" s="12" t="str">
        <f t="shared" si="2"/>
        <v>REVIEW</v>
      </c>
      <c r="W30" s="15" t="s">
        <v>78</v>
      </c>
      <c r="X30" s="15"/>
    </row>
    <row r="31" spans="1:24" ht="26.45" customHeight="1">
      <c r="A31" s="5">
        <v>32</v>
      </c>
      <c r="B31" s="5" t="s">
        <v>244</v>
      </c>
      <c r="C31" s="12" t="s">
        <v>65</v>
      </c>
      <c r="D31" s="12" t="s">
        <v>133</v>
      </c>
      <c r="E31" s="12" t="s">
        <v>245</v>
      </c>
      <c r="F31" s="12" t="s">
        <v>246</v>
      </c>
      <c r="G31" s="12" t="s">
        <v>119</v>
      </c>
      <c r="H31" s="12" t="s">
        <v>239</v>
      </c>
      <c r="I31" s="12" t="s">
        <v>246</v>
      </c>
      <c r="J31" s="12" t="s">
        <v>247</v>
      </c>
      <c r="K31" s="12" t="s">
        <v>73</v>
      </c>
      <c r="L31" s="6">
        <v>79</v>
      </c>
      <c r="M31" s="7">
        <v>40</v>
      </c>
      <c r="N31" s="6">
        <f t="shared" si="0"/>
        <v>40</v>
      </c>
      <c r="O31" s="6">
        <v>79</v>
      </c>
      <c r="P31" s="7"/>
      <c r="Q31" s="6">
        <f t="shared" si="1"/>
        <v>79</v>
      </c>
      <c r="R31" s="12" t="s">
        <v>241</v>
      </c>
      <c r="S31" s="12" t="s">
        <v>248</v>
      </c>
      <c r="T31" s="12" t="s">
        <v>249</v>
      </c>
      <c r="U31" s="12" t="s">
        <v>77</v>
      </c>
      <c r="V31" s="12" t="str">
        <f t="shared" si="2"/>
        <v>REVIEW</v>
      </c>
      <c r="W31" s="15" t="s">
        <v>78</v>
      </c>
      <c r="X31" s="15"/>
    </row>
    <row r="32" spans="1:24" ht="26.45" customHeight="1">
      <c r="A32" s="5">
        <v>33</v>
      </c>
      <c r="B32" s="5" t="s">
        <v>250</v>
      </c>
      <c r="C32" s="12" t="s">
        <v>140</v>
      </c>
      <c r="D32" s="12" t="s">
        <v>133</v>
      </c>
      <c r="E32" s="12" t="s">
        <v>251</v>
      </c>
      <c r="F32" s="12" t="s">
        <v>251</v>
      </c>
      <c r="G32" s="12"/>
      <c r="H32" s="12"/>
      <c r="I32" s="12"/>
      <c r="J32" s="12" t="s">
        <v>252</v>
      </c>
      <c r="K32" s="12" t="s">
        <v>253</v>
      </c>
      <c r="L32" s="6">
        <v>5</v>
      </c>
      <c r="M32" s="7">
        <v>1</v>
      </c>
      <c r="N32" s="6">
        <f t="shared" si="0"/>
        <v>1</v>
      </c>
      <c r="O32" s="6">
        <v>5</v>
      </c>
      <c r="P32" s="7"/>
      <c r="Q32" s="6">
        <f t="shared" si="1"/>
        <v>5</v>
      </c>
      <c r="R32" s="12" t="s">
        <v>145</v>
      </c>
      <c r="S32" s="12" t="s">
        <v>254</v>
      </c>
      <c r="T32" s="12" t="s">
        <v>255</v>
      </c>
      <c r="U32" s="12" t="s">
        <v>148</v>
      </c>
      <c r="V32" s="12" t="str">
        <f t="shared" si="2"/>
        <v>EXCLUDE</v>
      </c>
      <c r="W32" s="15" t="s">
        <v>78</v>
      </c>
      <c r="X32" s="15"/>
    </row>
    <row r="33" spans="1:24" ht="26.45" customHeight="1">
      <c r="A33" s="5">
        <v>34</v>
      </c>
      <c r="B33" s="5" t="s">
        <v>256</v>
      </c>
      <c r="C33" s="12" t="s">
        <v>65</v>
      </c>
      <c r="D33" s="12" t="s">
        <v>133</v>
      </c>
      <c r="E33" s="12" t="s">
        <v>257</v>
      </c>
      <c r="F33" s="12" t="s">
        <v>258</v>
      </c>
      <c r="G33" s="12" t="s">
        <v>119</v>
      </c>
      <c r="H33" s="12" t="s">
        <v>119</v>
      </c>
      <c r="I33" s="12" t="s">
        <v>258</v>
      </c>
      <c r="J33" s="12" t="s">
        <v>259</v>
      </c>
      <c r="K33" s="12" t="s">
        <v>73</v>
      </c>
      <c r="L33" s="6">
        <v>0</v>
      </c>
      <c r="M33" s="7">
        <v>2</v>
      </c>
      <c r="N33" s="6">
        <f t="shared" si="0"/>
        <v>2</v>
      </c>
      <c r="O33" s="6">
        <v>10</v>
      </c>
      <c r="P33" s="7"/>
      <c r="Q33" s="6">
        <f t="shared" si="1"/>
        <v>10</v>
      </c>
      <c r="R33" s="12" t="s">
        <v>18</v>
      </c>
      <c r="S33" s="12" t="s">
        <v>260</v>
      </c>
      <c r="T33" s="12" t="s">
        <v>261</v>
      </c>
      <c r="U33" s="12" t="s">
        <v>77</v>
      </c>
      <c r="V33" s="12" t="str">
        <f t="shared" si="2"/>
        <v>READY</v>
      </c>
      <c r="W33" s="15" t="s">
        <v>78</v>
      </c>
      <c r="X33" s="15"/>
    </row>
    <row r="34" spans="1:24" ht="26.45" customHeight="1">
      <c r="A34" s="5">
        <v>35</v>
      </c>
      <c r="B34" s="5" t="s">
        <v>262</v>
      </c>
      <c r="C34" s="12" t="s">
        <v>140</v>
      </c>
      <c r="D34" s="12" t="s">
        <v>133</v>
      </c>
      <c r="E34" s="12" t="s">
        <v>263</v>
      </c>
      <c r="F34" s="12" t="s">
        <v>264</v>
      </c>
      <c r="G34" s="12"/>
      <c r="H34" s="12"/>
      <c r="I34" s="12"/>
      <c r="J34" s="12" t="s">
        <v>252</v>
      </c>
      <c r="K34" s="12" t="s">
        <v>253</v>
      </c>
      <c r="L34" s="6">
        <v>0</v>
      </c>
      <c r="M34" s="7"/>
      <c r="N34" s="6">
        <f t="shared" si="0"/>
        <v>0</v>
      </c>
      <c r="O34" s="6">
        <v>0</v>
      </c>
      <c r="P34" s="7"/>
      <c r="Q34" s="6">
        <f t="shared" si="1"/>
        <v>0</v>
      </c>
      <c r="R34" s="12" t="s">
        <v>145</v>
      </c>
      <c r="S34" s="12" t="s">
        <v>265</v>
      </c>
      <c r="T34" s="12" t="s">
        <v>255</v>
      </c>
      <c r="U34" s="12" t="s">
        <v>148</v>
      </c>
      <c r="V34" s="12" t="str">
        <f t="shared" si="2"/>
        <v>EXCLUDE</v>
      </c>
      <c r="W34" s="15" t="s">
        <v>78</v>
      </c>
      <c r="X34" s="15"/>
    </row>
    <row r="35" spans="1:24" ht="26.45" customHeight="1">
      <c r="A35" s="8">
        <v>36</v>
      </c>
      <c r="B35" s="8" t="s">
        <v>266</v>
      </c>
      <c r="C35" s="13" t="s">
        <v>126</v>
      </c>
      <c r="D35" s="13" t="s">
        <v>133</v>
      </c>
      <c r="E35" s="13" t="s">
        <v>267</v>
      </c>
      <c r="F35" s="13" t="s">
        <v>268</v>
      </c>
      <c r="G35" s="13" t="s">
        <v>119</v>
      </c>
      <c r="H35" s="13" t="s">
        <v>119</v>
      </c>
      <c r="I35" s="13" t="s">
        <v>269</v>
      </c>
      <c r="J35" s="13" t="s">
        <v>270</v>
      </c>
      <c r="K35" s="13" t="s">
        <v>73</v>
      </c>
      <c r="L35" s="9">
        <v>0</v>
      </c>
      <c r="M35" s="10"/>
      <c r="N35" s="9">
        <f t="shared" si="0"/>
        <v>0</v>
      </c>
      <c r="O35" s="9">
        <v>2</v>
      </c>
      <c r="P35" s="10"/>
      <c r="Q35" s="9">
        <f t="shared" si="1"/>
        <v>2</v>
      </c>
      <c r="R35" s="13" t="s">
        <v>18</v>
      </c>
      <c r="S35" s="13" t="s">
        <v>271</v>
      </c>
      <c r="T35" s="13" t="s">
        <v>272</v>
      </c>
      <c r="U35" s="13" t="s">
        <v>77</v>
      </c>
      <c r="V35" s="13" t="str">
        <f t="shared" si="2"/>
        <v>REVIEW</v>
      </c>
      <c r="W35" s="16" t="s">
        <v>78</v>
      </c>
      <c r="X35" s="16"/>
    </row>
  </sheetData>
  <phoneticPr fontId="5" type="noConversion"/>
  <conditionalFormatting sqref="C2:C35">
    <cfRule type="containsText" dxfId="5" priority="1" operator="containsText" text="Import"/>
    <cfRule type="containsText" dxfId="4" priority="2" operator="containsText" text="Clarify"/>
    <cfRule type="containsText" dxfId="3" priority="3" operator="containsText" text="Exclude"/>
  </conditionalFormatting>
  <conditionalFormatting sqref="V2:V35">
    <cfRule type="containsText" dxfId="2" priority="4" operator="containsText" text="READY"/>
    <cfRule type="containsText" dxfId="1" priority="5" operator="containsText" text="REVIEW"/>
    <cfRule type="containsText" dxfId="0" priority="6" operator="containsText" text="EXCLUDE"/>
  </conditionalFormatting>
  <dataValidations count="2">
    <dataValidation type="decimal" operator="greaterThanOrEqual" sqref="P2:P35 M2:M35" xr:uid="{00000000-0002-0000-0100-000000000000}">
      <formula1>0</formula1>
    </dataValidation>
    <dataValidation type="list" sqref="W2:W35" xr:uid="{00000000-0002-0000-0100-000002000000}">
      <formula1>"Pending,Approved,Exclude"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Product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Bevan Miao</cp:lastModifiedBy>
  <dcterms:modified xsi:type="dcterms:W3CDTF">2026-08-13T13:59:08Z</dcterms:modified>
</cp:coreProperties>
</file>